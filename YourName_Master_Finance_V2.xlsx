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EXPENSES" sheetId="2" r:id="rId5"/>
    <sheet state="visible" name="INCOME" sheetId="3" r:id="rId6"/>
    <sheet state="visible" name="IN-HAND" sheetId="4" r:id="rId7"/>
    <sheet state="visible" name="BUDGET TRACKER" sheetId="5" r:id="rId8"/>
    <sheet state="visible" name="MONTHLY" sheetId="6" r:id="rId9"/>
    <sheet state="visible" name="PORTFOLIO" sheetId="7" r:id="rId10"/>
    <sheet state="visible" name="INVESTMENTS" sheetId="8" r:id="rId11"/>
    <sheet state="visible" name="SETTINGS" sheetId="9" r:id="rId12"/>
  </sheets>
  <definedNames>
    <definedName hidden="1" localSheetId="1" name="_xlnm._FilterDatabase">EXPENSES!$A$3:$G$999</definedName>
    <definedName hidden="1" localSheetId="2" name="_xlnm._FilterDatabase">INCOME!$A$3:$E$1001</definedName>
    <definedName hidden="1" localSheetId="3" name="_xlnm._FilterDatabase">'IN-HAND'!$A$3:$E$998</definedName>
    <definedName hidden="1" localSheetId="7" name="_xlnm._FilterDatabase">INVESTMENTS!$A$3:$L$277</definedName>
  </definedNames>
  <calcPr/>
  <extLst>
    <ext uri="GoogleSheetsCustomDataVersion2">
      <go:sheetsCustomData xmlns:go="http://customooxmlschemas.google.com/" r:id="rId13" roundtripDataChecksum="FTF5UZCe/If/zn73NDEfl853hfJprBujno/X3Pn6YFI="/>
    </ext>
  </extLst>
</workbook>
</file>

<file path=xl/sharedStrings.xml><?xml version="1.0" encoding="utf-8"?>
<sst xmlns="http://schemas.openxmlformats.org/spreadsheetml/2006/main" count="884" uniqueCount="315">
  <si>
    <t>💰 INCOME TRACKER — Salary, Side Income, Returns</t>
  </si>
  <si>
    <t>📤 EXPENSE TRACKER — Add rows below to record spending</t>
  </si>
  <si>
    <t>🏦 IN-HAND BALANCE TRACKER — Bank, FD, EPFO</t>
  </si>
  <si>
    <t>Type</t>
  </si>
  <si>
    <t>Select</t>
  </si>
  <si>
    <t>Auto</t>
  </si>
  <si>
    <t>Date</t>
  </si>
  <si>
    <t>Month</t>
  </si>
  <si>
    <t>Store / Vendor</t>
  </si>
  <si>
    <t>Source</t>
  </si>
  <si>
    <t>Amount (₹)</t>
  </si>
  <si>
    <t>Category</t>
  </si>
  <si>
    <t>Expense Keys / Tags</t>
  </si>
  <si>
    <t>Notes</t>
  </si>
  <si>
    <t>Source / Account</t>
  </si>
  <si>
    <t>Account Type</t>
  </si>
  <si>
    <t>BALANCE SUMMARY</t>
  </si>
  <si>
    <t>Ondirect Company Salary</t>
  </si>
  <si>
    <t>Personal SBI Account</t>
  </si>
  <si>
    <t>Job / Salary</t>
  </si>
  <si>
    <t>Personal SBI (Saving)</t>
  </si>
  <si>
    <t>Trasfer to Expenses accounts</t>
  </si>
  <si>
    <t>SBI FD</t>
  </si>
  <si>
    <t>Personal SBI</t>
  </si>
  <si>
    <t>Expenses money Transfer</t>
  </si>
  <si>
    <t>Expense Money</t>
  </si>
  <si>
    <t>Kings Restaurant LLP</t>
  </si>
  <si>
    <t>Restaurant &amp; Dining Out</t>
  </si>
  <si>
    <t xml:space="preserve">Ondirect Company Salary </t>
  </si>
  <si>
    <t xml:space="preserve">Expenses Money Transfer </t>
  </si>
  <si>
    <t>College Project Work</t>
  </si>
  <si>
    <t>Side Income</t>
  </si>
  <si>
    <t>Lobh Petrolleum</t>
  </si>
  <si>
    <t>Fuel</t>
  </si>
  <si>
    <t>Jyotirlinga Vadapaav Center</t>
  </si>
  <si>
    <t>Snacks &amp; Quick Bites</t>
  </si>
  <si>
    <t>EPFO</t>
  </si>
  <si>
    <t>Mr. PavanKumar Pardesi</t>
  </si>
  <si>
    <t>Gifts</t>
  </si>
  <si>
    <t>SBI INTEREST EARN</t>
  </si>
  <si>
    <t>TOTAL IN-HAND</t>
  </si>
  <si>
    <t>Bhagwan Pandurang Shinde</t>
  </si>
  <si>
    <t>Personal Care</t>
  </si>
  <si>
    <t>lending from Sis</t>
  </si>
  <si>
    <t>Loans Given &amp; Taken</t>
  </si>
  <si>
    <t>Withdraw Peronal SBI Account</t>
  </si>
  <si>
    <t>Office Trip</t>
  </si>
  <si>
    <t>Travel</t>
  </si>
  <si>
    <t>Mangesh Ghadge</t>
  </si>
  <si>
    <t>Pickle</t>
  </si>
  <si>
    <t>SUBU PERSONAL FINANCE &amp; PORTFOLIO — MASTER DASHBOARD</t>
  </si>
  <si>
    <t>Plus Point Medico</t>
  </si>
  <si>
    <t>Medical</t>
  </si>
  <si>
    <t>📅 SELECT PERIOD:</t>
  </si>
  <si>
    <t>All Time</t>
  </si>
  <si>
    <t xml:space="preserve">Hotel Sai Park Satara </t>
  </si>
  <si>
    <t xml:space="preserve">vikas shankar </t>
  </si>
  <si>
    <t>mr takhat singh raj</t>
  </si>
  <si>
    <t>Shavarma Kings Broto</t>
  </si>
  <si>
    <t>Belgian Waffle</t>
  </si>
  <si>
    <t xml:space="preserve">Darvesh broadband internet Service </t>
  </si>
  <si>
    <t>Bills &amp; Utilities</t>
  </si>
  <si>
    <t>💰 TOTAL WEALTH</t>
  </si>
  <si>
    <t>📥 PERIOD INCOME</t>
  </si>
  <si>
    <t>Kotak Bank ECS Mandate - 57092055</t>
  </si>
  <si>
    <t>📤 PERIOD EXPENSES</t>
  </si>
  <si>
    <t>💸 NET SAVINGS</t>
  </si>
  <si>
    <t>Amina Rashid Khan</t>
  </si>
  <si>
    <t>Shriram Lubs &amp; Batteries</t>
  </si>
  <si>
    <t>Repair &amp; Maintenance</t>
  </si>
  <si>
    <t>Sayyad babu</t>
  </si>
  <si>
    <t>Preeti Pandit</t>
  </si>
  <si>
    <t>Ather Scooter Service</t>
  </si>
  <si>
    <t>Total across all assets</t>
  </si>
  <si>
    <t>Real income (excl. transfers)</t>
  </si>
  <si>
    <t>SAMA</t>
  </si>
  <si>
    <t>Total spending in period</t>
  </si>
  <si>
    <t>Income minus Expenses</t>
  </si>
  <si>
    <t>Phadatare Dhananjay</t>
  </si>
  <si>
    <t>🏦 BANK BALANCE</t>
  </si>
  <si>
    <t>🔒 FD</t>
  </si>
  <si>
    <t>🪙 CRYPTO VALUE</t>
  </si>
  <si>
    <t>Hrishikesh S Dawkhar</t>
  </si>
  <si>
    <t>📊 SHARES VALUE</t>
  </si>
  <si>
    <t>ABHANGRAO ANUP DHANAJAY</t>
  </si>
  <si>
    <t>Education</t>
  </si>
  <si>
    <t xml:space="preserve">Reliance Industries </t>
  </si>
  <si>
    <t xml:space="preserve">Abhinandan Kadak Special </t>
  </si>
  <si>
    <t>Personal SBI Savings Account</t>
  </si>
  <si>
    <t xml:space="preserve">Jio app recharge </t>
  </si>
  <si>
    <t>Fixed Deposits &amp; Provident Fund</t>
  </si>
  <si>
    <t>Live crypto holdings value</t>
  </si>
  <si>
    <t>Mutual funds &amp; ETF value</t>
  </si>
  <si>
    <t>📊 EXPENSE BREAKDOWN BY CATEGORY — Period selected above</t>
  </si>
  <si>
    <t>SBI Saving MF/EF</t>
  </si>
  <si>
    <t>Investments</t>
  </si>
  <si>
    <t>Amount</t>
  </si>
  <si>
    <t>Suresh Dashrath Shirale</t>
  </si>
  <si>
    <t>Shopping</t>
  </si>
  <si>
    <t>Your Actual Data of Income</t>
  </si>
  <si>
    <t>Childcare &amp; Baby Needs</t>
  </si>
  <si>
    <t>Dnyaneshwar Tatyabar Garje</t>
  </si>
  <si>
    <t>Khairul Islam</t>
  </si>
  <si>
    <t>Police Catch</t>
  </si>
  <si>
    <t>Fines &amp; Penalties</t>
  </si>
  <si>
    <t xml:space="preserve">🔒 FD </t>
  </si>
  <si>
    <t>Sangeeta Lahu Waghmare</t>
  </si>
  <si>
    <t>Electronics &amp; Gadgets</t>
  </si>
  <si>
    <t>Kitchen 143 Pimpri IND</t>
  </si>
  <si>
    <t>Entertainment</t>
  </si>
  <si>
    <t>Ganna Juice</t>
  </si>
  <si>
    <t>📊 Shares &amp; Commodities</t>
  </si>
  <si>
    <t>Airtel</t>
  </si>
  <si>
    <t>Familly</t>
  </si>
  <si>
    <t>Flipkart</t>
  </si>
  <si>
    <t>Fitness</t>
  </si>
  <si>
    <t>Hotel Jay Malhar</t>
  </si>
  <si>
    <t>For 2 Dahi Pack By Cash</t>
  </si>
  <si>
    <t>Groceries</t>
  </si>
  <si>
    <t>For Juice Shop By Cash</t>
  </si>
  <si>
    <t>HouseHold</t>
  </si>
  <si>
    <t>For Cold Drinks By Cash</t>
  </si>
  <si>
    <t>Insurance</t>
  </si>
  <si>
    <t>Hotel Jay Malhar By Cash</t>
  </si>
  <si>
    <t>Pancha Ram</t>
  </si>
  <si>
    <t>Pimpri Guruv Phone Shop</t>
  </si>
  <si>
    <t>Snaks By Cash</t>
  </si>
  <si>
    <t>Rent</t>
  </si>
  <si>
    <t>Gullak GOLD SIP</t>
  </si>
  <si>
    <t>Gullak SILVER SIP</t>
  </si>
  <si>
    <t>Jagannath Remesh Raut</t>
  </si>
  <si>
    <t>Shree Mohans Karachi</t>
  </si>
  <si>
    <t>Gurunanak Sweets</t>
  </si>
  <si>
    <t>Foods &amp; Drink By Cash</t>
  </si>
  <si>
    <t>Nikhil Tabaji Auti</t>
  </si>
  <si>
    <t xml:space="preserve">Prakash Ramlal Choudhary </t>
  </si>
  <si>
    <t>By Cash Thanda Goola</t>
  </si>
  <si>
    <t>Kotak Manhindra Bank FASTag</t>
  </si>
  <si>
    <t>Commute</t>
  </si>
  <si>
    <t>Sanjay Appasaheb Mote</t>
  </si>
  <si>
    <t xml:space="preserve">By Cash Refreshment </t>
  </si>
  <si>
    <t xml:space="preserve">Jambhulkar Delicious </t>
  </si>
  <si>
    <t>Revera Chinies Coner</t>
  </si>
  <si>
    <t>Wellness Forever Medicine of Priyanka di</t>
  </si>
  <si>
    <t>Dattatray Namdev Jahdev of Priyanka</t>
  </si>
  <si>
    <t>Shree Krishna And General Store</t>
  </si>
  <si>
    <t>STA</t>
  </si>
  <si>
    <t>Sunil Pandurang Kadam</t>
  </si>
  <si>
    <t>Car Service by Cash</t>
  </si>
  <si>
    <t>HRIshikesh S Dawkhar</t>
  </si>
  <si>
    <t>Kantabai Machhindra Gosavi</t>
  </si>
  <si>
    <t>Paypal</t>
  </si>
  <si>
    <t>Other</t>
  </si>
  <si>
    <t>Pooja Clinic</t>
  </si>
  <si>
    <t>Vijay Rajendra Kumbhar</t>
  </si>
  <si>
    <t>Sayyad Anwar Babu</t>
  </si>
  <si>
    <t>Switch by Cash</t>
  </si>
  <si>
    <t>PhotoShot By Cash</t>
  </si>
  <si>
    <t>Flowers By Cash</t>
  </si>
  <si>
    <t>Gayatrree Veg Restaurant</t>
  </si>
  <si>
    <t>Yogesh Ashok Wagh</t>
  </si>
  <si>
    <t>Q819668789@ybl</t>
  </si>
  <si>
    <t>MS Garve Sons Automobiles PV</t>
  </si>
  <si>
    <t>Shri Baba Ramdev Dha</t>
  </si>
  <si>
    <t>hemandranath1996</t>
  </si>
  <si>
    <t>realmazon</t>
  </si>
  <si>
    <t>For Office</t>
  </si>
  <si>
    <t>Parth Deepak Kuchekar</t>
  </si>
  <si>
    <t>Pantanjali By Cash</t>
  </si>
  <si>
    <t>Panner 250Gm By Cash</t>
  </si>
  <si>
    <t>D Mart</t>
  </si>
  <si>
    <t>Hanuman Hardware</t>
  </si>
  <si>
    <t>Rambachan So Sadar</t>
  </si>
  <si>
    <t>Alice in Gelatoland</t>
  </si>
  <si>
    <t>Snake By Cash</t>
  </si>
  <si>
    <t xml:space="preserve">CLASSIC TRADERS </t>
  </si>
  <si>
    <t>CLASSIC TRADERS</t>
  </si>
  <si>
    <t>Morya Medico Rupeenagar</t>
  </si>
  <si>
    <t xml:space="preserve">Flipkart </t>
  </si>
  <si>
    <t xml:space="preserve">Classic Hospitality </t>
  </si>
  <si>
    <t>Prasanna Shetty</t>
  </si>
  <si>
    <t>Subhash Shivale</t>
  </si>
  <si>
    <t>Sujit kumar</t>
  </si>
  <si>
    <t xml:space="preserve">Amazon </t>
  </si>
  <si>
    <t>Honey Smoke</t>
  </si>
  <si>
    <t>Banti Rajawat</t>
  </si>
  <si>
    <t>Keshar Dairy Products</t>
  </si>
  <si>
    <t xml:space="preserve">Fashnear Technology </t>
  </si>
  <si>
    <t>Dhanshita Traders</t>
  </si>
  <si>
    <t>By Cash Shoes binding</t>
  </si>
  <si>
    <t>Health Plus Medico</t>
  </si>
  <si>
    <t>📊 BUDGET TRACKER — Total Actuals + Category Comparison</t>
  </si>
  <si>
    <t>📈 YOUR ACTUAL SPENDING + BUDGET TARGETS</t>
  </si>
  <si>
    <t>Shree Krishna Hospitali</t>
  </si>
  <si>
    <t>🎯 COMPARISON — SELECT PERIOD &amp; COMPARE vs BUDGET</t>
  </si>
  <si>
    <t>Office FareWeel Contri</t>
  </si>
  <si>
    <t>Start Date:</t>
  </si>
  <si>
    <t>End Date:</t>
  </si>
  <si>
    <t>#</t>
  </si>
  <si>
    <t>Expense Category</t>
  </si>
  <si>
    <t>Monthly Average</t>
  </si>
  <si>
    <t>Total — All Time</t>
  </si>
  <si>
    <t>% of Total</t>
  </si>
  <si>
    <t>Monthly Budget Rs</t>
  </si>
  <si>
    <t>Implied Annual Rs</t>
  </si>
  <si>
    <t>Actual Expenses</t>
  </si>
  <si>
    <t>Budget Target</t>
  </si>
  <si>
    <t>Variance (₹)</t>
  </si>
  <si>
    <t>Variance (%)</t>
  </si>
  <si>
    <t>TOTALS</t>
  </si>
  <si>
    <t>PERIOD TOTAL</t>
  </si>
  <si>
    <t>TOTALS WithOut Investment</t>
  </si>
  <si>
    <t>PERIOD TOTAL WithOut Investment</t>
  </si>
  <si>
    <t>Time Period</t>
  </si>
  <si>
    <t>Totals</t>
  </si>
  <si>
    <t>Ratios</t>
  </si>
  <si>
    <t>Averages — Actuals</t>
  </si>
  <si>
    <t>Start Date</t>
  </si>
  <si>
    <t>End Date</t>
  </si>
  <si>
    <t>Expenses</t>
  </si>
  <si>
    <t>Income</t>
  </si>
  <si>
    <t>Savings</t>
  </si>
  <si>
    <t>Expense Ratio</t>
  </si>
  <si>
    <t>Savings Ratio</t>
  </si>
  <si>
    <t>Remark</t>
  </si>
  <si>
    <t>💼 INVESTMENT PORTFOLIO DASHBOARD — Crypto + Shares + MF</t>
  </si>
  <si>
    <t>Total Invested ₹</t>
  </si>
  <si>
    <t>Total Withdrawn ₹</t>
  </si>
  <si>
    <t>Net Invested ₹</t>
  </si>
  <si>
    <t>Live Holding ₹</t>
  </si>
  <si>
    <t>P &amp; L ₹</t>
  </si>
  <si>
    <t>Return %</t>
  </si>
  <si>
    <t>Status</t>
  </si>
  <si>
    <t>Crypto</t>
  </si>
  <si>
    <t>Shares MF</t>
  </si>
  <si>
    <t>TOTAL</t>
  </si>
  <si>
    <t xml:space="preserve">⚠️  Holding Value (yellow) auto-updates </t>
  </si>
  <si>
    <t>Coin / Share</t>
  </si>
  <si>
    <t>Units Held</t>
  </si>
  <si>
    <t>Avg Buy Price ₹</t>
  </si>
  <si>
    <t>Current Value ₹</t>
  </si>
  <si>
    <t>P&amp;L ₹</t>
  </si>
  <si>
    <t>GRAND TOTAL (Crypto + Shares)</t>
  </si>
  <si>
    <t>📋 ALL INVESTMENT TRANSACTIONS (Crypto + Shares MF)</t>
  </si>
  <si>
    <t>Asset Type</t>
  </si>
  <si>
    <t>Asset Name</t>
  </si>
  <si>
    <t>Transaction</t>
  </si>
  <si>
    <t>Invest Amt</t>
  </si>
  <si>
    <t>Withdra Amt</t>
  </si>
  <si>
    <t>Fee Taken</t>
  </si>
  <si>
    <t>Units / Qty</t>
  </si>
  <si>
    <t>Price/Unit ₹</t>
  </si>
  <si>
    <t>Total Amt ₹</t>
  </si>
  <si>
    <t>Buy / Invest</t>
  </si>
  <si>
    <t>Bitcoin (BTC)</t>
  </si>
  <si>
    <t>Polygon (MATIC)</t>
  </si>
  <si>
    <t>⚙️ SETTINGS &amp; REFERENCE DATA — Do not change rows 3 onwards unless needed</t>
  </si>
  <si>
    <t>Cardano (ADA)</t>
  </si>
  <si>
    <t>EXPENSE CATEGORIES</t>
  </si>
  <si>
    <t>Ethereum (ETH)</t>
  </si>
  <si>
    <t>EXPENSE KEYS REFERENCE</t>
  </si>
  <si>
    <t>INCOME CATEGORIES</t>
  </si>
  <si>
    <t>ACCOUNT TYPES</t>
  </si>
  <si>
    <t>TRANSACTION TYPES</t>
  </si>
  <si>
    <t>CRYPTO ASSETS</t>
  </si>
  <si>
    <t>Codes</t>
  </si>
  <si>
    <t>Current Price (INR)</t>
  </si>
  <si>
    <t>Current Price (USD)</t>
  </si>
  <si>
    <t>Electricity Bill, Water Bill, Broadband, Mobile Recharge, DTH</t>
  </si>
  <si>
    <t>Bitcoin</t>
  </si>
  <si>
    <t>Diapers, Baby Food, Toys, School Stationery</t>
  </si>
  <si>
    <t>Ethereum</t>
  </si>
  <si>
    <t>Metro, Bus, Auto-rickshaw, Train, Ola/Uber, Fuel for commute</t>
  </si>
  <si>
    <t>Kotak Bank</t>
  </si>
  <si>
    <t>Solana (SOL)</t>
  </si>
  <si>
    <t>Cardano</t>
  </si>
  <si>
    <t>School Fees, College Tuition, Coaching Classes, Online Courses</t>
  </si>
  <si>
    <t>Freelance</t>
  </si>
  <si>
    <t>Other Bank</t>
  </si>
  <si>
    <t>Solana</t>
  </si>
  <si>
    <t>Mobile Phones, Laptops, Smartwatches, Earphones</t>
  </si>
  <si>
    <t>Rental Income</t>
  </si>
  <si>
    <t>sBitcoin</t>
  </si>
  <si>
    <t>Movies, Concerts, Video Games, Online Streaming, Events</t>
  </si>
  <si>
    <t>Interest</t>
  </si>
  <si>
    <t>Shares &amp; MF</t>
  </si>
  <si>
    <t>SBI Savings Fund Direct Plan Growth</t>
  </si>
  <si>
    <t>SBI_SAVI_DIR_1KP6Q5V</t>
  </si>
  <si>
    <t>Parents' Allowance, Kids' School Fees, Household Help Salary</t>
  </si>
  <si>
    <t>SBI Gold Direct Plan Growth</t>
  </si>
  <si>
    <t xml:space="preserve">SBI_GOLD_DIR_1HYVO74
</t>
  </si>
  <si>
    <t>Gym Membership, Yoga Classes, Sports Equipment, Protein Powder</t>
  </si>
  <si>
    <t>SBI Silver ETF FoF Direct Growth</t>
  </si>
  <si>
    <t>SBI_SILV_ETF_KWJODO</t>
  </si>
  <si>
    <t>Office tea/coffee, Small breaks, Bakery items, Juice, chips, biscuits</t>
  </si>
  <si>
    <t>Petrol, Diesel, CNG, Electric Charging Stations</t>
  </si>
  <si>
    <t>Birthday Gifts, Anniversary Gifts, Festival Gifts, Wedding Gifts, Gifts for Friends</t>
  </si>
  <si>
    <t>Vegetables, Fruits, Dairy, Meat, Frozen Food, Spices, Staples</t>
  </si>
  <si>
    <t>Furniture, Cleaning Supplies, Kitchen Appliances, Home Decor</t>
  </si>
  <si>
    <t>Life Insurance, Health Insurance, Vehicle Insurance, Term Plans</t>
  </si>
  <si>
    <t>Stocks, Mutual Funds, Bonds, Real Estate, Gold, Cryptocurrencies</t>
  </si>
  <si>
    <t>Borrowing from Friends, Lending to Family, Interest on Loan</t>
  </si>
  <si>
    <t>Medicines, Doctor Consultation, Hospitalization, Surgery</t>
  </si>
  <si>
    <t>Haircuts, Skincare, Beauty Products, Grooming Kits, Salon</t>
  </si>
  <si>
    <t>House Rent, Office Rent, Coworking Space Rental</t>
  </si>
  <si>
    <t>Car Servicing, AC Repair, Plumbing, Electrical Work</t>
  </si>
  <si>
    <t>Sell / Redeem</t>
  </si>
  <si>
    <t>Dining Out, Fast Food, Café, Home Delivery, Street Food</t>
  </si>
  <si>
    <t>Self Transfers</t>
  </si>
  <si>
    <t>Transferring money between personal accounts, FD Deposits</t>
  </si>
  <si>
    <t>Clothes, Footwear, Accessories, Watches, Jewelry, Handbags</t>
  </si>
  <si>
    <t>Subscriptions &amp; Memberships</t>
  </si>
  <si>
    <t>Netflix, Spotify, Gym Membership, Magazines</t>
  </si>
  <si>
    <t>Flight Tickets, Hotel Stays, Sightseeing, Rental Cars, Visa Fees</t>
  </si>
  <si>
    <t>Traffic Challan, Late Fee, Overweight Ticket, 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</si>
</sst>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\-mmm\-yy"/>
    <numFmt numFmtId="165" formatCode="\₹#,##0.00"/>
    <numFmt numFmtId="166" formatCode="\₹#,##0"/>
    <numFmt numFmtId="167" formatCode="mmm\-yy"/>
    <numFmt numFmtId="168" formatCode="0.0%"/>
    <numFmt numFmtId="169" formatCode="[$₹]#,##0.00"/>
    <numFmt numFmtId="170" formatCode="0.0%;[RED]\-0.0%"/>
    <numFmt numFmtId="171" formatCode="0.00000000"/>
  </numFmts>
  <fonts count="45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11.0"/>
      <color theme="1"/>
      <name val="Calibri"/>
    </font>
    <font>
      <b/>
      <sz val="10.0"/>
      <color rgb="FF000000"/>
      <name val="Calibri"/>
    </font>
    <font>
      <b/>
      <sz val="9.0"/>
      <color rgb="FF000000"/>
      <name val="Calibri"/>
    </font>
    <font>
      <b/>
      <sz val="10.0"/>
      <color rgb="FFFFFFFF"/>
      <name val="Calibri"/>
    </font>
    <font>
      <sz val="9.0"/>
      <color rgb="FF263238"/>
      <name val="Calibri"/>
    </font>
    <font>
      <b/>
      <sz val="9.0"/>
      <color rgb="FFFFFFFF"/>
      <name val="Calibri"/>
    </font>
    <font>
      <b/>
      <sz val="11.0"/>
      <color rgb="FFFFFFFF"/>
      <name val="Calibri"/>
    </font>
    <font>
      <i/>
      <sz val="8.0"/>
      <color rgb="FF546E7A"/>
      <name val="Calibri"/>
    </font>
    <font>
      <b/>
      <sz val="15.0"/>
      <color rgb="FFE85D04"/>
      <name val="Calibri"/>
    </font>
    <font>
      <b/>
      <sz val="9.0"/>
      <color rgb="FFB0BEC5"/>
      <name val="Calibri"/>
    </font>
    <font>
      <sz val="9.0"/>
      <color rgb="FF90CAF9"/>
      <name val="Calibri"/>
    </font>
    <font>
      <sz val="9.0"/>
      <color rgb="FFFFFFFF"/>
      <name val="Calibri"/>
    </font>
    <font>
      <b/>
      <sz val="16.0"/>
      <color rgb="FFFFFFFF"/>
      <name val="Calibri"/>
    </font>
    <font>
      <sz val="8.0"/>
      <color rgb="FFE0E0E0"/>
      <name val="Calibri"/>
    </font>
    <font>
      <sz val="9.0"/>
      <color theme="1"/>
      <name val="Calibri"/>
    </font>
    <font>
      <b/>
      <sz val="11.0"/>
      <color theme="1"/>
      <name val="Arial"/>
    </font>
    <font>
      <b/>
      <sz val="13.0"/>
      <color rgb="FFFFFFFF"/>
      <name val="Calibri"/>
    </font>
    <font>
      <b/>
      <sz val="9.0"/>
      <color rgb="FF0D47A1"/>
      <name val="Calibri"/>
    </font>
    <font>
      <b/>
      <sz val="10.0"/>
      <color rgb="FFE65100"/>
      <name val="Calibri"/>
    </font>
    <font>
      <b/>
      <sz val="9.0"/>
      <color rgb="FF90CAF9"/>
      <name val="Calibri"/>
    </font>
    <font>
      <b/>
      <sz val="9.0"/>
      <color rgb="FFBBDEFB"/>
      <name val="Calibri"/>
    </font>
    <font>
      <b/>
      <sz val="9.0"/>
      <color rgb="FFFFD54F"/>
      <name val="Calibri"/>
    </font>
    <font>
      <sz val="8.0"/>
      <color rgb="FF546E7A"/>
      <name val="Calibri"/>
    </font>
    <font>
      <sz val="9.0"/>
      <color rgb="FF1A1A2E"/>
      <name val="Calibri"/>
    </font>
    <font>
      <b/>
      <sz val="10.0"/>
      <color rgb="FF0D47A1"/>
      <name val="Calibri"/>
    </font>
    <font>
      <sz val="9.0"/>
      <color rgb="FF0D47A1"/>
      <name val="Calibri"/>
    </font>
    <font>
      <b/>
      <sz val="10.0"/>
      <color rgb="FFE85D04"/>
      <name val="Calibri"/>
    </font>
    <font>
      <b/>
      <sz val="12.0"/>
      <color rgb="FFE65100"/>
      <name val="Calibri"/>
    </font>
    <font>
      <b/>
      <sz val="12.0"/>
      <color rgb="FF2E7D32"/>
      <name val="Calibri"/>
    </font>
    <font>
      <b/>
      <sz val="12.0"/>
      <color rgb="FF1565D8"/>
      <name val="Calibri"/>
    </font>
    <font>
      <sz val="11.0"/>
      <color rgb="FF000000"/>
      <name val="Calibri"/>
    </font>
    <font>
      <sz val="9.0"/>
      <color rgb="FF000000"/>
      <name val="Calibri"/>
    </font>
    <font>
      <b/>
      <sz val="9.0"/>
      <color rgb="FF263238"/>
      <name val="Calibri"/>
    </font>
    <font>
      <b/>
      <sz val="9.0"/>
      <color rgb="FFE65100"/>
      <name val="Calibri"/>
    </font>
    <font>
      <sz val="9.0"/>
      <color rgb="FFE65100"/>
      <name val="Calibri"/>
    </font>
    <font>
      <b/>
      <sz val="9.0"/>
      <color rgb="FFFFCC02"/>
      <name val="Calibri"/>
    </font>
    <font>
      <b/>
      <sz val="9.0"/>
      <color rgb="FF1565D8"/>
      <name val="Calibri"/>
    </font>
    <font>
      <b/>
      <sz val="9.0"/>
      <color rgb="FF2E7D32"/>
      <name val="Calibri"/>
    </font>
    <font>
      <b/>
      <sz val="10.0"/>
      <color rgb="FF90CAF9"/>
      <name val="Calibri"/>
    </font>
    <font>
      <b/>
      <sz val="10.0"/>
      <color rgb="FFA5D6A7"/>
      <name val="Calibri"/>
    </font>
    <font>
      <b/>
      <sz val="10.0"/>
      <color rgb="FFFFD54F"/>
      <name val="Calibri"/>
    </font>
    <font>
      <i/>
      <sz val="8.0"/>
      <color rgb="FF666666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CCCCCC"/>
        <bgColor rgb="FFCCCCCC"/>
      </patternFill>
    </fill>
    <fill>
      <patternFill patternType="solid">
        <fgColor rgb="FF1565D8"/>
        <bgColor rgb="FF1565D8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4F6F8"/>
        <bgColor rgb="FFF4F6F8"/>
      </patternFill>
    </fill>
    <fill>
      <patternFill patternType="solid">
        <fgColor rgb="FF263238"/>
        <bgColor rgb="FF263238"/>
      </patternFill>
    </fill>
    <fill>
      <patternFill patternType="solid">
        <fgColor rgb="FFFFFFFF"/>
        <bgColor rgb="FFFFFFFF"/>
      </patternFill>
    </fill>
    <fill>
      <patternFill patternType="solid">
        <fgColor rgb="FF6A1B9A"/>
        <bgColor rgb="FF6A1B9A"/>
      </patternFill>
    </fill>
    <fill>
      <patternFill patternType="solid">
        <fgColor rgb="FF00695C"/>
        <bgColor rgb="FF00695C"/>
      </patternFill>
    </fill>
    <fill>
      <patternFill patternType="solid">
        <fgColor rgb="FFF57F17"/>
        <bgColor rgb="FFF57F17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FF8F00"/>
        <bgColor rgb="FFFF8F00"/>
      </patternFill>
    </fill>
    <fill>
      <patternFill patternType="solid">
        <fgColor rgb="FF0F3460"/>
        <bgColor rgb="FF0F3460"/>
      </patternFill>
    </fill>
    <fill>
      <patternFill patternType="solid">
        <fgColor rgb="FFE85D04"/>
        <bgColor rgb="FFE85D04"/>
      </patternFill>
    </fill>
    <fill>
      <patternFill patternType="solid">
        <fgColor rgb="FFC9C9C9"/>
        <bgColor rgb="FFC9C9C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FF9C4"/>
        <bgColor rgb="FFFFF9C4"/>
      </patternFill>
    </fill>
    <fill>
      <patternFill patternType="solid">
        <fgColor rgb="FF000000"/>
        <bgColor rgb="FF000000"/>
      </patternFill>
    </fill>
    <fill>
      <patternFill patternType="solid">
        <fgColor rgb="FFE3F2FD"/>
        <bgColor rgb="FFE3F2FD"/>
      </patternFill>
    </fill>
    <fill>
      <patternFill patternType="solid">
        <fgColor rgb="FFFFECB3"/>
        <bgColor rgb="FFFFECB3"/>
      </patternFill>
    </fill>
    <fill>
      <patternFill patternType="solid">
        <fgColor rgb="FFE8F5E9"/>
        <bgColor rgb="FFE8F5E9"/>
      </patternFill>
    </fill>
    <fill>
      <patternFill patternType="solid">
        <fgColor rgb="FFD9D9D9"/>
        <bgColor rgb="FFD9D9D9"/>
      </patternFill>
    </fill>
    <fill>
      <patternFill patternType="solid">
        <fgColor rgb="FFB3E5FC"/>
        <bgColor rgb="FFB3E5FC"/>
      </patternFill>
    </fill>
    <fill>
      <patternFill patternType="solid">
        <fgColor rgb="FFFFCCBC"/>
        <bgColor rgb="FFFFCCBC"/>
      </patternFill>
    </fill>
    <fill>
      <patternFill patternType="solid">
        <fgColor rgb="FF546E7A"/>
        <bgColor rgb="FF546E7A"/>
      </patternFill>
    </fill>
    <fill>
      <patternFill patternType="solid">
        <fgColor rgb="FFECEFF1"/>
        <bgColor rgb="FFECEFF1"/>
      </patternFill>
    </fill>
  </fills>
  <borders count="2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0BEC5"/>
      </left>
      <right/>
      <top/>
      <bottom/>
    </border>
    <border>
      <left style="thin">
        <color rgb="FFB0BEC5"/>
      </left>
      <right style="thin">
        <color rgb="FFB0BEC5"/>
      </right>
      <top/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B0BEC5"/>
      </left>
      <top style="thin">
        <color rgb="FFB0BEC5"/>
      </top>
      <bottom style="thin">
        <color rgb="FFB0BEC5"/>
      </bottom>
    </border>
    <border>
      <top style="thin">
        <color rgb="FFB0BEC5"/>
      </top>
      <bottom style="thin">
        <color rgb="FFB0BEC5"/>
      </bottom>
    </border>
    <border>
      <right/>
      <top style="thin">
        <color rgb="FFB0BEC5"/>
      </top>
      <bottom style="thin">
        <color rgb="FFB0BEC5"/>
      </bottom>
    </border>
    <border>
      <left style="thin">
        <color rgb="FFB0BEC5"/>
      </left>
      <right/>
      <top style="thin">
        <color rgb="FFB0BEC5"/>
      </top>
      <bottom style="thin">
        <color rgb="FFB0BEC5"/>
      </bottom>
    </border>
    <border>
      <left/>
      <right style="thin">
        <color rgb="FFB0BEC5"/>
      </right>
      <top style="thin">
        <color rgb="FFB0BEC5"/>
      </top>
      <bottom style="thin">
        <color rgb="FFB0BEC5"/>
      </bottom>
    </border>
    <border>
      <left style="medium">
        <color rgb="FFFFAB40"/>
      </left>
      <top style="medium">
        <color rgb="FFFFAB40"/>
      </top>
      <bottom style="medium">
        <color rgb="FFFFAB40"/>
      </bottom>
    </border>
    <border>
      <top style="medium">
        <color rgb="FFFFAB40"/>
      </top>
      <bottom style="medium">
        <color rgb="FFFFAB40"/>
      </bottom>
    </border>
    <border>
      <right/>
      <top style="medium">
        <color rgb="FFFFAB40"/>
      </top>
      <bottom style="medium">
        <color rgb="FFFFAB40"/>
      </bottom>
    </border>
    <border>
      <left style="medium">
        <color rgb="FF8DC471"/>
      </left>
      <top style="medium">
        <color rgb="FF8DC471"/>
      </top>
      <bottom style="medium">
        <color rgb="FF8DC471"/>
      </bottom>
    </border>
    <border>
      <top style="medium">
        <color rgb="FF8DC471"/>
      </top>
      <bottom style="medium">
        <color rgb="FF8DC471"/>
      </bottom>
    </border>
    <border>
      <right/>
      <top style="medium">
        <color rgb="FF8DC471"/>
      </top>
      <bottom style="medium">
        <color rgb="FF8DC471"/>
      </bottom>
    </border>
    <border>
      <left style="medium">
        <color rgb="FF64B5F6"/>
      </left>
      <top style="medium">
        <color rgb="FF64B5F6"/>
      </top>
      <bottom style="medium">
        <color rgb="FF64B5F6"/>
      </bottom>
    </border>
    <border>
      <top style="medium">
        <color rgb="FF64B5F6"/>
      </top>
      <bottom style="medium">
        <color rgb="FF64B5F6"/>
      </bottom>
    </border>
    <border>
      <right/>
      <top style="medium">
        <color rgb="FF64B5F6"/>
      </top>
      <bottom style="medium">
        <color rgb="FF64B5F6"/>
      </bottom>
    </border>
    <border>
      <left style="thin">
        <color rgb="FFB0BEC5"/>
      </left>
      <right style="thin">
        <color rgb="FFB0BEC5"/>
      </right>
      <top style="thin">
        <color rgb="FFB0BEC5"/>
      </top>
      <bottom/>
    </border>
    <border>
      <left/>
      <right/>
      <top/>
      <bottom style="thin">
        <color rgb="FF000000"/>
      </bottom>
    </border>
    <border>
      <left style="medium">
        <color rgb="FFFFAB40"/>
      </left>
      <right style="medium">
        <color rgb="FFFFAB40"/>
      </right>
      <top style="medium">
        <color rgb="FFFFAB40"/>
      </top>
      <bottom style="medium">
        <color rgb="FFFFAB40"/>
      </bottom>
    </border>
    <border>
      <left/>
      <right/>
      <top style="thin">
        <color rgb="FFB0BEC5"/>
      </top>
      <bottom style="thin">
        <color rgb="FFB0BEC5"/>
      </bottom>
    </border>
    <border>
      <left style="thin">
        <color rgb="FFB0BEC5"/>
      </left>
      <top style="thin">
        <color rgb="FFB0BEC5"/>
      </top>
      <bottom/>
    </border>
    <border>
      <top style="thin">
        <color rgb="FFB0BEC5"/>
      </top>
      <bottom/>
    </border>
    <border>
      <right/>
      <top style="thin">
        <color rgb="FFB0BEC5"/>
      </top>
      <bottom/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4" fontId="4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5" fillId="6" fontId="5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5" fillId="7" fontId="5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shrinkToFit="0" vertical="bottom" wrapText="0"/>
    </xf>
    <xf borderId="6" fillId="4" fontId="4" numFmtId="0" xfId="0" applyAlignment="1" applyBorder="1" applyFill="1" applyFont="1">
      <alignment horizontal="center" shrinkToFit="0" vertical="center" wrapText="0"/>
    </xf>
    <xf borderId="4" fillId="9" fontId="6" numFmtId="0" xfId="0" applyAlignment="1" applyBorder="1" applyFill="1" applyFont="1">
      <alignment horizontal="center" shrinkToFit="0" vertical="center" wrapText="0"/>
    </xf>
    <xf borderId="6" fillId="4" fontId="4" numFmtId="0" xfId="0" applyAlignment="1" applyBorder="1" applyFill="1" applyFont="1">
      <alignment horizontal="center" readingOrder="0" shrinkToFit="0" vertical="center" wrapText="0"/>
    </xf>
    <xf borderId="7" fillId="10" fontId="7" numFmtId="164" xfId="0" applyAlignment="1" applyBorder="1" applyFill="1" applyFont="1" applyNumberFormat="1">
      <alignment horizontal="center" shrinkToFit="0" vertical="center" wrapText="0"/>
    </xf>
    <xf borderId="7" fillId="10" fontId="7" numFmtId="0" xfId="0" applyAlignment="1" applyBorder="1" applyFill="1" applyFont="1">
      <alignment horizontal="left" shrinkToFit="0" vertical="center" wrapText="0"/>
    </xf>
    <xf borderId="1" fillId="9" fontId="6" numFmtId="0" xfId="0" applyAlignment="1" applyBorder="1" applyFill="1" applyFont="1">
      <alignment horizontal="center" shrinkToFit="0" vertical="center" wrapText="0"/>
    </xf>
    <xf borderId="7" fillId="10" fontId="7" numFmtId="165" xfId="0" applyAlignment="1" applyBorder="1" applyFill="1" applyFont="1" applyNumberFormat="1">
      <alignment horizontal="center" shrinkToFit="0" vertical="center" wrapText="0"/>
    </xf>
    <xf borderId="7" fillId="0" fontId="7" numFmtId="164" xfId="0" applyAlignment="1" applyBorder="1" applyFont="1" applyNumberFormat="1">
      <alignment horizontal="center" shrinkToFit="0" vertical="center" wrapText="0"/>
    </xf>
    <xf borderId="4" fillId="5" fontId="8" numFmtId="0" xfId="0" applyAlignment="1" applyBorder="1" applyFill="1" applyFont="1">
      <alignment horizontal="right" shrinkToFit="0" vertical="center" wrapText="0"/>
    </xf>
    <xf borderId="7" fillId="0" fontId="7" numFmtId="0" xfId="0" applyAlignment="1" applyBorder="1" applyFont="1">
      <alignment horizontal="center" shrinkToFit="0" vertical="center" wrapText="0"/>
    </xf>
    <xf borderId="7" fillId="0" fontId="7" numFmtId="0" xfId="0" applyAlignment="1" applyBorder="1" applyFont="1">
      <alignment horizontal="left" shrinkToFit="0" vertical="center" wrapText="0"/>
    </xf>
    <xf borderId="7" fillId="0" fontId="7" numFmtId="165" xfId="0" applyAlignment="1" applyBorder="1" applyFont="1" applyNumberFormat="1">
      <alignment horizontal="center" shrinkToFit="0" vertical="center" wrapText="0"/>
    </xf>
    <xf borderId="4" fillId="5" fontId="9" numFmtId="165" xfId="0" applyAlignment="1" applyBorder="1" applyFill="1" applyFont="1" applyNumberFormat="1">
      <alignment horizontal="center" shrinkToFit="0" vertical="center" wrapText="0"/>
    </xf>
    <xf borderId="7" fillId="0" fontId="10" numFmtId="0" xfId="0" applyAlignment="1" applyBorder="1" applyFont="1">
      <alignment horizontal="left" shrinkToFit="0" vertical="center" wrapText="1"/>
    </xf>
    <xf borderId="4" fillId="11" fontId="8" numFmtId="0" xfId="0" applyAlignment="1" applyBorder="1" applyFill="1" applyFont="1">
      <alignment horizontal="right" shrinkToFit="0" vertical="center" wrapText="0"/>
    </xf>
    <xf borderId="4" fillId="11" fontId="9" numFmtId="165" xfId="0" applyAlignment="1" applyBorder="1" applyFill="1" applyFont="1" applyNumberFormat="1">
      <alignment horizontal="center" shrinkToFit="0" vertical="center" wrapText="0"/>
    </xf>
    <xf borderId="4" fillId="12" fontId="8" numFmtId="0" xfId="0" applyAlignment="1" applyBorder="1" applyFill="1" applyFont="1">
      <alignment horizontal="right" shrinkToFit="0" vertical="center" wrapText="0"/>
    </xf>
    <xf borderId="4" fillId="12" fontId="9" numFmtId="165" xfId="0" applyAlignment="1" applyBorder="1" applyFill="1" applyFont="1" applyNumberFormat="1">
      <alignment horizontal="center" shrinkToFit="0" vertical="center" wrapText="0"/>
    </xf>
    <xf borderId="4" fillId="13" fontId="8" numFmtId="0" xfId="0" applyAlignment="1" applyBorder="1" applyFill="1" applyFont="1">
      <alignment horizontal="right" shrinkToFit="0" vertical="center" wrapText="0"/>
    </xf>
    <xf borderId="4" fillId="13" fontId="9" numFmtId="165" xfId="0" applyAlignment="1" applyBorder="1" applyFill="1" applyFont="1" applyNumberFormat="1">
      <alignment horizontal="center" shrinkToFit="0" vertical="center" wrapText="0"/>
    </xf>
    <xf borderId="1" fillId="14" fontId="11" numFmtId="0" xfId="0" applyAlignment="1" applyBorder="1" applyFill="1" applyFont="1">
      <alignment horizontal="center" shrinkToFit="0" vertical="center" wrapText="0"/>
    </xf>
    <xf borderId="1" fillId="15" fontId="12" numFmtId="0" xfId="0" applyAlignment="1" applyBorder="1" applyFill="1" applyFont="1">
      <alignment horizontal="right" shrinkToFit="0" vertical="center" wrapText="0"/>
    </xf>
    <xf borderId="1" fillId="16" fontId="6" numFmtId="0" xfId="0" applyAlignment="1" applyBorder="1" applyFill="1" applyFont="1">
      <alignment horizontal="center" shrinkToFit="0" vertical="center" wrapText="0"/>
    </xf>
    <xf borderId="1" fillId="15" fontId="13" numFmtId="0" xfId="0" applyAlignment="1" applyBorder="1" applyFill="1" applyFont="1">
      <alignment horizontal="center" shrinkToFit="0" vertical="center" wrapText="0"/>
    </xf>
    <xf borderId="4" fillId="8" fontId="3" numFmtId="164" xfId="0" applyAlignment="1" applyBorder="1" applyFill="1" applyFont="1" applyNumberFormat="1">
      <alignment shrinkToFit="0" vertical="bottom" wrapText="0"/>
    </xf>
    <xf borderId="1" fillId="17" fontId="14" numFmtId="0" xfId="0" applyAlignment="1" applyBorder="1" applyFill="1" applyFont="1">
      <alignment horizontal="center" shrinkToFit="0" vertical="center" wrapText="0"/>
    </xf>
    <xf borderId="1" fillId="12" fontId="14" numFmtId="0" xfId="0" applyAlignment="1" applyBorder="1" applyFill="1" applyFont="1">
      <alignment horizontal="center" shrinkToFit="0" vertical="center" wrapText="0"/>
    </xf>
    <xf borderId="1" fillId="3" fontId="14" numFmtId="0" xfId="0" applyAlignment="1" applyBorder="1" applyFill="1" applyFont="1">
      <alignment horizontal="center" shrinkToFit="0" vertical="center" wrapText="0"/>
    </xf>
    <xf borderId="1" fillId="2" fontId="14" numFmtId="0" xfId="0" applyAlignment="1" applyBorder="1" applyFill="1" applyFont="1">
      <alignment horizontal="center" shrinkToFit="0" vertical="center" wrapText="0"/>
    </xf>
    <xf borderId="1" fillId="17" fontId="15" numFmtId="166" xfId="0" applyAlignment="1" applyBorder="1" applyFill="1" applyFont="1" applyNumberFormat="1">
      <alignment horizontal="center" shrinkToFit="0" vertical="center" wrapText="0"/>
    </xf>
    <xf borderId="1" fillId="12" fontId="15" numFmtId="166" xfId="0" applyAlignment="1" applyBorder="1" applyFill="1" applyFont="1" applyNumberFormat="1">
      <alignment horizontal="center" shrinkToFit="0" vertical="center" wrapText="0"/>
    </xf>
    <xf borderId="1" fillId="3" fontId="15" numFmtId="166" xfId="0" applyAlignment="1" applyBorder="1" applyFill="1" applyFont="1" applyNumberFormat="1">
      <alignment horizontal="center" shrinkToFit="0" vertical="center" wrapText="0"/>
    </xf>
    <xf borderId="1" fillId="2" fontId="15" numFmtId="166" xfId="0" applyAlignment="1" applyBorder="1" applyFill="1" applyFont="1" applyNumberFormat="1">
      <alignment horizontal="center" shrinkToFit="0" vertical="center" wrapText="0"/>
    </xf>
    <xf borderId="1" fillId="17" fontId="16" numFmtId="0" xfId="0" applyAlignment="1" applyBorder="1" applyFill="1" applyFont="1">
      <alignment horizontal="center" shrinkToFit="0" vertical="center" wrapText="0"/>
    </xf>
    <xf borderId="1" fillId="12" fontId="16" numFmtId="0" xfId="0" applyAlignment="1" applyBorder="1" applyFill="1" applyFont="1">
      <alignment horizontal="center" shrinkToFit="0" vertical="center" wrapText="0"/>
    </xf>
    <xf borderId="1" fillId="3" fontId="16" numFmtId="0" xfId="0" applyAlignment="1" applyBorder="1" applyFill="1" applyFont="1">
      <alignment horizontal="center" shrinkToFit="0" vertical="center" wrapText="0"/>
    </xf>
    <xf borderId="1" fillId="2" fontId="16" numFmtId="0" xfId="0" applyAlignment="1" applyBorder="1" applyFill="1" applyFont="1">
      <alignment horizontal="center" shrinkToFit="0" vertical="center" wrapText="0"/>
    </xf>
    <xf borderId="1" fillId="5" fontId="14" numFmtId="0" xfId="0" applyAlignment="1" applyBorder="1" applyFill="1" applyFont="1">
      <alignment horizontal="center" shrinkToFit="0" vertical="center" wrapText="0"/>
    </xf>
    <xf borderId="1" fillId="11" fontId="14" numFmtId="0" xfId="0" applyAlignment="1" applyBorder="1" applyFill="1" applyFont="1">
      <alignment horizontal="center" shrinkToFit="0" vertical="center" wrapText="0"/>
    </xf>
    <xf borderId="1" fillId="18" fontId="14" numFmtId="0" xfId="0" applyAlignment="1" applyBorder="1" applyFill="1" applyFont="1">
      <alignment horizontal="center" shrinkToFit="0" vertical="center" wrapText="0"/>
    </xf>
    <xf borderId="1" fillId="13" fontId="14" numFmtId="0" xfId="0" applyAlignment="1" applyBorder="1" applyFill="1" applyFont="1">
      <alignment horizontal="center" shrinkToFit="0" vertical="center" wrapText="0"/>
    </xf>
    <xf borderId="1" fillId="5" fontId="15" numFmtId="166" xfId="0" applyAlignment="1" applyBorder="1" applyFill="1" applyFont="1" applyNumberFormat="1">
      <alignment horizontal="center" shrinkToFit="0" vertical="center" wrapText="0"/>
    </xf>
    <xf borderId="1" fillId="11" fontId="15" numFmtId="166" xfId="0" applyAlignment="1" applyBorder="1" applyFill="1" applyFont="1" applyNumberFormat="1">
      <alignment horizontal="center" shrinkToFit="0" vertical="center" wrapText="0"/>
    </xf>
    <xf borderId="1" fillId="18" fontId="15" numFmtId="166" xfId="0" applyAlignment="1" applyBorder="1" applyFill="1" applyFont="1" applyNumberFormat="1">
      <alignment horizontal="center" shrinkToFit="0" vertical="center" wrapText="0"/>
    </xf>
    <xf borderId="1" fillId="13" fontId="15" numFmtId="166" xfId="0" applyAlignment="1" applyBorder="1" applyFill="1" applyFont="1" applyNumberFormat="1">
      <alignment horizontal="center" shrinkToFit="0" vertical="center" wrapText="0"/>
    </xf>
    <xf borderId="1" fillId="5" fontId="16" numFmtId="0" xfId="0" applyAlignment="1" applyBorder="1" applyFill="1" applyFont="1">
      <alignment horizontal="center" shrinkToFit="0" vertical="center" wrapText="0"/>
    </xf>
    <xf borderId="1" fillId="11" fontId="16" numFmtId="0" xfId="0" applyAlignment="1" applyBorder="1" applyFill="1" applyFont="1">
      <alignment horizontal="center" shrinkToFit="0" vertical="center" wrapText="0"/>
    </xf>
    <xf borderId="1" fillId="18" fontId="16" numFmtId="0" xfId="0" applyAlignment="1" applyBorder="1" applyFill="1" applyFont="1">
      <alignment horizontal="center" shrinkToFit="0" vertical="center" wrapText="0"/>
    </xf>
    <xf borderId="1" fillId="13" fontId="16" numFmtId="0" xfId="0" applyAlignment="1" applyBorder="1" applyFill="1" applyFont="1">
      <alignment horizontal="center" shrinkToFit="0" vertical="center" wrapText="0"/>
    </xf>
    <xf borderId="4" fillId="8" fontId="17" numFmtId="0" xfId="0" applyAlignment="1" applyBorder="1" applyFill="1" applyFont="1">
      <alignment shrinkToFit="0" vertical="bottom" wrapText="0"/>
    </xf>
    <xf borderId="4" fillId="8" fontId="17" numFmtId="0" xfId="0" applyAlignment="1" applyBorder="1" applyFill="1" applyFont="1">
      <alignment horizontal="center" shrinkToFit="0" vertical="center" wrapText="0"/>
    </xf>
    <xf borderId="4" fillId="8" fontId="17" numFmtId="167" xfId="0" applyAlignment="1" applyBorder="1" applyFill="1" applyFont="1" applyNumberFormat="1">
      <alignment horizontal="center" shrinkToFit="0" vertical="center" wrapText="0"/>
    </xf>
    <xf borderId="4" fillId="8" fontId="17" numFmtId="166" xfId="0" applyAlignment="1" applyBorder="1" applyFill="1" applyFont="1" applyNumberFormat="1">
      <alignment horizontal="center" shrinkToFit="0" vertical="center" wrapText="0"/>
    </xf>
    <xf borderId="4" fillId="8" fontId="17" numFmtId="168" xfId="0" applyAlignment="1" applyBorder="1" applyFill="1" applyFont="1" applyNumberFormat="1">
      <alignment horizontal="center" shrinkToFit="0" vertical="center" wrapText="0"/>
    </xf>
    <xf borderId="4" fillId="8" fontId="17" numFmtId="4" xfId="0" applyAlignment="1" applyBorder="1" applyFill="1" applyFont="1" applyNumberFormat="1">
      <alignment shrinkToFit="0" vertical="bottom" wrapText="0"/>
    </xf>
    <xf borderId="1" fillId="19" fontId="18" numFmtId="166" xfId="0" applyAlignment="1" applyBorder="1" applyFill="1" applyFont="1" applyNumberFormat="1">
      <alignment horizontal="center" shrinkToFit="0" vertical="bottom" wrapText="0"/>
    </xf>
    <xf borderId="4" fillId="20" fontId="18" numFmtId="166" xfId="0" applyAlignment="1" applyBorder="1" applyFill="1" applyFont="1" applyNumberFormat="1">
      <alignment shrinkToFit="0" vertical="bottom" wrapText="0"/>
    </xf>
    <xf borderId="4" fillId="20" fontId="18" numFmtId="169" xfId="0" applyAlignment="1" applyBorder="1" applyFill="1" applyFont="1" applyNumberFormat="1">
      <alignment horizontal="center" shrinkToFit="0" vertical="bottom" wrapText="0"/>
    </xf>
    <xf borderId="4" fillId="20" fontId="18" numFmtId="10" xfId="0" applyAlignment="1" applyBorder="1" applyFill="1" applyFont="1" applyNumberFormat="1">
      <alignment horizontal="center" shrinkToFit="0" vertical="bottom" wrapText="0"/>
    </xf>
    <xf borderId="4" fillId="21" fontId="18" numFmtId="166" xfId="0" applyAlignment="1" applyBorder="1" applyFill="1" applyFont="1" applyNumberFormat="1">
      <alignment shrinkToFit="0" vertical="bottom" wrapText="0"/>
    </xf>
    <xf borderId="4" fillId="21" fontId="18" numFmtId="169" xfId="0" applyAlignment="1" applyBorder="1" applyFill="1" applyFont="1" applyNumberFormat="1">
      <alignment horizontal="center" shrinkToFit="0" vertical="bottom" wrapText="0"/>
    </xf>
    <xf borderId="4" fillId="21" fontId="18" numFmtId="10" xfId="0" applyAlignment="1" applyBorder="1" applyFill="1" applyFont="1" applyNumberFormat="1">
      <alignment horizontal="center" shrinkToFit="0" vertical="bottom" wrapText="0"/>
    </xf>
    <xf borderId="4" fillId="22" fontId="18" numFmtId="166" xfId="0" applyAlignment="1" applyBorder="1" applyFill="1" applyFont="1" applyNumberFormat="1">
      <alignment shrinkToFit="0" vertical="bottom" wrapText="0"/>
    </xf>
    <xf borderId="4" fillId="22" fontId="18" numFmtId="169" xfId="0" applyAlignment="1" applyBorder="1" applyFill="1" applyFont="1" applyNumberFormat="1">
      <alignment horizontal="center" shrinkToFit="0" vertical="bottom" wrapText="0"/>
    </xf>
    <xf borderId="4" fillId="22" fontId="18" numFmtId="10" xfId="0" applyAlignment="1" applyBorder="1" applyFill="1" applyFont="1" applyNumberFormat="1">
      <alignment horizontal="center" shrinkToFit="0" vertical="bottom" wrapText="0"/>
    </xf>
    <xf borderId="4" fillId="23" fontId="18" numFmtId="0" xfId="0" applyAlignment="1" applyBorder="1" applyFill="1" applyFont="1">
      <alignment shrinkToFit="0" vertical="bottom" wrapText="0"/>
    </xf>
    <xf borderId="4" fillId="23" fontId="18" numFmtId="169" xfId="0" applyAlignment="1" applyBorder="1" applyFill="1" applyFont="1" applyNumberFormat="1">
      <alignment horizontal="center" shrinkToFit="0" vertical="bottom" wrapText="0"/>
    </xf>
    <xf borderId="4" fillId="23" fontId="18" numFmtId="10" xfId="0" applyAlignment="1" applyBorder="1" applyFill="1" applyFont="1" applyNumberForma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169" xfId="0" applyAlignment="1" applyFont="1" applyNumberFormat="1">
      <alignment horizontal="center" shrinkToFit="0" vertical="bottom" wrapText="0"/>
    </xf>
    <xf borderId="0" fillId="0" fontId="18" numFmtId="10" xfId="0" applyAlignment="1" applyFont="1" applyNumberFormat="1">
      <alignment horizontal="center" shrinkToFit="0" vertical="bottom" wrapText="0"/>
    </xf>
    <xf borderId="8" fillId="5" fontId="19" numFmtId="0" xfId="0" applyAlignment="1" applyBorder="1" applyFill="1" applyFont="1">
      <alignment horizontal="center" shrinkToFit="0" vertical="center" wrapText="0"/>
    </xf>
    <xf borderId="9" fillId="0" fontId="2" numFmtId="0" xfId="0" applyBorder="1" applyFont="1"/>
    <xf borderId="10" fillId="0" fontId="2" numFmtId="0" xfId="0" applyBorder="1" applyFont="1"/>
    <xf borderId="8" fillId="24" fontId="4" numFmtId="0" xfId="0" applyAlignment="1" applyBorder="1" applyFill="1" applyFont="1">
      <alignment horizontal="center" shrinkToFit="0" vertical="center" wrapText="0"/>
    </xf>
    <xf borderId="1" fillId="8" fontId="3" numFmtId="0" xfId="0" applyAlignment="1" applyBorder="1" applyFill="1" applyFont="1">
      <alignment shrinkToFit="0" vertical="bottom" wrapText="0"/>
    </xf>
    <xf borderId="8" fillId="0" fontId="20" numFmtId="0" xfId="0" applyAlignment="1" applyBorder="1" applyFont="1">
      <alignment horizontal="right" shrinkToFit="0" vertical="center" wrapText="0"/>
    </xf>
    <xf borderId="11" fillId="25" fontId="21" numFmtId="164" xfId="0" applyAlignment="1" applyBorder="1" applyFill="1" applyFont="1" applyNumberFormat="1">
      <alignment horizontal="center" readingOrder="0" shrinkToFit="0" vertical="center" wrapText="0"/>
    </xf>
    <xf borderId="12" fillId="25" fontId="21" numFmtId="164" xfId="0" applyAlignment="1" applyBorder="1" applyFill="1" applyFont="1" applyNumberFormat="1">
      <alignment horizontal="center" shrinkToFit="0" vertical="center" wrapText="0"/>
    </xf>
    <xf borderId="7" fillId="26" fontId="12" numFmtId="0" xfId="0" applyAlignment="1" applyBorder="1" applyFill="1" applyFont="1">
      <alignment horizontal="center" shrinkToFit="0" vertical="center" wrapText="1"/>
    </xf>
    <xf borderId="7" fillId="10" fontId="7" numFmtId="165" xfId="0" applyAlignment="1" applyBorder="1" applyFill="1" applyFont="1" applyNumberFormat="1">
      <alignment horizontal="center" shrinkToFit="0" vertical="bottom" wrapText="0"/>
    </xf>
    <xf borderId="7" fillId="26" fontId="22" numFmtId="0" xfId="0" applyAlignment="1" applyBorder="1" applyFill="1" applyFont="1">
      <alignment horizontal="center" shrinkToFit="0" vertical="center" wrapText="1"/>
    </xf>
    <xf borderId="7" fillId="26" fontId="23" numFmtId="0" xfId="0" applyAlignment="1" applyBorder="1" applyFill="1" applyFont="1">
      <alignment horizontal="center" shrinkToFit="0" vertical="center" wrapText="1"/>
    </xf>
    <xf borderId="7" fillId="26" fontId="24" numFmtId="0" xfId="0" applyAlignment="1" applyBorder="1" applyFill="1" applyFont="1">
      <alignment horizontal="center" shrinkToFit="0" vertical="center" wrapText="1"/>
    </xf>
    <xf borderId="7" fillId="10" fontId="25" numFmtId="0" xfId="0" applyAlignment="1" applyBorder="1" applyFill="1" applyFont="1">
      <alignment horizontal="center" shrinkToFit="0" vertical="center" wrapText="0"/>
    </xf>
    <xf borderId="7" fillId="10" fontId="26" numFmtId="0" xfId="0" applyAlignment="1" applyBorder="1" applyFill="1" applyFont="1">
      <alignment horizontal="left" shrinkToFit="0" vertical="center" wrapText="0"/>
    </xf>
    <xf borderId="7" fillId="10" fontId="26" numFmtId="165" xfId="0" applyAlignment="1" applyBorder="1" applyFill="1" applyFont="1" applyNumberFormat="1">
      <alignment horizontal="center" shrinkToFit="0" vertical="center" wrapText="0"/>
    </xf>
    <xf borderId="7" fillId="10" fontId="7" numFmtId="10" xfId="0" applyAlignment="1" applyBorder="1" applyFill="1" applyFont="1" applyNumberFormat="1">
      <alignment horizontal="center" shrinkToFit="0" vertical="center" wrapText="0"/>
    </xf>
    <xf borderId="7" fillId="27" fontId="27" numFmtId="165" xfId="0" applyAlignment="1" applyBorder="1" applyFill="1" applyFont="1" applyNumberFormat="1">
      <alignment horizontal="center" shrinkToFit="0" vertical="center" wrapText="0"/>
    </xf>
    <xf borderId="7" fillId="27" fontId="28" numFmtId="165" xfId="0" applyAlignment="1" applyBorder="1" applyFill="1" applyFont="1" applyNumberFormat="1">
      <alignment horizontal="center" shrinkToFit="0" vertical="center" wrapText="0"/>
    </xf>
    <xf borderId="7" fillId="10" fontId="28" numFmtId="165" xfId="0" applyAlignment="1" applyBorder="1" applyFill="1" applyFont="1" applyNumberFormat="1">
      <alignment horizontal="center" shrinkToFit="0" vertical="center" wrapText="0"/>
    </xf>
    <xf borderId="7" fillId="10" fontId="26" numFmtId="168" xfId="0" applyAlignment="1" applyBorder="1" applyFill="1" applyFont="1" applyNumberFormat="1">
      <alignment horizontal="center" shrinkToFit="0" vertical="center" wrapText="0"/>
    </xf>
    <xf borderId="8" fillId="14" fontId="29" numFmtId="0" xfId="0" applyAlignment="1" applyBorder="1" applyFill="1" applyFont="1">
      <alignment horizontal="right" shrinkToFit="0" vertical="center" wrapText="0"/>
    </xf>
    <xf borderId="7" fillId="14" fontId="8" numFmtId="165" xfId="0" applyAlignment="1" applyBorder="1" applyFill="1" applyFont="1" applyNumberFormat="1">
      <alignment horizontal="center" shrinkToFit="0" vertical="center" wrapText="0"/>
    </xf>
    <xf borderId="7" fillId="14" fontId="8" numFmtId="10" xfId="0" applyAlignment="1" applyBorder="1" applyFill="1" applyFont="1" applyNumberFormat="1">
      <alignment horizontal="center" shrinkToFit="0" vertical="center" wrapText="0"/>
    </xf>
    <xf borderId="13" fillId="28" fontId="30" numFmtId="0" xfId="0" applyAlignment="1" applyBorder="1" applyFill="1" applyFont="1">
      <alignment horizontal="center" shrinkToFit="0" vertical="center" wrapText="0"/>
    </xf>
    <xf borderId="14" fillId="0" fontId="2" numFmtId="0" xfId="0" applyBorder="1" applyFont="1"/>
    <xf borderId="15" fillId="0" fontId="2" numFmtId="0" xfId="0" applyBorder="1" applyFont="1"/>
    <xf borderId="7" fillId="12" fontId="8" numFmtId="165" xfId="0" applyAlignment="1" applyBorder="1" applyFill="1" applyFont="1" applyNumberFormat="1">
      <alignment horizontal="center" shrinkToFit="0" vertical="center" wrapText="0"/>
    </xf>
    <xf borderId="16" fillId="29" fontId="31" numFmtId="0" xfId="0" applyAlignment="1" applyBorder="1" applyFill="1" applyFont="1">
      <alignment horizontal="center" shrinkToFit="0" vertical="center" wrapText="0"/>
    </xf>
    <xf borderId="17" fillId="0" fontId="2" numFmtId="0" xfId="0" applyBorder="1" applyFont="1"/>
    <xf borderId="18" fillId="0" fontId="2" numFmtId="0" xfId="0" applyBorder="1" applyFont="1"/>
    <xf borderId="19" fillId="27" fontId="32" numFmtId="0" xfId="0" applyAlignment="1" applyBorder="1" applyFill="1" applyFont="1">
      <alignment horizontal="center" shrinkToFit="0" vertical="center" wrapText="0"/>
    </xf>
    <xf borderId="20" fillId="0" fontId="2" numFmtId="0" xfId="0" applyBorder="1" applyFont="1"/>
    <xf borderId="21" fillId="0" fontId="2" numFmtId="0" xfId="0" applyBorder="1" applyFont="1"/>
    <xf borderId="4" fillId="8" fontId="3" numFmtId="0" xfId="0" applyAlignment="1" applyBorder="1" applyFill="1" applyFont="1">
      <alignment horizontal="left" shrinkToFit="0" vertical="bottom" wrapText="0"/>
    </xf>
    <xf borderId="4" fillId="30" fontId="33" numFmtId="0" xfId="0" applyAlignment="1" applyBorder="1" applyFill="1" applyFont="1">
      <alignment shrinkToFit="0" vertical="bottom" wrapText="0"/>
    </xf>
    <xf borderId="8" fillId="30" fontId="5" numFmtId="0" xfId="0" applyAlignment="1" applyBorder="1" applyFill="1" applyFont="1">
      <alignment horizontal="center" shrinkToFit="0" vertical="center" wrapText="0"/>
    </xf>
    <xf borderId="22" fillId="30" fontId="5" numFmtId="0" xfId="0" applyAlignment="1" applyBorder="1" applyFill="1" applyFont="1">
      <alignment horizontal="left" shrinkToFit="0" vertical="center" wrapText="0"/>
    </xf>
    <xf borderId="22" fillId="30" fontId="5" numFmtId="0" xfId="0" applyAlignment="1" applyBorder="1" applyFill="1" applyFont="1">
      <alignment horizontal="center" shrinkToFit="0" vertical="center" wrapText="0"/>
    </xf>
    <xf borderId="23" fillId="9" fontId="12" numFmtId="0" xfId="0" applyAlignment="1" applyBorder="1" applyFill="1" applyFont="1">
      <alignment horizontal="center" shrinkToFit="0" vertical="center" wrapText="0"/>
    </xf>
    <xf borderId="23" fillId="10" fontId="34" numFmtId="164" xfId="0" applyAlignment="1" applyBorder="1" applyFill="1" applyFont="1" applyNumberFormat="1">
      <alignment horizontal="center" shrinkToFit="0" vertical="center" wrapText="0"/>
    </xf>
    <xf borderId="23" fillId="10" fontId="5" numFmtId="165" xfId="0" applyAlignment="1" applyBorder="1" applyFill="1" applyFont="1" applyNumberFormat="1">
      <alignment horizontal="center" shrinkToFit="0" vertical="center" wrapText="0"/>
    </xf>
    <xf borderId="23" fillId="10" fontId="34" numFmtId="170" xfId="0" applyAlignment="1" applyBorder="1" applyFill="1" applyFont="1" applyNumberFormat="1">
      <alignment horizontal="center" shrinkToFit="0" vertical="center" wrapText="0"/>
    </xf>
    <xf borderId="23" fillId="10" fontId="34" numFmtId="165" xfId="0" applyAlignment="1" applyBorder="1" applyFill="1" applyFont="1" applyNumberFormat="1">
      <alignment horizontal="center" shrinkToFit="0" vertical="center" wrapText="0"/>
    </xf>
    <xf borderId="23" fillId="10" fontId="34" numFmtId="165" xfId="0" applyAlignment="1" applyBorder="1" applyFill="1" applyFont="1" applyNumberFormat="1">
      <alignment horizontal="left" shrinkToFit="0" vertical="center" wrapText="0"/>
    </xf>
    <xf borderId="1" fillId="12" fontId="1" numFmtId="0" xfId="0" applyAlignment="1" applyBorder="1" applyFill="1" applyFont="1">
      <alignment horizontal="center" shrinkToFit="0" vertical="center" wrapText="0"/>
    </xf>
    <xf borderId="6" fillId="9" fontId="24" numFmtId="0" xfId="0" applyAlignment="1" applyBorder="1" applyFill="1" applyFont="1">
      <alignment horizontal="center" shrinkToFit="0" vertical="center" wrapText="1"/>
    </xf>
    <xf borderId="7" fillId="5" fontId="6" numFmtId="0" xfId="0" applyAlignment="1" applyBorder="1" applyFill="1" applyFont="1">
      <alignment horizontal="center" shrinkToFit="0" vertical="center" wrapText="0"/>
    </xf>
    <xf borderId="7" fillId="31" fontId="35" numFmtId="165" xfId="0" applyAlignment="1" applyBorder="1" applyFill="1" applyFont="1" applyNumberFormat="1">
      <alignment horizontal="center" shrinkToFit="0" vertical="center" wrapText="0"/>
    </xf>
    <xf borderId="7" fillId="32" fontId="35" numFmtId="165" xfId="0" applyAlignment="1" applyBorder="1" applyFill="1" applyFont="1" applyNumberFormat="1">
      <alignment horizontal="center" shrinkToFit="0" vertical="center" wrapText="0"/>
    </xf>
    <xf borderId="7" fillId="27" fontId="35" numFmtId="165" xfId="0" applyAlignment="1" applyBorder="1" applyFill="1" applyFont="1" applyNumberFormat="1">
      <alignment horizontal="center" shrinkToFit="0" vertical="center" wrapText="0"/>
    </xf>
    <xf borderId="24" fillId="25" fontId="36" numFmtId="165" xfId="0" applyAlignment="1" applyBorder="1" applyFill="1" applyFont="1" applyNumberFormat="1">
      <alignment horizontal="center" shrinkToFit="0" vertical="center" wrapText="0"/>
    </xf>
    <xf borderId="7" fillId="27" fontId="35" numFmtId="10" xfId="0" applyAlignment="1" applyBorder="1" applyFill="1" applyFont="1" applyNumberFormat="1">
      <alignment horizontal="center" shrinkToFit="0" vertical="center" wrapText="0"/>
    </xf>
    <xf borderId="7" fillId="27" fontId="35" numFmtId="0" xfId="0" applyAlignment="1" applyBorder="1" applyFill="1" applyFont="1">
      <alignment horizontal="center" shrinkToFit="0" vertical="center" wrapText="0"/>
    </xf>
    <xf borderId="7" fillId="2" fontId="6" numFmtId="0" xfId="0" applyAlignment="1" applyBorder="1" applyFill="1" applyFont="1">
      <alignment horizontal="center" shrinkToFit="0" vertical="center" wrapText="0"/>
    </xf>
    <xf borderId="7" fillId="29" fontId="35" numFmtId="165" xfId="0" applyAlignment="1" applyBorder="1" applyFill="1" applyFont="1" applyNumberFormat="1">
      <alignment horizontal="center" shrinkToFit="0" vertical="center" wrapText="0"/>
    </xf>
    <xf borderId="7" fillId="29" fontId="35" numFmtId="10" xfId="0" applyAlignment="1" applyBorder="1" applyFill="1" applyFont="1" applyNumberFormat="1">
      <alignment horizontal="center" shrinkToFit="0" vertical="center" wrapText="0"/>
    </xf>
    <xf borderId="7" fillId="29" fontId="35" numFmtId="0" xfId="0" applyAlignment="1" applyBorder="1" applyFill="1" applyFont="1">
      <alignment horizontal="center" shrinkToFit="0" vertical="center" wrapText="0"/>
    </xf>
    <xf borderId="7" fillId="14" fontId="8" numFmtId="0" xfId="0" applyAlignment="1" applyBorder="1" applyFill="1" applyFont="1">
      <alignment horizontal="center" shrinkToFit="0" vertical="center" wrapText="0"/>
    </xf>
    <xf borderId="8" fillId="25" fontId="37" numFmtId="0" xfId="0" applyAlignment="1" applyBorder="1" applyFill="1" applyFont="1">
      <alignment horizontal="center" shrinkToFit="0" vertical="center" wrapText="0"/>
    </xf>
    <xf borderId="4" fillId="9" fontId="12" numFmtId="0" xfId="0" applyAlignment="1" applyBorder="1" applyFill="1" applyFont="1">
      <alignment horizontal="center" shrinkToFit="0" vertical="center" wrapText="0"/>
    </xf>
    <xf borderId="6" fillId="9" fontId="12" numFmtId="0" xfId="0" applyAlignment="1" applyBorder="1" applyFill="1" applyFont="1">
      <alignment horizontal="center" shrinkToFit="0" vertical="center" wrapText="0"/>
    </xf>
    <xf borderId="6" fillId="9" fontId="38" numFmtId="0" xfId="0" applyAlignment="1" applyBorder="1" applyFill="1" applyFont="1">
      <alignment horizontal="center" shrinkToFit="0" vertical="center" wrapText="0"/>
    </xf>
    <xf borderId="7" fillId="8" fontId="7" numFmtId="0" xfId="0" applyAlignment="1" applyBorder="1" applyFill="1" applyFont="1">
      <alignment horizontal="left" shrinkToFit="0" vertical="center" wrapText="0"/>
    </xf>
    <xf borderId="7" fillId="8" fontId="7" numFmtId="171" xfId="0" applyAlignment="1" applyBorder="1" applyFill="1" applyFont="1" applyNumberFormat="1">
      <alignment horizontal="center" shrinkToFit="0" vertical="center" wrapText="0"/>
    </xf>
    <xf borderId="7" fillId="8" fontId="7" numFmtId="165" xfId="0" applyAlignment="1" applyBorder="1" applyFill="1" applyFont="1" applyNumberFormat="1">
      <alignment horizontal="center" shrinkToFit="0" vertical="center" wrapText="0"/>
    </xf>
    <xf borderId="7" fillId="8" fontId="7" numFmtId="10" xfId="0" applyAlignment="1" applyBorder="1" applyFill="1" applyFont="1" applyNumberFormat="1">
      <alignment horizontal="center" shrinkToFit="0" vertical="center" wrapText="0"/>
    </xf>
    <xf borderId="7" fillId="8" fontId="7" numFmtId="0" xfId="0" applyAlignment="1" applyBorder="1" applyFill="1" applyFont="1">
      <alignment horizontal="center" shrinkToFit="0" vertical="center" wrapText="0"/>
    </xf>
    <xf borderId="4" fillId="14" fontId="9" numFmtId="0" xfId="0" applyAlignment="1" applyBorder="1" applyFill="1" applyFont="1">
      <alignment horizontal="center" shrinkToFit="0" vertical="center" wrapText="0"/>
    </xf>
    <xf borderId="11" fillId="14" fontId="9" numFmtId="0" xfId="0" applyAlignment="1" applyBorder="1" applyFill="1" applyFont="1">
      <alignment horizontal="center" shrinkToFit="0" vertical="center" wrapText="0"/>
    </xf>
    <xf borderId="25" fillId="14" fontId="9" numFmtId="0" xfId="0" applyAlignment="1" applyBorder="1" applyFill="1" applyFont="1">
      <alignment horizontal="center" shrinkToFit="0" vertical="center" wrapText="0"/>
    </xf>
    <xf borderId="12" fillId="14" fontId="9" numFmtId="0" xfId="0" applyAlignment="1" applyBorder="1" applyFill="1" applyFont="1">
      <alignment horizontal="center" shrinkToFit="0" vertical="center" wrapText="0"/>
    </xf>
    <xf borderId="7" fillId="14" fontId="9" numFmtId="165" xfId="0" applyAlignment="1" applyBorder="1" applyFill="1" applyFont="1" applyNumberFormat="1">
      <alignment horizontal="center" shrinkToFit="0" vertical="center" wrapText="0"/>
    </xf>
    <xf borderId="7" fillId="14" fontId="9" numFmtId="10" xfId="0" applyAlignment="1" applyBorder="1" applyFill="1" applyFont="1" applyNumberFormat="1">
      <alignment horizontal="center" shrinkToFit="0" vertical="center" wrapText="0"/>
    </xf>
    <xf borderId="7" fillId="14" fontId="9" numFmtId="0" xfId="0" applyAlignment="1" applyBorder="1" applyFill="1" applyFont="1">
      <alignment horizontal="center" shrinkToFit="0" vertical="center" wrapText="0"/>
    </xf>
    <xf borderId="26" fillId="4" fontId="4" numFmtId="0" xfId="0" applyAlignment="1" applyBorder="1" applyFill="1" applyFont="1">
      <alignment horizontal="center" shrinkToFit="0" vertical="center" wrapText="0"/>
    </xf>
    <xf borderId="27" fillId="0" fontId="2" numFmtId="0" xfId="0" applyBorder="1" applyFont="1"/>
    <xf borderId="28" fillId="0" fontId="2" numFmtId="0" xfId="0" applyBorder="1" applyFont="1"/>
    <xf borderId="4" fillId="8" fontId="3" numFmtId="165" xfId="0" applyAlignment="1" applyBorder="1" applyFill="1" applyFont="1" applyNumberFormat="1">
      <alignment shrinkToFit="0" vertical="bottom" wrapText="0"/>
    </xf>
    <xf borderId="5" fillId="4" fontId="5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ill="1" applyFont="1">
      <alignment horizontal="center" shrinkToFit="0" vertical="center" wrapText="1"/>
    </xf>
    <xf borderId="7" fillId="10" fontId="39" numFmtId="0" xfId="0" applyAlignment="1" applyBorder="1" applyFill="1" applyFont="1">
      <alignment horizontal="center" shrinkToFit="0" vertical="center" wrapText="0"/>
    </xf>
    <xf borderId="7" fillId="10" fontId="35" numFmtId="0" xfId="0" applyAlignment="1" applyBorder="1" applyFill="1" applyFont="1">
      <alignment horizontal="left" shrinkToFit="0" vertical="center" wrapText="0"/>
    </xf>
    <xf borderId="7" fillId="10" fontId="40" numFmtId="0" xfId="0" applyAlignment="1" applyBorder="1" applyFill="1" applyFont="1">
      <alignment horizontal="center" shrinkToFit="0" vertical="center" wrapText="0"/>
    </xf>
    <xf borderId="7" fillId="10" fontId="7" numFmtId="171" xfId="0" applyAlignment="1" applyBorder="1" applyFill="1" applyFont="1" applyNumberFormat="1">
      <alignment horizontal="center" shrinkToFit="0" vertical="center" wrapText="0"/>
    </xf>
    <xf borderId="7" fillId="10" fontId="35" numFmtId="165" xfId="0" applyAlignment="1" applyBorder="1" applyFill="1" applyFont="1" applyNumberFormat="1">
      <alignment horizontal="center" shrinkToFit="0" vertical="center" wrapText="0"/>
    </xf>
    <xf borderId="1" fillId="33" fontId="1" numFmtId="0" xfId="0" applyAlignment="1" applyBorder="1" applyFill="1" applyFont="1">
      <alignment horizontal="center" shrinkToFit="0" vertical="center" wrapText="0"/>
    </xf>
    <xf borderId="4" fillId="33" fontId="1" numFmtId="0" xfId="0" applyAlignment="1" applyBorder="1" applyFill="1" applyFont="1">
      <alignment horizontal="center" shrinkToFit="0" vertical="center" wrapText="0"/>
    </xf>
    <xf borderId="4" fillId="9" fontId="41" numFmtId="0" xfId="0" applyAlignment="1" applyBorder="1" applyFill="1" applyFont="1">
      <alignment horizontal="left" shrinkToFit="0" vertical="center" wrapText="0"/>
    </xf>
    <xf borderId="6" fillId="11" fontId="6" numFmtId="0" xfId="0" applyAlignment="1" applyBorder="1" applyFill="1" applyFont="1">
      <alignment horizontal="center" shrinkToFit="0" vertical="center" wrapText="1"/>
    </xf>
    <xf borderId="4" fillId="9" fontId="42" numFmtId="0" xfId="0" applyAlignment="1" applyBorder="1" applyFill="1" applyFont="1">
      <alignment horizontal="left" shrinkToFit="0" vertical="center" wrapText="0"/>
    </xf>
    <xf borderId="4" fillId="9" fontId="43" numFmtId="0" xfId="0" applyAlignment="1" applyBorder="1" applyFill="1" applyFont="1">
      <alignment horizontal="left" shrinkToFit="0" vertical="center" wrapText="0"/>
    </xf>
    <xf borderId="6" fillId="12" fontId="6" numFmtId="0" xfId="0" applyAlignment="1" applyBorder="1" applyFill="1" applyFont="1">
      <alignment horizontal="center" shrinkToFit="0" vertical="center" wrapText="0"/>
    </xf>
    <xf borderId="6" fillId="26" fontId="8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shrinkToFit="0" vertical="bottom" wrapText="0"/>
    </xf>
    <xf borderId="0" fillId="0" fontId="44" numFmtId="0" xfId="0" applyAlignment="1" applyFont="1">
      <alignment shrinkToFit="0" vertical="bottom" wrapText="0"/>
    </xf>
    <xf borderId="7" fillId="10" fontId="26" numFmtId="0" xfId="0" applyAlignment="1" applyBorder="1" applyFill="1" applyFont="1">
      <alignment shrinkToFit="0" vertical="bottom" wrapText="0"/>
    </xf>
    <xf borderId="7" fillId="25" fontId="36" numFmtId="165" xfId="0" applyAlignment="1" applyBorder="1" applyFill="1" applyFont="1" applyNumberFormat="1">
      <alignment horizontal="center" shrinkToFit="0" vertical="center" wrapText="0"/>
    </xf>
    <xf borderId="4" fillId="34" fontId="7" numFmtId="0" xfId="0" applyAlignment="1" applyBorder="1" applyFill="1" applyFont="1">
      <alignment shrinkToFit="0" vertical="bottom" wrapText="0"/>
    </xf>
    <xf borderId="7" fillId="34" fontId="26" numFmtId="0" xfId="0" applyAlignment="1" applyBorder="1" applyFill="1" applyFont="1">
      <alignment shrinkToFit="0" vertical="bottom" wrapText="0"/>
    </xf>
    <xf borderId="7" fillId="34" fontId="26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8">
    <dxf>
      <font>
        <color rgb="FF3D85C6"/>
      </font>
      <fill>
        <patternFill patternType="none"/>
      </fill>
      <border/>
    </dxf>
    <dxf>
      <font>
        <color rgb="FFB45F06"/>
      </font>
      <fill>
        <patternFill patternType="none"/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  <dxf>
      <font>
        <b/>
        <color rgb="FFC62828"/>
      </font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>
        <b/>
        <color rgb="FFE65100"/>
      </font>
      <fill>
        <patternFill patternType="solid">
          <fgColor rgb="FFFFE0B2"/>
          <bgColor rgb="FFFFE0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DASHBOARD!$C$15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DASHBOARD!$B$16:$B$19</c:f>
            </c:strRef>
          </c:cat>
          <c:val>
            <c:numRef>
              <c:f>DASHBOARD!$C$16:$C$19</c:f>
              <c:numCache/>
            </c:numRef>
          </c:val>
        </c:ser>
        <c:axId val="172794904"/>
        <c:axId val="1549315124"/>
      </c:barChart>
      <c:catAx>
        <c:axId val="172794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Your Actual Data of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9315124"/>
      </c:catAx>
      <c:valAx>
        <c:axId val="1549315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94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12</xdr:row>
      <xdr:rowOff>19050</xdr:rowOff>
    </xdr:from>
    <xdr:ext cx="5876925" cy="3429000"/>
    <xdr:graphicFrame>
      <xdr:nvGraphicFramePr>
        <xdr:cNvPr id="10836346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731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0"/>
    <col customWidth="1" min="2" max="2" width="33.57"/>
    <col customWidth="1" min="3" max="3" width="14.29"/>
    <col customWidth="1" min="4" max="4" width="10.43"/>
    <col customWidth="1" min="5" max="7" width="12.43"/>
    <col customWidth="1" min="8" max="8" width="2.0"/>
    <col customWidth="1" min="9" max="15" width="12.43"/>
    <col customWidth="1" hidden="1" min="16" max="16" width="12.43"/>
    <col customWidth="1" hidden="1" min="17" max="19" width="13.0"/>
    <col customWidth="1" min="20" max="20" width="6.86"/>
  </cols>
  <sheetData>
    <row r="1" ht="33.0" customHeight="1">
      <c r="A1" s="32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11"/>
      <c r="T1" s="11"/>
    </row>
    <row r="2" ht="27.75" customHeight="1">
      <c r="A2" s="33" t="s">
        <v>53</v>
      </c>
      <c r="B2" s="3"/>
      <c r="C2" s="4"/>
      <c r="D2" s="34" t="s">
        <v>54</v>
      </c>
      <c r="E2" s="3"/>
      <c r="F2" s="3"/>
      <c r="G2" s="4"/>
      <c r="H2" s="35" t="str">
        <f>IF(D2="Last Month","Period: "&amp; TEXT(EOMONTH(TODAY(),-2)+1,"MMM-YY")&amp;" to "&amp;TEXT(EOMONTH(TODAY(),-1),"MMM-YY"),IF(D2="Last 3 Months","Period: "&amp;TEXT(EOMONTH(TODAY(),-3)+1,"MMM-YY")&amp;" to "&amp;TEXT(TODAY(),"MMM-YY"),IF(D2="Last 6 Months","Period: "&amp;TEXT(EOMONTH(TODAY(),-6)+1,"MMM-YY")&amp;" to "&amp;TEXT(TODAY(),"MMM-YY"),IF(D2="Last 12 Months","Period: "&amp;TEXT(EOMONTH(TODAY(),-12)+1,"MMM-YY")&amp;" to "&amp;TEXT(TODAY(),"MMM-YY"),IF(D2="Year to Date","Period: Jan-"&amp;YEAR(TODAY())&amp;" to "&amp;TEXT(TODAY(),"MMM-YY"),"All Time: Feb-2025 to Today")))))</f>
        <v>All Time: Feb-2025 to Today</v>
      </c>
      <c r="I2" s="3"/>
      <c r="J2" s="3"/>
      <c r="K2" s="3"/>
      <c r="L2" s="3"/>
      <c r="M2" s="4"/>
      <c r="N2" s="11"/>
      <c r="O2" s="11"/>
      <c r="P2" s="36">
        <f>IF(D2="Last Month",EOMONTH(TODAY(),-2)+1,IF(D2="Last 3 Months",EOMONTH(TODAY(),-3)+1,IF(D2="Last 6 Months",EOMONTH(TODAY(),-6)+1,IF(D2="Last 12 Months",EOMONTH(TODAY(),-12)+1,IF(D2="Year to Date",DATE(YEAR(TODAY()),1,1),DATE(2025,2,1))))))</f>
        <v>45689</v>
      </c>
      <c r="Q2" s="36">
        <f>IF(D2="Last Month",EOMONTH(TODAY(),-1),TODAY())</f>
        <v>46277</v>
      </c>
      <c r="R2" s="11"/>
      <c r="S2" s="11"/>
      <c r="T2" s="11"/>
    </row>
    <row r="3" ht="15.0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ht="15.0" customHeight="1">
      <c r="A4" s="37" t="s">
        <v>62</v>
      </c>
      <c r="B4" s="4"/>
      <c r="C4" s="11"/>
      <c r="D4" s="11"/>
      <c r="E4" s="38" t="s">
        <v>63</v>
      </c>
      <c r="F4" s="4"/>
      <c r="G4" s="11"/>
      <c r="H4" s="11"/>
      <c r="I4" s="39" t="s">
        <v>65</v>
      </c>
      <c r="J4" s="4"/>
      <c r="K4" s="11"/>
      <c r="L4" s="11"/>
      <c r="M4" s="40" t="s">
        <v>66</v>
      </c>
      <c r="N4" s="4"/>
      <c r="O4" s="11"/>
      <c r="P4" s="11"/>
      <c r="Q4" s="11"/>
      <c r="R4" s="11"/>
      <c r="S4" s="11"/>
      <c r="T4" s="11"/>
    </row>
    <row r="5" ht="39.75" customHeight="1">
      <c r="A5" s="41">
        <f>SUMIF('IN-HAND'!D:D,"Personal SBI (Saving)",'IN-HAND'!C:C)+SUMIF('IN-HAND'!D:D,"SBI FD",'IN-HAND'!C:C)+SUMIF('IN-HAND'!D:D,"EPFO",'IN-HAND'!C:C)+PORTFOLIO!E5</f>
        <v>391443.8347</v>
      </c>
      <c r="B5" s="4"/>
      <c r="C5" s="11"/>
      <c r="D5" s="11"/>
      <c r="E5" s="42">
        <f>IFERROR(SUMPRODUCT((INCOME!A$4:A$501&gt;=$P$2)*(INCOME!A$4:A$501&lt;=$Q$2)*(INCOME!C$4:C$501&gt;0)*(INCOME!D$4:D$501&lt;&gt;"Expense Money")*INCOME!C$4:C$501),0)</f>
        <v>113748</v>
      </c>
      <c r="F5" s="4"/>
      <c r="G5" s="11"/>
      <c r="H5" s="11"/>
      <c r="I5" s="43">
        <f>IFERROR(SUMPRODUCT((EXPENSES!A$4:A$1999&gt;=$P$2)*(EXPENSES!A$4:A$1999&lt;=$Q$2)*EXPENSES!D$4:D$1999),0)</f>
        <v>84425.18</v>
      </c>
      <c r="J5" s="4"/>
      <c r="K5" s="11"/>
      <c r="L5" s="11"/>
      <c r="M5" s="44">
        <f>IFERROR(SUMPRODUCT((INCOME!A$4:A$501&gt;=$P$2)*(INCOME!A$4:A$501&lt;=$Q$2)*(INCOME!C$4:C$501&gt;0)*(INCOME!D$4:D$501&lt;&gt;"Expense Money")*INCOME!C$4:C$501)-SUMPRODUCT((EXPENSES!A$4:A$1999&gt;=$P$2)*(EXPENSES!A$4:A$1999&lt;=$Q$2)*EXPENSES!D$4:D$1999),0)</f>
        <v>29322.82</v>
      </c>
      <c r="N5" s="4"/>
      <c r="O5" s="11"/>
      <c r="P5" s="11"/>
      <c r="Q5" s="11"/>
      <c r="R5" s="11"/>
      <c r="S5" s="11"/>
      <c r="T5" s="11"/>
    </row>
    <row r="6" ht="19.5" customHeight="1">
      <c r="A6" s="45" t="s">
        <v>73</v>
      </c>
      <c r="B6" s="4"/>
      <c r="C6" s="11"/>
      <c r="D6" s="11"/>
      <c r="E6" s="46" t="s">
        <v>74</v>
      </c>
      <c r="F6" s="4"/>
      <c r="G6" s="11"/>
      <c r="H6" s="11"/>
      <c r="I6" s="47" t="s">
        <v>76</v>
      </c>
      <c r="J6" s="4"/>
      <c r="K6" s="11"/>
      <c r="L6" s="11"/>
      <c r="M6" s="48" t="s">
        <v>77</v>
      </c>
      <c r="N6" s="4"/>
      <c r="O6" s="11"/>
      <c r="P6" s="11"/>
      <c r="Q6" s="11"/>
      <c r="R6" s="11"/>
      <c r="S6" s="11"/>
      <c r="T6" s="11"/>
    </row>
    <row r="7" ht="7.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9.5" customHeight="1">
      <c r="A8" s="49" t="s">
        <v>79</v>
      </c>
      <c r="B8" s="4"/>
      <c r="C8" s="11"/>
      <c r="D8" s="11"/>
      <c r="E8" s="50" t="s">
        <v>80</v>
      </c>
      <c r="F8" s="4"/>
      <c r="G8" s="11"/>
      <c r="H8" s="11"/>
      <c r="I8" s="51" t="s">
        <v>81</v>
      </c>
      <c r="J8" s="4"/>
      <c r="K8" s="11"/>
      <c r="L8" s="11"/>
      <c r="M8" s="52" t="s">
        <v>83</v>
      </c>
      <c r="N8" s="4"/>
      <c r="O8" s="11"/>
      <c r="P8" s="11"/>
      <c r="Q8" s="11"/>
      <c r="R8" s="11"/>
      <c r="S8" s="11"/>
      <c r="T8" s="11"/>
    </row>
    <row r="9" ht="39.75" customHeight="1">
      <c r="A9" s="53">
        <f>SUMIF('IN-HAND'!D:D,"Personal SBI (Saving)",'IN-HAND'!C:C)</f>
        <v>117580.84</v>
      </c>
      <c r="B9" s="4"/>
      <c r="C9" s="11"/>
      <c r="D9" s="11"/>
      <c r="E9" s="54">
        <f>SUMIF('IN-HAND'!D:D,"SBI FD",'IN-HAND'!C:C)+SUMIF('IN-HAND'!D:D,"EPFO",'IN-HAND'!C:C)</f>
        <v>150000</v>
      </c>
      <c r="F9" s="4"/>
      <c r="G9" s="11"/>
      <c r="H9" s="11"/>
      <c r="I9" s="55">
        <f>PORTFOLIO!E3</f>
        <v>95178.61416</v>
      </c>
      <c r="J9" s="4"/>
      <c r="K9" s="11"/>
      <c r="L9" s="11"/>
      <c r="M9" s="56">
        <f>PORTFOLIO!E4</f>
        <v>28684.38054</v>
      </c>
      <c r="N9" s="4"/>
      <c r="O9" s="11"/>
      <c r="P9" s="11"/>
      <c r="Q9" s="11"/>
      <c r="R9" s="11"/>
      <c r="S9" s="11"/>
      <c r="T9" s="11"/>
    </row>
    <row r="10" ht="19.5" customHeight="1">
      <c r="A10" s="57" t="s">
        <v>88</v>
      </c>
      <c r="B10" s="4"/>
      <c r="C10" s="11"/>
      <c r="D10" s="11"/>
      <c r="E10" s="58" t="s">
        <v>90</v>
      </c>
      <c r="F10" s="4"/>
      <c r="G10" s="11"/>
      <c r="H10" s="11"/>
      <c r="I10" s="59" t="s">
        <v>91</v>
      </c>
      <c r="J10" s="4"/>
      <c r="K10" s="11"/>
      <c r="L10" s="11"/>
      <c r="M10" s="60" t="s">
        <v>92</v>
      </c>
      <c r="N10" s="4"/>
      <c r="O10" s="11"/>
      <c r="P10" s="11"/>
      <c r="Q10" s="11"/>
      <c r="R10" s="11"/>
      <c r="S10" s="11"/>
      <c r="T10" s="11"/>
    </row>
    <row r="11" ht="9.75" customHeight="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</row>
    <row r="12" ht="24.0" customHeight="1">
      <c r="A12" s="17" t="s">
        <v>93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61"/>
      <c r="T12" s="61"/>
    </row>
    <row r="13" ht="15.0" customHeight="1">
      <c r="A13" s="62"/>
      <c r="B13" s="62"/>
      <c r="C13" s="62"/>
      <c r="D13" s="62"/>
      <c r="E13" s="62"/>
      <c r="F13" s="62"/>
      <c r="G13" s="62"/>
      <c r="H13" s="61"/>
      <c r="I13" s="62"/>
      <c r="J13" s="62"/>
      <c r="K13" s="62"/>
      <c r="L13" s="62"/>
      <c r="M13" s="62"/>
      <c r="N13" s="62"/>
      <c r="O13" s="62"/>
      <c r="P13" s="61"/>
      <c r="Q13" s="61"/>
      <c r="R13" s="61" t="s">
        <v>11</v>
      </c>
      <c r="S13" s="61" t="s">
        <v>96</v>
      </c>
      <c r="T13" s="61"/>
    </row>
    <row r="14" ht="15.0" customHeight="1">
      <c r="A14" s="63"/>
      <c r="B14" s="64"/>
      <c r="C14" s="64"/>
      <c r="D14" s="64"/>
      <c r="E14" s="65"/>
      <c r="F14" s="62"/>
      <c r="G14" s="62"/>
      <c r="H14" s="61"/>
      <c r="I14" s="63"/>
      <c r="J14" s="64"/>
      <c r="K14" s="64"/>
      <c r="L14" s="64"/>
      <c r="M14" s="65"/>
      <c r="N14" s="62"/>
      <c r="O14" s="62"/>
      <c r="P14" s="61"/>
      <c r="Q14" s="61"/>
      <c r="R14" s="61" t="s">
        <v>61</v>
      </c>
      <c r="S14" s="66">
        <f>IFERROR(SUMPRODUCT((EXPENSES!A$4:A$1999&gt;=$P$2)*(EXPENSES!A$4:A$1999&lt;=$Q$2)*(EXPENSES!E$4:E$1999="Bills &amp; Utilities")*EXPENSES!D$4:D$1999),0)</f>
        <v>6689</v>
      </c>
      <c r="T14" s="61"/>
    </row>
    <row r="15" ht="15.0" customHeight="1">
      <c r="A15" s="63"/>
      <c r="B15" s="67" t="s">
        <v>99</v>
      </c>
      <c r="C15" s="3"/>
      <c r="D15" s="4"/>
      <c r="E15" s="65"/>
      <c r="F15" s="62"/>
      <c r="G15" s="62"/>
      <c r="H15" s="61"/>
      <c r="I15" s="63"/>
      <c r="J15" s="64"/>
      <c r="K15" s="64"/>
      <c r="L15" s="64"/>
      <c r="M15" s="65"/>
      <c r="N15" s="62"/>
      <c r="O15" s="62"/>
      <c r="P15" s="61"/>
      <c r="Q15" s="61"/>
      <c r="R15" s="61" t="s">
        <v>100</v>
      </c>
      <c r="S15" s="66">
        <f>IFERROR(SUMPRODUCT((EXPENSES!A$4:A$1999&gt;=$P$2)*(EXPENSES!A$4:A$1999&lt;=$Q$2)*(EXPENSES!E$4:E$1999="Childcare &amp; Baby Needs")*EXPENSES!D$4:D$1999),0)</f>
        <v>0</v>
      </c>
      <c r="T15" s="61"/>
    </row>
    <row r="16" ht="15.0" customHeight="1">
      <c r="A16" s="63"/>
      <c r="B16" s="68" t="s">
        <v>79</v>
      </c>
      <c r="C16" s="69">
        <f>A9</f>
        <v>117580.84</v>
      </c>
      <c r="D16" s="70">
        <f t="shared" ref="D16:D20" si="1">C16/$C$20</f>
        <v>0.3003772945</v>
      </c>
      <c r="E16" s="65"/>
      <c r="F16" s="62"/>
      <c r="G16" s="62"/>
      <c r="H16" s="61"/>
      <c r="I16" s="63"/>
      <c r="J16" s="64"/>
      <c r="K16" s="64"/>
      <c r="L16" s="64"/>
      <c r="M16" s="65"/>
      <c r="N16" s="62"/>
      <c r="O16" s="62"/>
      <c r="P16" s="61"/>
      <c r="Q16" s="61"/>
      <c r="R16" s="61" t="s">
        <v>85</v>
      </c>
      <c r="S16" s="66">
        <f>IFERROR(SUMPRODUCT((EXPENSES!A$4:A$1999&gt;=$P$2)*(EXPENSES!A$4:A$1999&lt;=$Q$2)*(EXPENSES!E$4:E$1999="Education")*EXPENSES!D$4:D$1999),0)</f>
        <v>3088</v>
      </c>
      <c r="T16" s="61"/>
    </row>
    <row r="17" ht="15.0" customHeight="1">
      <c r="A17" s="63"/>
      <c r="B17" s="71" t="s">
        <v>105</v>
      </c>
      <c r="C17" s="72">
        <f>E9</f>
        <v>150000</v>
      </c>
      <c r="D17" s="73">
        <f t="shared" si="1"/>
        <v>0.3831967366</v>
      </c>
      <c r="E17" s="65"/>
      <c r="F17" s="62"/>
      <c r="G17" s="62"/>
      <c r="H17" s="61"/>
      <c r="I17" s="63"/>
      <c r="J17" s="64"/>
      <c r="K17" s="64"/>
      <c r="L17" s="64"/>
      <c r="M17" s="65"/>
      <c r="N17" s="62"/>
      <c r="O17" s="62"/>
      <c r="P17" s="61"/>
      <c r="Q17" s="61"/>
      <c r="R17" s="61" t="s">
        <v>107</v>
      </c>
      <c r="S17" s="66">
        <f>IFERROR(SUMPRODUCT((EXPENSES!A$4:A$1999&gt;=$P$2)*(EXPENSES!A$4:A$1999&lt;=$Q$2)*(EXPENSES!E$4:E$1999="Electronics &amp; Gadgets")*EXPENSES!D$4:D$1999),0)</f>
        <v>1614</v>
      </c>
      <c r="T17" s="61"/>
    </row>
    <row r="18" ht="15.0" customHeight="1">
      <c r="A18" s="63"/>
      <c r="B18" s="74" t="s">
        <v>81</v>
      </c>
      <c r="C18" s="75">
        <f>I9</f>
        <v>95178.61416</v>
      </c>
      <c r="D18" s="76">
        <f t="shared" si="1"/>
        <v>0.2431475622</v>
      </c>
      <c r="E18" s="65"/>
      <c r="F18" s="62"/>
      <c r="G18" s="62"/>
      <c r="H18" s="61"/>
      <c r="I18" s="63"/>
      <c r="J18" s="64"/>
      <c r="K18" s="64"/>
      <c r="L18" s="64"/>
      <c r="M18" s="65"/>
      <c r="N18" s="62"/>
      <c r="O18" s="62"/>
      <c r="P18" s="61"/>
      <c r="Q18" s="61"/>
      <c r="R18" s="61" t="s">
        <v>109</v>
      </c>
      <c r="S18" s="66">
        <f>IFERROR(SUMPRODUCT((EXPENSES!A$4:A$1999&gt;=$P$2)*(EXPENSES!A$4:A$1999&lt;=$Q$2)*(EXPENSES!E$4:E$1999="Entertainment")*EXPENSES!D$4:D$1999),0)</f>
        <v>0</v>
      </c>
      <c r="T18" s="61"/>
    </row>
    <row r="19" ht="15.0" customHeight="1">
      <c r="A19" s="61"/>
      <c r="B19" s="77" t="s">
        <v>111</v>
      </c>
      <c r="C19" s="78">
        <f>M9</f>
        <v>28684.38054</v>
      </c>
      <c r="D19" s="79">
        <f t="shared" si="1"/>
        <v>0.07327840675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 t="s">
        <v>113</v>
      </c>
      <c r="S19" s="66">
        <f>IFERROR(SUMPRODUCT((EXPENSES!A$4:A$1999&gt;=$P$2)*(EXPENSES!A$4:A$1999&lt;=$Q$2)*(EXPENSES!E$4:E$1999="Familly")*EXPENSES!D$4:D$1999),0)</f>
        <v>0</v>
      </c>
      <c r="T19" s="61"/>
    </row>
    <row r="20" ht="15.0" customHeight="1">
      <c r="A20" s="61"/>
      <c r="B20" s="80" t="s">
        <v>62</v>
      </c>
      <c r="C20" s="81">
        <f>SUM(C16:C19)</f>
        <v>391443.8347</v>
      </c>
      <c r="D20" s="82">
        <f t="shared" si="1"/>
        <v>1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 t="s">
        <v>115</v>
      </c>
      <c r="S20" s="66">
        <f>IFERROR(SUMPRODUCT((EXPENSES!A$4:A$1999&gt;=$P$2)*(EXPENSES!A$4:A$1999&lt;=$Q$2)*(EXPENSES!E$4:E$1999="Fitness")*EXPENSES!D$4:D$1999),0)</f>
        <v>0</v>
      </c>
      <c r="T20" s="61"/>
    </row>
    <row r="21" ht="15.0" customHeight="1">
      <c r="A21" s="62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 t="s">
        <v>35</v>
      </c>
      <c r="S21" s="66">
        <f>IFERROR(SUMPRODUCT((EXPENSES!A$4:A$1999&gt;=$P$2)*(EXPENSES!A$4:A$1999&lt;=$Q$2)*(EXPENSES!E$4:E$1999="Snacks &amp; Quick Bites")*EXPENSES!D$4:D$1999),0)</f>
        <v>3496</v>
      </c>
      <c r="T21" s="61"/>
    </row>
    <row r="22" ht="15.0" customHeight="1">
      <c r="A22" s="62"/>
      <c r="B22" s="61"/>
      <c r="C22" s="62"/>
      <c r="D22" s="61"/>
      <c r="E22" s="62"/>
      <c r="F22" s="61"/>
      <c r="G22" s="62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 t="s">
        <v>33</v>
      </c>
      <c r="S22" s="66">
        <f>IFERROR(SUMPRODUCT((EXPENSES!A$4:A$1999&gt;=$P$2)*(EXPENSES!A$4:A$1999&lt;=$Q$2)*(EXPENSES!E$4:E$1999="Fuel")*EXPENSES!D$4:D$1999),0)</f>
        <v>641</v>
      </c>
      <c r="T22" s="61"/>
    </row>
    <row r="23" ht="15.0" customHeight="1">
      <c r="A23" s="64"/>
      <c r="B23" s="61"/>
      <c r="C23" s="64"/>
      <c r="D23" s="61"/>
      <c r="E23" s="64"/>
      <c r="F23" s="61"/>
      <c r="G23" s="64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 t="s">
        <v>38</v>
      </c>
      <c r="S23" s="66">
        <f>IFERROR(SUMPRODUCT((EXPENSES!A$4:A$1999&gt;=$P$2)*(EXPENSES!A$4:A$1999&lt;=$Q$2)*(EXPENSES!E$4:E$1999="Gifts")*EXPENSES!D$4:D$1999),0)</f>
        <v>21760</v>
      </c>
      <c r="T23" s="61"/>
    </row>
    <row r="24" ht="15.0" customHeight="1">
      <c r="A24" s="62"/>
      <c r="B24" s="61"/>
      <c r="C24" s="62"/>
      <c r="D24" s="61"/>
      <c r="E24" s="62"/>
      <c r="F24" s="61"/>
      <c r="G24" s="62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 t="s">
        <v>118</v>
      </c>
      <c r="S24" s="66">
        <f>IFERROR(SUMPRODUCT((EXPENSES!A$4:A$1999&gt;=$P$2)*(EXPENSES!A$4:A$1999&lt;=$Q$2)*(EXPENSES!E$4:E$1999="Groceries")*EXPENSES!D$4:D$1999),0)</f>
        <v>3607</v>
      </c>
      <c r="T24" s="61"/>
    </row>
    <row r="25" ht="15.0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 t="s">
        <v>120</v>
      </c>
      <c r="S25" s="66">
        <f>IFERROR(SUMPRODUCT((EXPENSES!A$4:A$1999&gt;=$P$2)*(EXPENSES!A$4:A$1999&lt;=$Q$2)*(EXPENSES!E$4:E$1999="HouseHold")*EXPENSES!D$4:D$1999),0)</f>
        <v>285</v>
      </c>
      <c r="T25" s="61"/>
    </row>
    <row r="26" ht="15.0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 t="s">
        <v>122</v>
      </c>
      <c r="S26" s="66">
        <f>IFERROR(SUMPRODUCT((EXPENSES!A$4:A$1999&gt;=$P$2)*(EXPENSES!A$4:A$1999&lt;=$Q$2)*(EXPENSES!E$4:E$1999="Insurance")*EXPENSES!D$4:D$1999),0)</f>
        <v>0</v>
      </c>
      <c r="T26" s="61"/>
    </row>
    <row r="27" ht="15.0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 t="s">
        <v>95</v>
      </c>
      <c r="S27" s="66">
        <f>IFERROR(SUMPRODUCT((EXPENSES!A$4:A$1999&gt;=$P$2)*(EXPENSES!A$4:A$1999&lt;=$Q$2)*(EXPENSES!E$4:E$1999="Investments")*EXPENSES!D$4:D$1999),0)</f>
        <v>14000</v>
      </c>
      <c r="T27" s="61"/>
    </row>
    <row r="28" ht="15.0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 t="s">
        <v>44</v>
      </c>
      <c r="S28" s="66">
        <f>IFERROR(SUMPRODUCT((EXPENSES!A$4:A$1999&gt;=$P$2)*(EXPENSES!A$4:A$1999&lt;=$Q$2)*(EXPENSES!E$4:E$1999="Loans Given &amp; Taken")*EXPENSES!D$4:D$1999),0)</f>
        <v>7800</v>
      </c>
      <c r="T28" s="61"/>
    </row>
    <row r="29" ht="15.0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 t="s">
        <v>52</v>
      </c>
      <c r="S29" s="66">
        <f>IFERROR(SUMPRODUCT((EXPENSES!A$4:A$1999&gt;=$P$2)*(EXPENSES!A$4:A$1999&lt;=$Q$2)*(EXPENSES!E$4:E$1999="Medical")*EXPENSES!D$4:D$1999),0)</f>
        <v>1367</v>
      </c>
      <c r="T29" s="61"/>
    </row>
    <row r="30" ht="15.0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 t="s">
        <v>42</v>
      </c>
      <c r="S30" s="66">
        <f>IFERROR(SUMPRODUCT((EXPENSES!A$4:A$1999&gt;=$P$2)*(EXPENSES!A$4:A$1999&lt;=$Q$2)*(EXPENSES!E$4:E$1999="Personal Care")*EXPENSES!D$4:D$1999),0)</f>
        <v>1433</v>
      </c>
      <c r="T30" s="61"/>
    </row>
    <row r="31" ht="15.0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 t="s">
        <v>127</v>
      </c>
      <c r="S31" s="66">
        <f>IFERROR(SUMPRODUCT((EXPENSES!A$4:A$1999&gt;=$P$2)*(EXPENSES!A$4:A$1999&lt;=$Q$2)*(EXPENSES!E$4:E$1999="Rent")*EXPENSES!D$4:D$1999),0)</f>
        <v>0</v>
      </c>
      <c r="T31" s="61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mergeCells count="30">
    <mergeCell ref="A1:R1"/>
    <mergeCell ref="A2:C2"/>
    <mergeCell ref="D2:G2"/>
    <mergeCell ref="H2:M2"/>
    <mergeCell ref="E4:F4"/>
    <mergeCell ref="I4:J4"/>
    <mergeCell ref="M4:N4"/>
    <mergeCell ref="M5:N5"/>
    <mergeCell ref="M6:N6"/>
    <mergeCell ref="A4:B4"/>
    <mergeCell ref="A5:B5"/>
    <mergeCell ref="E5:F5"/>
    <mergeCell ref="I5:J5"/>
    <mergeCell ref="A6:B6"/>
    <mergeCell ref="E6:F6"/>
    <mergeCell ref="I6:J6"/>
    <mergeCell ref="A9:B9"/>
    <mergeCell ref="A10:B10"/>
    <mergeCell ref="E10:F10"/>
    <mergeCell ref="I10:J10"/>
    <mergeCell ref="M10:N10"/>
    <mergeCell ref="A12:R12"/>
    <mergeCell ref="B15:D15"/>
    <mergeCell ref="A8:B8"/>
    <mergeCell ref="E8:F8"/>
    <mergeCell ref="I8:J8"/>
    <mergeCell ref="M8:N8"/>
    <mergeCell ref="E9:F9"/>
    <mergeCell ref="I9:J9"/>
    <mergeCell ref="M9:N9"/>
  </mergeCells>
  <dataValidations>
    <dataValidation type="list" allowBlank="1" sqref="D2">
      <formula1>"Last Month,Last 3 Months,Last 6 Months,Last 12 Months,Year to Date,All Time"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3935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32.0"/>
    <col customWidth="1" min="4" max="4" width="14.0"/>
    <col customWidth="1" min="5" max="5" width="28.0"/>
    <col customWidth="1" min="6" max="6" width="49.14"/>
    <col customWidth="1" min="7" max="7" width="40.57"/>
    <col customWidth="1" min="8" max="8" width="3.29"/>
  </cols>
  <sheetData>
    <row r="1" ht="31.5" customHeight="1">
      <c r="A1" s="2" t="s">
        <v>1</v>
      </c>
      <c r="B1" s="3"/>
      <c r="C1" s="3"/>
      <c r="D1" s="3"/>
      <c r="E1" s="3"/>
      <c r="F1" s="3"/>
      <c r="G1" s="4"/>
      <c r="H1" s="5"/>
      <c r="I1" s="5"/>
    </row>
    <row r="2" ht="15.0" customHeight="1">
      <c r="A2" s="6" t="s">
        <v>3</v>
      </c>
      <c r="B2" s="8" t="s">
        <v>5</v>
      </c>
      <c r="C2" s="6" t="s">
        <v>3</v>
      </c>
      <c r="D2" s="6" t="s">
        <v>3</v>
      </c>
      <c r="E2" s="10" t="s">
        <v>4</v>
      </c>
      <c r="F2" s="8" t="s">
        <v>5</v>
      </c>
      <c r="G2" s="6" t="s">
        <v>3</v>
      </c>
      <c r="H2" s="11"/>
      <c r="I2" s="5"/>
    </row>
    <row r="3" ht="24.0" customHeight="1">
      <c r="A3" s="12" t="s">
        <v>6</v>
      </c>
      <c r="B3" s="12" t="s">
        <v>7</v>
      </c>
      <c r="C3" s="12" t="s">
        <v>8</v>
      </c>
      <c r="D3" s="12" t="s">
        <v>10</v>
      </c>
      <c r="E3" s="12" t="s">
        <v>11</v>
      </c>
      <c r="F3" s="12" t="s">
        <v>12</v>
      </c>
      <c r="G3" s="14" t="s">
        <v>13</v>
      </c>
      <c r="H3" s="11"/>
      <c r="I3" s="5"/>
    </row>
    <row r="4" ht="15.75" customHeight="1">
      <c r="A4" s="19">
        <v>45717.0</v>
      </c>
      <c r="B4" s="21" t="str">
        <f t="shared" ref="B4:B159" si="1">IFERROR(IF(A4&lt;=0,"",TEXT(A4,"MMM YY")),"")</f>
        <v>Mar 25</v>
      </c>
      <c r="C4" s="22" t="s">
        <v>26</v>
      </c>
      <c r="D4" s="23">
        <v>208.0</v>
      </c>
      <c r="E4" s="22" t="s">
        <v>27</v>
      </c>
      <c r="F4" s="25" t="str">
        <f>IFERROR(VLOOKUP(E4,SETTINGS!A:B,2,0),"No Value")</f>
        <v>Dining Out, Fast Food, Café, Home Delivery, Street Food</v>
      </c>
      <c r="G4" s="11"/>
      <c r="H4" s="11"/>
      <c r="I4" s="5"/>
    </row>
    <row r="5" ht="15.75" customHeight="1">
      <c r="A5" s="19">
        <v>45717.0</v>
      </c>
      <c r="B5" s="21" t="str">
        <f t="shared" si="1"/>
        <v>Mar 25</v>
      </c>
      <c r="C5" s="22" t="s">
        <v>32</v>
      </c>
      <c r="D5" s="23">
        <v>641.0</v>
      </c>
      <c r="E5" s="22" t="s">
        <v>33</v>
      </c>
      <c r="F5" s="25" t="str">
        <f>IFERROR(VLOOKUP(E5,SETTINGS!A:B,2,0),"No Value")</f>
        <v>Petrol, Diesel, CNG, Electric Charging Stations</v>
      </c>
      <c r="G5" s="11"/>
      <c r="H5" s="11"/>
      <c r="I5" s="5"/>
    </row>
    <row r="6" ht="15.75" customHeight="1">
      <c r="A6" s="19">
        <v>45717.0</v>
      </c>
      <c r="B6" s="21" t="str">
        <f t="shared" si="1"/>
        <v>Mar 25</v>
      </c>
      <c r="C6" s="22" t="s">
        <v>34</v>
      </c>
      <c r="D6" s="23">
        <v>77.0</v>
      </c>
      <c r="E6" s="22" t="s">
        <v>35</v>
      </c>
      <c r="F6" s="25" t="str">
        <f>IFERROR(VLOOKUP(E6,SETTINGS!A:B,2,0),"No Value")</f>
        <v>Office tea/coffee, Small breaks, Bakery items, Juice, chips, biscuits</v>
      </c>
      <c r="G6" s="11"/>
      <c r="H6" s="11"/>
      <c r="I6" s="5"/>
    </row>
    <row r="7" ht="15.75" customHeight="1">
      <c r="A7" s="19">
        <v>45718.0</v>
      </c>
      <c r="B7" s="21" t="str">
        <f t="shared" si="1"/>
        <v>Mar 25</v>
      </c>
      <c r="C7" s="22" t="s">
        <v>37</v>
      </c>
      <c r="D7" s="23">
        <v>200.0</v>
      </c>
      <c r="E7" s="22" t="s">
        <v>38</v>
      </c>
      <c r="F7" s="25" t="str">
        <f>IFERROR(VLOOKUP(E7,SETTINGS!A:B,2,0),"No Value")</f>
        <v>Birthday Gifts, Anniversary Gifts, Festival Gifts, Wedding Gifts, Gifts for Friends</v>
      </c>
      <c r="G7" s="11"/>
      <c r="H7" s="11"/>
      <c r="I7" s="5"/>
    </row>
    <row r="8" ht="15.75" customHeight="1">
      <c r="A8" s="19">
        <v>45718.0</v>
      </c>
      <c r="B8" s="21" t="str">
        <f t="shared" si="1"/>
        <v>Mar 25</v>
      </c>
      <c r="C8" s="22" t="s">
        <v>41</v>
      </c>
      <c r="D8" s="23">
        <v>100.0</v>
      </c>
      <c r="E8" s="22" t="s">
        <v>42</v>
      </c>
      <c r="F8" s="25" t="str">
        <f>IFERROR(VLOOKUP(E8,SETTINGS!A:B,2,0),"No Value")</f>
        <v>Haircuts, Skincare, Beauty Products, Grooming Kits, Salon</v>
      </c>
      <c r="G8" s="11"/>
      <c r="H8" s="11"/>
      <c r="I8" s="5"/>
    </row>
    <row r="9" ht="15.75" customHeight="1">
      <c r="A9" s="19">
        <v>45720.0</v>
      </c>
      <c r="B9" s="21" t="str">
        <f t="shared" si="1"/>
        <v>Mar 25</v>
      </c>
      <c r="C9" s="22" t="s">
        <v>43</v>
      </c>
      <c r="D9" s="23">
        <v>1000.0</v>
      </c>
      <c r="E9" s="22" t="s">
        <v>44</v>
      </c>
      <c r="F9" s="25" t="str">
        <f>IFERROR(VLOOKUP(E9,SETTINGS!A:B,2,0),"No Value")</f>
        <v>Borrowing from Friends, Lending to Family, Interest on Loan</v>
      </c>
      <c r="G9" s="11"/>
      <c r="H9" s="11"/>
      <c r="I9" s="5"/>
    </row>
    <row r="10" ht="15.75" customHeight="1">
      <c r="A10" s="19">
        <v>45720.0</v>
      </c>
      <c r="B10" s="21" t="str">
        <f t="shared" si="1"/>
        <v>Mar 25</v>
      </c>
      <c r="C10" s="22" t="s">
        <v>46</v>
      </c>
      <c r="D10" s="23">
        <v>146.0</v>
      </c>
      <c r="E10" s="22" t="s">
        <v>47</v>
      </c>
      <c r="F10" s="25" t="str">
        <f>IFERROR(VLOOKUP(E10,SETTINGS!A:B,2,0),"No Value")</f>
        <v>Flight Tickets, Hotel Stays, Sightseeing, Rental Cars, Visa Fees</v>
      </c>
      <c r="G10" s="11"/>
      <c r="H10" s="11"/>
      <c r="I10" s="5"/>
    </row>
    <row r="11" ht="15.75" customHeight="1">
      <c r="A11" s="19">
        <v>45720.0</v>
      </c>
      <c r="B11" s="21" t="str">
        <f t="shared" si="1"/>
        <v>Mar 25</v>
      </c>
      <c r="C11" s="22" t="s">
        <v>49</v>
      </c>
      <c r="D11" s="23">
        <v>200.0</v>
      </c>
      <c r="E11" s="22" t="s">
        <v>35</v>
      </c>
      <c r="F11" s="25" t="str">
        <f>IFERROR(VLOOKUP(E11,SETTINGS!A:B,2,0),"No Value")</f>
        <v>Office tea/coffee, Small breaks, Bakery items, Juice, chips, biscuits</v>
      </c>
      <c r="G11" s="11"/>
      <c r="H11" s="11"/>
      <c r="I11" s="5"/>
    </row>
    <row r="12" ht="15.75" customHeight="1">
      <c r="A12" s="19">
        <v>45723.0</v>
      </c>
      <c r="B12" s="21" t="str">
        <f t="shared" si="1"/>
        <v>Mar 25</v>
      </c>
      <c r="C12" s="22" t="s">
        <v>51</v>
      </c>
      <c r="D12" s="23">
        <v>10.0</v>
      </c>
      <c r="E12" s="22" t="s">
        <v>52</v>
      </c>
      <c r="F12" s="25" t="str">
        <f>IFERROR(VLOOKUP(E12,SETTINGS!A:B,2,0),"No Value")</f>
        <v>Medicines, Doctor Consultation, Hospitalization, Surgery</v>
      </c>
      <c r="G12" s="11"/>
      <c r="H12" s="11"/>
      <c r="I12" s="5"/>
    </row>
    <row r="13" ht="15.75" customHeight="1">
      <c r="A13" s="19">
        <v>45724.0</v>
      </c>
      <c r="B13" s="21" t="str">
        <f t="shared" si="1"/>
        <v>Mar 25</v>
      </c>
      <c r="C13" s="22" t="s">
        <v>55</v>
      </c>
      <c r="D13" s="23">
        <v>130.0</v>
      </c>
      <c r="E13" s="22" t="s">
        <v>27</v>
      </c>
      <c r="F13" s="25" t="str">
        <f>IFERROR(VLOOKUP(E13,SETTINGS!A:B,2,0),"No Value")</f>
        <v>Dining Out, Fast Food, Café, Home Delivery, Street Food</v>
      </c>
      <c r="G13" s="11"/>
      <c r="H13" s="11"/>
      <c r="I13" s="5"/>
    </row>
    <row r="14" ht="15.75" customHeight="1">
      <c r="A14" s="19">
        <v>45724.0</v>
      </c>
      <c r="B14" s="21" t="str">
        <f t="shared" si="1"/>
        <v>Mar 25</v>
      </c>
      <c r="C14" s="22" t="s">
        <v>56</v>
      </c>
      <c r="D14" s="23">
        <v>140.0</v>
      </c>
      <c r="E14" s="22" t="s">
        <v>27</v>
      </c>
      <c r="F14" s="25" t="str">
        <f>IFERROR(VLOOKUP(E14,SETTINGS!A:B,2,0),"No Value")</f>
        <v>Dining Out, Fast Food, Café, Home Delivery, Street Food</v>
      </c>
      <c r="G14" s="11"/>
      <c r="H14" s="11"/>
      <c r="I14" s="5"/>
    </row>
    <row r="15" ht="15.75" customHeight="1">
      <c r="A15" s="19">
        <v>45725.0</v>
      </c>
      <c r="B15" s="21" t="str">
        <f t="shared" si="1"/>
        <v>Mar 25</v>
      </c>
      <c r="C15" s="22" t="s">
        <v>57</v>
      </c>
      <c r="D15" s="23">
        <v>240.0</v>
      </c>
      <c r="E15" s="22" t="s">
        <v>38</v>
      </c>
      <c r="F15" s="25" t="str">
        <f>IFERROR(VLOOKUP(E15,SETTINGS!A:B,2,0),"No Value")</f>
        <v>Birthday Gifts, Anniversary Gifts, Festival Gifts, Wedding Gifts, Gifts for Friends</v>
      </c>
      <c r="G15" s="11"/>
      <c r="H15" s="11"/>
      <c r="I15" s="5"/>
    </row>
    <row r="16" ht="15.75" customHeight="1">
      <c r="A16" s="19">
        <v>45725.0</v>
      </c>
      <c r="B16" s="21" t="str">
        <f t="shared" si="1"/>
        <v>Mar 25</v>
      </c>
      <c r="C16" s="22" t="s">
        <v>58</v>
      </c>
      <c r="D16" s="23">
        <v>600.0</v>
      </c>
      <c r="E16" s="22" t="s">
        <v>27</v>
      </c>
      <c r="F16" s="25" t="str">
        <f>IFERROR(VLOOKUP(E16,SETTINGS!A:B,2,0),"No Value")</f>
        <v>Dining Out, Fast Food, Café, Home Delivery, Street Food</v>
      </c>
      <c r="G16" s="11"/>
      <c r="H16" s="11"/>
      <c r="I16" s="5"/>
    </row>
    <row r="17" ht="15.75" customHeight="1">
      <c r="A17" s="19">
        <v>45725.0</v>
      </c>
      <c r="B17" s="21" t="str">
        <f t="shared" si="1"/>
        <v>Mar 25</v>
      </c>
      <c r="C17" s="22" t="s">
        <v>59</v>
      </c>
      <c r="D17" s="23">
        <v>570.0</v>
      </c>
      <c r="E17" s="22" t="s">
        <v>27</v>
      </c>
      <c r="F17" s="25" t="str">
        <f>IFERROR(VLOOKUP(E17,SETTINGS!A:B,2,0),"No Value")</f>
        <v>Dining Out, Fast Food, Café, Home Delivery, Street Food</v>
      </c>
      <c r="G17" s="11"/>
      <c r="H17" s="11"/>
      <c r="I17" s="5"/>
    </row>
    <row r="18" ht="15.75" customHeight="1">
      <c r="A18" s="19">
        <v>45727.0</v>
      </c>
      <c r="B18" s="21" t="str">
        <f t="shared" si="1"/>
        <v>Mar 25</v>
      </c>
      <c r="C18" s="22" t="s">
        <v>60</v>
      </c>
      <c r="D18" s="23">
        <v>1400.0</v>
      </c>
      <c r="E18" s="22" t="s">
        <v>61</v>
      </c>
      <c r="F18" s="25" t="str">
        <f>IFERROR(VLOOKUP(E18,SETTINGS!A:B,2,0),"No Value")</f>
        <v>Electricity Bill, Water Bill, Broadband, Mobile Recharge, DTH</v>
      </c>
      <c r="G18" s="11"/>
      <c r="H18" s="11"/>
      <c r="I18" s="5"/>
    </row>
    <row r="19" ht="15.75" customHeight="1">
      <c r="A19" s="19">
        <v>45728.0</v>
      </c>
      <c r="B19" s="21" t="str">
        <f t="shared" si="1"/>
        <v>Mar 25</v>
      </c>
      <c r="C19" s="22" t="s">
        <v>26</v>
      </c>
      <c r="D19" s="23">
        <v>16.0</v>
      </c>
      <c r="E19" s="22" t="s">
        <v>27</v>
      </c>
      <c r="F19" s="25" t="str">
        <f>IFERROR(VLOOKUP(E19,SETTINGS!A:B,2,0),"No Value")</f>
        <v>Dining Out, Fast Food, Café, Home Delivery, Street Food</v>
      </c>
      <c r="G19" s="11"/>
      <c r="H19" s="11"/>
      <c r="I19" s="5"/>
    </row>
    <row r="20" ht="15.75" customHeight="1">
      <c r="A20" s="19">
        <v>45728.0</v>
      </c>
      <c r="B20" s="21" t="str">
        <f t="shared" si="1"/>
        <v>Mar 25</v>
      </c>
      <c r="C20" s="22" t="s">
        <v>64</v>
      </c>
      <c r="D20" s="23">
        <v>59.0</v>
      </c>
      <c r="E20" s="22" t="s">
        <v>61</v>
      </c>
      <c r="F20" s="25" t="str">
        <f>IFERROR(VLOOKUP(E20,SETTINGS!A:B,2,0),"No Value")</f>
        <v>Electricity Bill, Water Bill, Broadband, Mobile Recharge, DTH</v>
      </c>
      <c r="G20" s="11"/>
      <c r="H20" s="11"/>
      <c r="I20" s="5"/>
    </row>
    <row r="21" ht="15.75" customHeight="1">
      <c r="A21" s="19">
        <v>45730.0</v>
      </c>
      <c r="B21" s="21" t="str">
        <f t="shared" si="1"/>
        <v>Mar 25</v>
      </c>
      <c r="C21" s="22" t="s">
        <v>26</v>
      </c>
      <c r="D21" s="23">
        <v>60.0</v>
      </c>
      <c r="E21" s="22" t="s">
        <v>27</v>
      </c>
      <c r="F21" s="25" t="str">
        <f>IFERROR(VLOOKUP(E21,SETTINGS!A:B,2,0),"No Value")</f>
        <v>Dining Out, Fast Food, Café, Home Delivery, Street Food</v>
      </c>
      <c r="G21" s="11"/>
      <c r="H21" s="11"/>
      <c r="I21" s="5"/>
    </row>
    <row r="22" ht="15.75" customHeight="1">
      <c r="A22" s="19">
        <v>45733.0</v>
      </c>
      <c r="B22" s="21" t="str">
        <f t="shared" si="1"/>
        <v>Mar 25</v>
      </c>
      <c r="C22" s="22" t="s">
        <v>67</v>
      </c>
      <c r="D22" s="23">
        <v>160.0</v>
      </c>
      <c r="E22" s="22" t="s">
        <v>42</v>
      </c>
      <c r="F22" s="25" t="str">
        <f>IFERROR(VLOOKUP(E22,SETTINGS!A:B,2,0),"No Value")</f>
        <v>Haircuts, Skincare, Beauty Products, Grooming Kits, Salon</v>
      </c>
      <c r="G22" s="11"/>
      <c r="H22" s="11"/>
      <c r="I22" s="5"/>
    </row>
    <row r="23" ht="15.75" customHeight="1">
      <c r="A23" s="19">
        <v>45734.0</v>
      </c>
      <c r="B23" s="21" t="str">
        <f t="shared" si="1"/>
        <v>Mar 25</v>
      </c>
      <c r="C23" s="22" t="s">
        <v>26</v>
      </c>
      <c r="D23" s="23">
        <v>264.0</v>
      </c>
      <c r="E23" s="22" t="s">
        <v>27</v>
      </c>
      <c r="F23" s="25" t="str">
        <f>IFERROR(VLOOKUP(E23,SETTINGS!A:B,2,0),"No Value")</f>
        <v>Dining Out, Fast Food, Café, Home Delivery, Street Food</v>
      </c>
      <c r="G23" s="11"/>
      <c r="H23" s="11"/>
      <c r="I23" s="5"/>
    </row>
    <row r="24" ht="15.75" customHeight="1">
      <c r="A24" s="19">
        <v>45738.0</v>
      </c>
      <c r="B24" s="21" t="str">
        <f t="shared" si="1"/>
        <v>Mar 25</v>
      </c>
      <c r="C24" s="22" t="s">
        <v>68</v>
      </c>
      <c r="D24" s="23">
        <v>220.0</v>
      </c>
      <c r="E24" s="22" t="s">
        <v>69</v>
      </c>
      <c r="F24" s="25" t="str">
        <f>IFERROR(VLOOKUP(E24,SETTINGS!A:B,2,0),"No Value")</f>
        <v>Car Servicing, AC Repair, Plumbing, Electrical Work</v>
      </c>
      <c r="G24" s="11"/>
      <c r="H24" s="11"/>
      <c r="I24" s="5"/>
    </row>
    <row r="25" ht="15.75" customHeight="1">
      <c r="A25" s="19">
        <v>45738.0</v>
      </c>
      <c r="B25" s="21" t="str">
        <f t="shared" si="1"/>
        <v>Mar 25</v>
      </c>
      <c r="C25" s="22" t="s">
        <v>70</v>
      </c>
      <c r="D25" s="23">
        <v>30.0</v>
      </c>
      <c r="E25" s="22" t="s">
        <v>35</v>
      </c>
      <c r="F25" s="25" t="str">
        <f>IFERROR(VLOOKUP(E25,SETTINGS!A:B,2,0),"No Value")</f>
        <v>Office tea/coffee, Small breaks, Bakery items, Juice, chips, biscuits</v>
      </c>
      <c r="G25" s="11"/>
      <c r="H25" s="11"/>
      <c r="I25" s="5"/>
    </row>
    <row r="26" ht="15.75" customHeight="1">
      <c r="A26" s="19">
        <v>45738.0</v>
      </c>
      <c r="B26" s="21" t="str">
        <f t="shared" si="1"/>
        <v>Mar 25</v>
      </c>
      <c r="C26" s="22" t="s">
        <v>71</v>
      </c>
      <c r="D26" s="23">
        <v>160.0</v>
      </c>
      <c r="E26" s="22" t="s">
        <v>27</v>
      </c>
      <c r="F26" s="25" t="str">
        <f>IFERROR(VLOOKUP(E26,SETTINGS!A:B,2,0),"No Value")</f>
        <v>Dining Out, Fast Food, Café, Home Delivery, Street Food</v>
      </c>
      <c r="G26" s="11"/>
      <c r="H26" s="11"/>
      <c r="I26" s="5"/>
    </row>
    <row r="27" ht="15.75" customHeight="1">
      <c r="A27" s="19">
        <v>45739.0</v>
      </c>
      <c r="B27" s="21" t="str">
        <f t="shared" si="1"/>
        <v>Mar 25</v>
      </c>
      <c r="C27" s="22" t="s">
        <v>72</v>
      </c>
      <c r="D27" s="23">
        <v>2940.0</v>
      </c>
      <c r="E27" s="22" t="s">
        <v>69</v>
      </c>
      <c r="F27" s="25" t="str">
        <f>IFERROR(VLOOKUP(E27,SETTINGS!A:B,2,0),"No Value")</f>
        <v>Car Servicing, AC Repair, Plumbing, Electrical Work</v>
      </c>
      <c r="G27" s="11"/>
      <c r="H27" s="11"/>
      <c r="I27" s="5"/>
    </row>
    <row r="28" ht="15.75" customHeight="1">
      <c r="A28" s="19">
        <v>45739.0</v>
      </c>
      <c r="B28" s="21" t="str">
        <f t="shared" si="1"/>
        <v>Mar 25</v>
      </c>
      <c r="C28" s="22" t="s">
        <v>75</v>
      </c>
      <c r="D28" s="23">
        <v>30.0</v>
      </c>
      <c r="E28" s="22" t="s">
        <v>35</v>
      </c>
      <c r="F28" s="25" t="str">
        <f>IFERROR(VLOOKUP(E28,SETTINGS!A:B,2,0),"No Value")</f>
        <v>Office tea/coffee, Small breaks, Bakery items, Juice, chips, biscuits</v>
      </c>
      <c r="G28" s="11"/>
      <c r="H28" s="11"/>
      <c r="I28" s="5"/>
    </row>
    <row r="29" ht="15.75" customHeight="1">
      <c r="A29" s="19">
        <v>45741.0</v>
      </c>
      <c r="B29" s="21" t="str">
        <f t="shared" si="1"/>
        <v>Mar 25</v>
      </c>
      <c r="C29" s="22" t="s">
        <v>78</v>
      </c>
      <c r="D29" s="23">
        <v>100.0</v>
      </c>
      <c r="E29" s="22" t="s">
        <v>35</v>
      </c>
      <c r="F29" s="25" t="str">
        <f>IFERROR(VLOOKUP(E29,SETTINGS!A:B,2,0),"No Value")</f>
        <v>Office tea/coffee, Small breaks, Bakery items, Juice, chips, biscuits</v>
      </c>
      <c r="G29" s="11"/>
      <c r="H29" s="11"/>
      <c r="I29" s="5"/>
    </row>
    <row r="30" ht="15.75" customHeight="1">
      <c r="A30" s="19">
        <v>45748.0</v>
      </c>
      <c r="B30" s="21" t="str">
        <f t="shared" si="1"/>
        <v>Apr 25</v>
      </c>
      <c r="C30" s="22" t="s">
        <v>82</v>
      </c>
      <c r="D30" s="23">
        <v>50.0</v>
      </c>
      <c r="E30" s="22" t="s">
        <v>35</v>
      </c>
      <c r="F30" s="25" t="str">
        <f>IFERROR(VLOOKUP(E30,SETTINGS!A:B,2,0),"No Value")</f>
        <v>Office tea/coffee, Small breaks, Bakery items, Juice, chips, biscuits</v>
      </c>
      <c r="G30" s="11"/>
      <c r="H30" s="11"/>
      <c r="I30" s="5"/>
    </row>
    <row r="31" ht="15.75" customHeight="1">
      <c r="A31" s="19">
        <v>45748.0</v>
      </c>
      <c r="B31" s="21" t="str">
        <f t="shared" si="1"/>
        <v>Apr 25</v>
      </c>
      <c r="C31" s="22" t="s">
        <v>84</v>
      </c>
      <c r="D31" s="23">
        <v>2390.0</v>
      </c>
      <c r="E31" s="22" t="s">
        <v>85</v>
      </c>
      <c r="F31" s="25" t="str">
        <f>IFERROR(VLOOKUP(E31,SETTINGS!A:B,2,0),"No Value")</f>
        <v>School Fees, College Tuition, Coaching Classes, Online Courses</v>
      </c>
      <c r="G31" s="11"/>
      <c r="H31" s="11"/>
      <c r="I31" s="5"/>
    </row>
    <row r="32" ht="15.75" customHeight="1">
      <c r="A32" s="19">
        <v>45748.0</v>
      </c>
      <c r="B32" s="21" t="str">
        <f t="shared" si="1"/>
        <v>Apr 25</v>
      </c>
      <c r="C32" s="22" t="s">
        <v>86</v>
      </c>
      <c r="D32" s="23">
        <v>195.0</v>
      </c>
      <c r="E32" s="22" t="s">
        <v>61</v>
      </c>
      <c r="F32" s="25" t="str">
        <f>IFERROR(VLOOKUP(E32,SETTINGS!A:B,2,0),"No Value")</f>
        <v>Electricity Bill, Water Bill, Broadband, Mobile Recharge, DTH</v>
      </c>
      <c r="G32" s="11"/>
      <c r="H32" s="11"/>
      <c r="I32" s="5"/>
    </row>
    <row r="33" ht="15.75" customHeight="1">
      <c r="A33" s="19">
        <v>45749.0</v>
      </c>
      <c r="B33" s="21" t="str">
        <f t="shared" si="1"/>
        <v>Apr 25</v>
      </c>
      <c r="C33" s="22" t="s">
        <v>87</v>
      </c>
      <c r="D33" s="23">
        <v>240.0</v>
      </c>
      <c r="E33" s="22" t="s">
        <v>35</v>
      </c>
      <c r="F33" s="25" t="str">
        <f>IFERROR(VLOOKUP(E33,SETTINGS!A:B,2,0),"No Value")</f>
        <v>Office tea/coffee, Small breaks, Bakery items, Juice, chips, biscuits</v>
      </c>
      <c r="G33" s="11"/>
      <c r="H33" s="11"/>
      <c r="I33" s="5"/>
    </row>
    <row r="34" ht="15.75" customHeight="1">
      <c r="A34" s="19">
        <v>45750.0</v>
      </c>
      <c r="B34" s="21" t="str">
        <f t="shared" si="1"/>
        <v>Apr 25</v>
      </c>
      <c r="C34" s="22" t="s">
        <v>89</v>
      </c>
      <c r="D34" s="23">
        <v>189.0</v>
      </c>
      <c r="E34" s="22" t="s">
        <v>61</v>
      </c>
      <c r="F34" s="25" t="str">
        <f>IFERROR(VLOOKUP(E34,SETTINGS!A:B,2,0),"No Value")</f>
        <v>Electricity Bill, Water Bill, Broadband, Mobile Recharge, DTH</v>
      </c>
      <c r="G34" s="11"/>
      <c r="H34" s="11"/>
      <c r="I34" s="5"/>
    </row>
    <row r="35" ht="15.75" customHeight="1">
      <c r="A35" s="19">
        <v>45751.0</v>
      </c>
      <c r="B35" s="21" t="str">
        <f t="shared" si="1"/>
        <v>Apr 25</v>
      </c>
      <c r="C35" s="22" t="s">
        <v>26</v>
      </c>
      <c r="D35" s="23">
        <v>160.0</v>
      </c>
      <c r="E35" s="22" t="s">
        <v>27</v>
      </c>
      <c r="F35" s="25" t="str">
        <f>IFERROR(VLOOKUP(E35,SETTINGS!A:B,2,0),"No Value")</f>
        <v>Dining Out, Fast Food, Café, Home Delivery, Street Food</v>
      </c>
      <c r="G35" s="11"/>
      <c r="H35" s="11"/>
      <c r="I35" s="5"/>
    </row>
    <row r="36" ht="15.75" customHeight="1">
      <c r="A36" s="19">
        <v>45752.0</v>
      </c>
      <c r="B36" s="21" t="str">
        <f t="shared" si="1"/>
        <v>Apr 25</v>
      </c>
      <c r="C36" s="22" t="s">
        <v>94</v>
      </c>
      <c r="D36" s="23">
        <v>2000.0</v>
      </c>
      <c r="E36" s="22" t="s">
        <v>95</v>
      </c>
      <c r="F36" s="25" t="str">
        <f>IFERROR(VLOOKUP(E36,SETTINGS!A:B,2,0),"No Value")</f>
        <v>Stocks, Mutual Funds, Bonds, Real Estate, Gold, Cryptocurrencies</v>
      </c>
      <c r="G36" s="11"/>
      <c r="H36" s="11"/>
      <c r="I36" s="5"/>
    </row>
    <row r="37" ht="15.75" customHeight="1">
      <c r="A37" s="19">
        <v>45753.0</v>
      </c>
      <c r="B37" s="21" t="str">
        <f t="shared" si="1"/>
        <v>Apr 25</v>
      </c>
      <c r="C37" s="22" t="s">
        <v>97</v>
      </c>
      <c r="D37" s="23">
        <v>530.0</v>
      </c>
      <c r="E37" s="22" t="s">
        <v>98</v>
      </c>
      <c r="F37" s="25" t="str">
        <f>IFERROR(VLOOKUP(E37,SETTINGS!A:B,2,0),"No Value")</f>
        <v>Clothes, Footwear, Accessories, Watches, Jewelry, Handbags</v>
      </c>
      <c r="G37" s="11"/>
      <c r="H37" s="11"/>
      <c r="I37" s="5"/>
    </row>
    <row r="38" ht="15.75" customHeight="1">
      <c r="A38" s="19">
        <v>45755.0</v>
      </c>
      <c r="B38" s="21" t="str">
        <f t="shared" si="1"/>
        <v>Apr 25</v>
      </c>
      <c r="C38" s="22" t="s">
        <v>51</v>
      </c>
      <c r="D38" s="23">
        <v>110.0</v>
      </c>
      <c r="E38" s="22" t="s">
        <v>52</v>
      </c>
      <c r="F38" s="25" t="str">
        <f>IFERROR(VLOOKUP(E38,SETTINGS!A:B,2,0),"No Value")</f>
        <v>Medicines, Doctor Consultation, Hospitalization, Surgery</v>
      </c>
      <c r="G38" s="11"/>
      <c r="H38" s="11"/>
      <c r="I38" s="5"/>
    </row>
    <row r="39" ht="15.75" customHeight="1">
      <c r="A39" s="19">
        <v>45756.0</v>
      </c>
      <c r="B39" s="21" t="str">
        <f t="shared" si="1"/>
        <v>Apr 25</v>
      </c>
      <c r="C39" s="22" t="s">
        <v>101</v>
      </c>
      <c r="D39" s="23">
        <v>470.0</v>
      </c>
      <c r="E39" s="22" t="s">
        <v>52</v>
      </c>
      <c r="F39" s="25" t="str">
        <f>IFERROR(VLOOKUP(E39,SETTINGS!A:B,2,0),"No Value")</f>
        <v>Medicines, Doctor Consultation, Hospitalization, Surgery</v>
      </c>
      <c r="G39" s="11"/>
      <c r="H39" s="11"/>
      <c r="I39" s="5"/>
    </row>
    <row r="40" ht="15.75" customHeight="1">
      <c r="A40" s="19">
        <v>45758.0</v>
      </c>
      <c r="B40" s="21" t="str">
        <f t="shared" si="1"/>
        <v>Apr 25</v>
      </c>
      <c r="C40" s="22" t="s">
        <v>102</v>
      </c>
      <c r="D40" s="23">
        <v>20.0</v>
      </c>
      <c r="E40" s="22" t="s">
        <v>35</v>
      </c>
      <c r="F40" s="25" t="str">
        <f>IFERROR(VLOOKUP(E40,SETTINGS!A:B,2,0),"No Value")</f>
        <v>Office tea/coffee, Small breaks, Bakery items, Juice, chips, biscuits</v>
      </c>
      <c r="G40" s="11"/>
      <c r="H40" s="11"/>
      <c r="I40" s="5"/>
    </row>
    <row r="41" ht="15.75" customHeight="1">
      <c r="A41" s="19">
        <v>45760.0</v>
      </c>
      <c r="B41" s="21" t="str">
        <f t="shared" si="1"/>
        <v>Apr 25</v>
      </c>
      <c r="C41" s="22" t="s">
        <v>103</v>
      </c>
      <c r="D41" s="23">
        <v>1000.0</v>
      </c>
      <c r="E41" s="22" t="s">
        <v>104</v>
      </c>
      <c r="F41" s="25" t="str">
        <f>IFERROR(VLOOKUP(E41,SETTINGS!A:B,2,0),"No Value")</f>
        <v>Traffic Challan, Late Fee, Overweight Ticket, etc</v>
      </c>
      <c r="G41" s="11"/>
      <c r="H41" s="11"/>
      <c r="I41" s="5"/>
    </row>
    <row r="42" ht="15.75" customHeight="1">
      <c r="A42" s="19">
        <v>45762.0</v>
      </c>
      <c r="B42" s="21" t="str">
        <f t="shared" si="1"/>
        <v>Apr 25</v>
      </c>
      <c r="C42" s="22" t="s">
        <v>106</v>
      </c>
      <c r="D42" s="23">
        <v>10.0</v>
      </c>
      <c r="E42" s="22" t="s">
        <v>69</v>
      </c>
      <c r="F42" s="25" t="str">
        <f>IFERROR(VLOOKUP(E42,SETTINGS!A:B,2,0),"No Value")</f>
        <v>Car Servicing, AC Repair, Plumbing, Electrical Work</v>
      </c>
      <c r="G42" s="11"/>
      <c r="H42" s="11"/>
      <c r="I42" s="5"/>
    </row>
    <row r="43" ht="15.75" customHeight="1">
      <c r="A43" s="19">
        <v>45764.0</v>
      </c>
      <c r="B43" s="21" t="str">
        <f t="shared" si="1"/>
        <v>Apr 25</v>
      </c>
      <c r="C43" s="22" t="s">
        <v>102</v>
      </c>
      <c r="D43" s="23">
        <v>20.0</v>
      </c>
      <c r="E43" s="22" t="s">
        <v>35</v>
      </c>
      <c r="F43" s="25" t="str">
        <f>IFERROR(VLOOKUP(E43,SETTINGS!A:B,2,0),"No Value")</f>
        <v>Office tea/coffee, Small breaks, Bakery items, Juice, chips, biscuits</v>
      </c>
      <c r="G43" s="11"/>
      <c r="H43" s="11"/>
      <c r="I43" s="5"/>
    </row>
    <row r="44" ht="15.75" customHeight="1">
      <c r="A44" s="19">
        <v>45766.0</v>
      </c>
      <c r="B44" s="21" t="str">
        <f t="shared" si="1"/>
        <v>Apr 25</v>
      </c>
      <c r="C44" s="22" t="s">
        <v>108</v>
      </c>
      <c r="D44" s="23">
        <v>633.0</v>
      </c>
      <c r="E44" s="22" t="s">
        <v>27</v>
      </c>
      <c r="F44" s="25" t="str">
        <f>IFERROR(VLOOKUP(E44,SETTINGS!A:B,2,0),"No Value")</f>
        <v>Dining Out, Fast Food, Café, Home Delivery, Street Food</v>
      </c>
      <c r="G44" s="11"/>
      <c r="H44" s="11"/>
      <c r="I44" s="5"/>
    </row>
    <row r="45" ht="15.75" customHeight="1">
      <c r="A45" s="19">
        <v>45767.0</v>
      </c>
      <c r="B45" s="21" t="str">
        <f t="shared" si="1"/>
        <v>Apr 25</v>
      </c>
      <c r="C45" s="22" t="s">
        <v>110</v>
      </c>
      <c r="D45" s="23">
        <v>60.0</v>
      </c>
      <c r="E45" s="22" t="s">
        <v>35</v>
      </c>
      <c r="F45" s="25" t="str">
        <f>IFERROR(VLOOKUP(E45,SETTINGS!A:B,2,0),"No Value")</f>
        <v>Office tea/coffee, Small breaks, Bakery items, Juice, chips, biscuits</v>
      </c>
      <c r="G45" s="11"/>
      <c r="H45" s="11"/>
      <c r="I45" s="5"/>
    </row>
    <row r="46" ht="15.75" customHeight="1">
      <c r="A46" s="19">
        <v>45768.0</v>
      </c>
      <c r="B46" s="21" t="str">
        <f t="shared" si="1"/>
        <v>Apr 25</v>
      </c>
      <c r="C46" s="22" t="s">
        <v>112</v>
      </c>
      <c r="D46" s="23">
        <v>349.0</v>
      </c>
      <c r="E46" s="22" t="s">
        <v>61</v>
      </c>
      <c r="F46" s="25" t="str">
        <f>IFERROR(VLOOKUP(E46,SETTINGS!A:B,2,0),"No Value")</f>
        <v>Electricity Bill, Water Bill, Broadband, Mobile Recharge, DTH</v>
      </c>
      <c r="G46" s="11"/>
      <c r="H46" s="11"/>
      <c r="I46" s="5"/>
    </row>
    <row r="47" ht="15.75" customHeight="1">
      <c r="A47" s="19">
        <v>45768.0</v>
      </c>
      <c r="B47" s="21" t="str">
        <f t="shared" si="1"/>
        <v>Apr 25</v>
      </c>
      <c r="C47" s="22" t="s">
        <v>26</v>
      </c>
      <c r="D47" s="23">
        <v>16.0</v>
      </c>
      <c r="E47" s="22" t="s">
        <v>27</v>
      </c>
      <c r="F47" s="25" t="str">
        <f>IFERROR(VLOOKUP(E47,SETTINGS!A:B,2,0),"No Value")</f>
        <v>Dining Out, Fast Food, Café, Home Delivery, Street Food</v>
      </c>
      <c r="G47" s="11"/>
      <c r="H47" s="11"/>
      <c r="I47" s="5"/>
    </row>
    <row r="48" ht="15.75" customHeight="1">
      <c r="A48" s="19">
        <v>45769.0</v>
      </c>
      <c r="B48" s="21" t="str">
        <f t="shared" si="1"/>
        <v>Apr 25</v>
      </c>
      <c r="C48" s="22" t="s">
        <v>114</v>
      </c>
      <c r="D48" s="23">
        <v>185.0</v>
      </c>
      <c r="E48" s="22" t="s">
        <v>107</v>
      </c>
      <c r="F48" s="25" t="str">
        <f>IFERROR(VLOOKUP(E48,SETTINGS!A:B,2,0),"No Value")</f>
        <v>Mobile Phones, Laptops, Smartwatches, Earphones</v>
      </c>
      <c r="G48" s="11"/>
      <c r="H48" s="11"/>
      <c r="I48" s="5"/>
    </row>
    <row r="49" ht="15.75" customHeight="1">
      <c r="A49" s="19">
        <v>45769.0</v>
      </c>
      <c r="B49" s="21" t="str">
        <f t="shared" si="1"/>
        <v>Apr 25</v>
      </c>
      <c r="C49" s="22" t="s">
        <v>114</v>
      </c>
      <c r="D49" s="23">
        <v>194.0</v>
      </c>
      <c r="E49" s="22" t="s">
        <v>107</v>
      </c>
      <c r="F49" s="25" t="str">
        <f>IFERROR(VLOOKUP(E49,SETTINGS!A:B,2,0),"No Value")</f>
        <v>Mobile Phones, Laptops, Smartwatches, Earphones</v>
      </c>
      <c r="G49" s="11"/>
      <c r="H49" s="11"/>
      <c r="I49" s="5"/>
    </row>
    <row r="50" ht="15.75" customHeight="1">
      <c r="A50" s="19">
        <v>45771.0</v>
      </c>
      <c r="B50" s="21" t="str">
        <f t="shared" si="1"/>
        <v>Apr 25</v>
      </c>
      <c r="C50" s="22" t="s">
        <v>106</v>
      </c>
      <c r="D50" s="23">
        <v>10.0</v>
      </c>
      <c r="E50" s="22" t="s">
        <v>69</v>
      </c>
      <c r="F50" s="25" t="str">
        <f>IFERROR(VLOOKUP(E50,SETTINGS!A:B,2,0),"No Value")</f>
        <v>Car Servicing, AC Repair, Plumbing, Electrical Work</v>
      </c>
      <c r="G50" s="11"/>
      <c r="H50" s="11"/>
      <c r="I50" s="5"/>
    </row>
    <row r="51" ht="15.75" customHeight="1">
      <c r="A51" s="19">
        <v>45772.0</v>
      </c>
      <c r="B51" s="21" t="str">
        <f t="shared" si="1"/>
        <v>Apr 25</v>
      </c>
      <c r="C51" s="22" t="s">
        <v>116</v>
      </c>
      <c r="D51" s="23">
        <v>70.0</v>
      </c>
      <c r="E51" s="22" t="s">
        <v>27</v>
      </c>
      <c r="F51" s="25" t="str">
        <f>IFERROR(VLOOKUP(E51,SETTINGS!A:B,2,0),"No Value")</f>
        <v>Dining Out, Fast Food, Café, Home Delivery, Street Food</v>
      </c>
      <c r="G51" s="11"/>
      <c r="H51" s="11"/>
      <c r="I51" s="5"/>
    </row>
    <row r="52" ht="15.75" customHeight="1">
      <c r="A52" s="19">
        <v>45773.0</v>
      </c>
      <c r="B52" s="21" t="str">
        <f t="shared" si="1"/>
        <v>Apr 25</v>
      </c>
      <c r="C52" s="22" t="s">
        <v>117</v>
      </c>
      <c r="D52" s="23">
        <v>36.0</v>
      </c>
      <c r="E52" s="22" t="s">
        <v>118</v>
      </c>
      <c r="F52" s="25" t="str">
        <f>IFERROR(VLOOKUP(E52,SETTINGS!A:B,2,0),"No Value")</f>
        <v>Vegetables, Fruits, Dairy, Meat, Frozen Food, Spices, Staples</v>
      </c>
      <c r="G52" s="11"/>
      <c r="H52" s="11"/>
      <c r="I52" s="5"/>
    </row>
    <row r="53" ht="15.75" customHeight="1">
      <c r="A53" s="19">
        <v>45773.0</v>
      </c>
      <c r="B53" s="21" t="str">
        <f t="shared" si="1"/>
        <v>Apr 25</v>
      </c>
      <c r="C53" s="22" t="s">
        <v>119</v>
      </c>
      <c r="D53" s="23">
        <v>260.0</v>
      </c>
      <c r="E53" s="22" t="s">
        <v>35</v>
      </c>
      <c r="F53" s="25" t="str">
        <f>IFERROR(VLOOKUP(E53,SETTINGS!A:B,2,0),"No Value")</f>
        <v>Office tea/coffee, Small breaks, Bakery items, Juice, chips, biscuits</v>
      </c>
      <c r="G53" s="11"/>
      <c r="H53" s="11"/>
      <c r="I53" s="5"/>
    </row>
    <row r="54" ht="15.75" customHeight="1">
      <c r="A54" s="19">
        <v>45773.0</v>
      </c>
      <c r="B54" s="21" t="str">
        <f t="shared" si="1"/>
        <v>Apr 25</v>
      </c>
      <c r="C54" s="22" t="s">
        <v>121</v>
      </c>
      <c r="D54" s="23">
        <v>40.0</v>
      </c>
      <c r="E54" s="22" t="s">
        <v>35</v>
      </c>
      <c r="F54" s="25" t="str">
        <f>IFERROR(VLOOKUP(E54,SETTINGS!A:B,2,0),"No Value")</f>
        <v>Office tea/coffee, Small breaks, Bakery items, Juice, chips, biscuits</v>
      </c>
      <c r="G54" s="11"/>
      <c r="H54" s="11"/>
      <c r="I54" s="5"/>
    </row>
    <row r="55" ht="15.75" customHeight="1">
      <c r="A55" s="19">
        <v>45774.0</v>
      </c>
      <c r="B55" s="21" t="str">
        <f t="shared" si="1"/>
        <v>Apr 25</v>
      </c>
      <c r="C55" s="22" t="s">
        <v>123</v>
      </c>
      <c r="D55" s="23">
        <v>70.0</v>
      </c>
      <c r="E55" s="22" t="s">
        <v>27</v>
      </c>
      <c r="F55" s="25" t="str">
        <f>IFERROR(VLOOKUP(E55,SETTINGS!A:B,2,0),"No Value")</f>
        <v>Dining Out, Fast Food, Café, Home Delivery, Street Food</v>
      </c>
      <c r="G55" s="11"/>
      <c r="H55" s="11"/>
      <c r="I55" s="5"/>
    </row>
    <row r="56" ht="15.75" customHeight="1">
      <c r="A56" s="19">
        <v>45774.0</v>
      </c>
      <c r="B56" s="21" t="str">
        <f t="shared" si="1"/>
        <v>Apr 25</v>
      </c>
      <c r="C56" s="22" t="s">
        <v>124</v>
      </c>
      <c r="D56" s="23">
        <v>17.0</v>
      </c>
      <c r="E56" s="22" t="s">
        <v>118</v>
      </c>
      <c r="F56" s="25" t="str">
        <f>IFERROR(VLOOKUP(E56,SETTINGS!A:B,2,0),"No Value")</f>
        <v>Vegetables, Fruits, Dairy, Meat, Frozen Food, Spices, Staples</v>
      </c>
      <c r="G56" s="11"/>
      <c r="H56" s="11"/>
      <c r="I56" s="5"/>
    </row>
    <row r="57" ht="15.75" customHeight="1">
      <c r="A57" s="19">
        <v>45776.0</v>
      </c>
      <c r="B57" s="21" t="str">
        <f t="shared" si="1"/>
        <v>Apr 25</v>
      </c>
      <c r="C57" s="22" t="s">
        <v>125</v>
      </c>
      <c r="D57" s="23">
        <v>20000.0</v>
      </c>
      <c r="E57" s="22" t="s">
        <v>38</v>
      </c>
      <c r="F57" s="25" t="str">
        <f>IFERROR(VLOOKUP(E57,SETTINGS!A:B,2,0),"No Value")</f>
        <v>Birthday Gifts, Anniversary Gifts, Festival Gifts, Wedding Gifts, Gifts for Friends</v>
      </c>
      <c r="G57" s="11"/>
      <c r="H57" s="11"/>
      <c r="I57" s="5"/>
    </row>
    <row r="58" ht="15.75" customHeight="1">
      <c r="A58" s="19">
        <v>45778.0</v>
      </c>
      <c r="B58" s="21" t="str">
        <f t="shared" si="1"/>
        <v>May 25</v>
      </c>
      <c r="C58" s="22" t="s">
        <v>126</v>
      </c>
      <c r="D58" s="23">
        <v>20.0</v>
      </c>
      <c r="E58" s="22" t="s">
        <v>35</v>
      </c>
      <c r="F58" s="25" t="str">
        <f>IFERROR(VLOOKUP(E58,SETTINGS!A:B,2,0),"No Value")</f>
        <v>Office tea/coffee, Small breaks, Bakery items, Juice, chips, biscuits</v>
      </c>
      <c r="G58" s="11"/>
      <c r="H58" s="11"/>
      <c r="I58" s="5"/>
    </row>
    <row r="59" ht="15.75" customHeight="1">
      <c r="A59" s="19">
        <v>45778.0</v>
      </c>
      <c r="B59" s="21" t="str">
        <f t="shared" si="1"/>
        <v>May 25</v>
      </c>
      <c r="C59" s="22" t="s">
        <v>43</v>
      </c>
      <c r="D59" s="23">
        <v>4000.0</v>
      </c>
      <c r="E59" s="22" t="s">
        <v>44</v>
      </c>
      <c r="F59" s="25" t="str">
        <f>IFERROR(VLOOKUP(E59,SETTINGS!A:B,2,0),"No Value")</f>
        <v>Borrowing from Friends, Lending to Family, Interest on Loan</v>
      </c>
      <c r="G59" s="11"/>
      <c r="H59" s="11"/>
      <c r="I59" s="5"/>
    </row>
    <row r="60" ht="15.75" customHeight="1">
      <c r="A60" s="19">
        <v>45779.0</v>
      </c>
      <c r="B60" s="21" t="str">
        <f t="shared" si="1"/>
        <v>May 25</v>
      </c>
      <c r="C60" s="22" t="s">
        <v>128</v>
      </c>
      <c r="D60" s="23">
        <v>1000.0</v>
      </c>
      <c r="E60" s="22" t="s">
        <v>95</v>
      </c>
      <c r="F60" s="25" t="str">
        <f>IFERROR(VLOOKUP(E60,SETTINGS!A:B,2,0),"No Value")</f>
        <v>Stocks, Mutual Funds, Bonds, Real Estate, Gold, Cryptocurrencies</v>
      </c>
      <c r="G60" s="11"/>
      <c r="H60" s="11"/>
      <c r="I60" s="5"/>
    </row>
    <row r="61" ht="15.75" customHeight="1">
      <c r="A61" s="19">
        <v>45780.0</v>
      </c>
      <c r="B61" s="21" t="str">
        <f t="shared" si="1"/>
        <v>May 25</v>
      </c>
      <c r="C61" s="22" t="s">
        <v>129</v>
      </c>
      <c r="D61" s="23">
        <v>1000.0</v>
      </c>
      <c r="E61" s="22" t="s">
        <v>95</v>
      </c>
      <c r="F61" s="25" t="str">
        <f>IFERROR(VLOOKUP(E61,SETTINGS!A:B,2,0),"No Value")</f>
        <v>Stocks, Mutual Funds, Bonds, Real Estate, Gold, Cryptocurrencies</v>
      </c>
      <c r="G61" s="11"/>
      <c r="H61" s="11"/>
      <c r="I61" s="5"/>
    </row>
    <row r="62" ht="15.75" customHeight="1">
      <c r="A62" s="19">
        <v>45780.0</v>
      </c>
      <c r="B62" s="21" t="str">
        <f t="shared" si="1"/>
        <v>May 25</v>
      </c>
      <c r="C62" s="22" t="s">
        <v>94</v>
      </c>
      <c r="D62" s="23">
        <v>2000.0</v>
      </c>
      <c r="E62" s="22" t="s">
        <v>95</v>
      </c>
      <c r="F62" s="25" t="str">
        <f>IFERROR(VLOOKUP(E62,SETTINGS!A:B,2,0),"No Value")</f>
        <v>Stocks, Mutual Funds, Bonds, Real Estate, Gold, Cryptocurrencies</v>
      </c>
      <c r="G62" s="11"/>
      <c r="H62" s="11"/>
      <c r="I62" s="5"/>
    </row>
    <row r="63" ht="15.75" customHeight="1">
      <c r="A63" s="19">
        <v>45779.0</v>
      </c>
      <c r="B63" s="21" t="str">
        <f t="shared" si="1"/>
        <v>May 25</v>
      </c>
      <c r="C63" s="22" t="s">
        <v>41</v>
      </c>
      <c r="D63" s="23">
        <v>50.0</v>
      </c>
      <c r="E63" s="22" t="s">
        <v>42</v>
      </c>
      <c r="F63" s="25" t="str">
        <f>IFERROR(VLOOKUP(E63,SETTINGS!A:B,2,0),"No Value")</f>
        <v>Haircuts, Skincare, Beauty Products, Grooming Kits, Salon</v>
      </c>
      <c r="G63" s="11"/>
      <c r="H63" s="11"/>
      <c r="I63" s="5"/>
    </row>
    <row r="64" ht="15.75" customHeight="1">
      <c r="A64" s="19">
        <v>45781.0</v>
      </c>
      <c r="B64" s="21" t="str">
        <f t="shared" si="1"/>
        <v>May 25</v>
      </c>
      <c r="C64" s="22" t="s">
        <v>130</v>
      </c>
      <c r="D64" s="23">
        <v>340.0</v>
      </c>
      <c r="E64" s="22" t="s">
        <v>35</v>
      </c>
      <c r="F64" s="25" t="str">
        <f>IFERROR(VLOOKUP(E64,SETTINGS!A:B,2,0),"No Value")</f>
        <v>Office tea/coffee, Small breaks, Bakery items, Juice, chips, biscuits</v>
      </c>
      <c r="G64" s="11"/>
      <c r="H64" s="11"/>
      <c r="I64" s="5"/>
    </row>
    <row r="65" ht="15.75" customHeight="1">
      <c r="A65" s="19">
        <v>45783.0</v>
      </c>
      <c r="B65" s="21" t="str">
        <f t="shared" si="1"/>
        <v>May 25</v>
      </c>
      <c r="C65" s="22" t="s">
        <v>131</v>
      </c>
      <c r="D65" s="23">
        <v>820.0</v>
      </c>
      <c r="E65" s="22" t="s">
        <v>38</v>
      </c>
      <c r="F65" s="25" t="str">
        <f>IFERROR(VLOOKUP(E65,SETTINGS!A:B,2,0),"No Value")</f>
        <v>Birthday Gifts, Anniversary Gifts, Festival Gifts, Wedding Gifts, Gifts for Friends</v>
      </c>
      <c r="G65" s="11"/>
      <c r="H65" s="11"/>
      <c r="I65" s="5"/>
    </row>
    <row r="66" ht="15.75" customHeight="1">
      <c r="A66" s="19">
        <v>45784.0</v>
      </c>
      <c r="B66" s="21" t="str">
        <f t="shared" si="1"/>
        <v>May 25</v>
      </c>
      <c r="C66" s="22" t="s">
        <v>132</v>
      </c>
      <c r="D66" s="23">
        <v>300.0</v>
      </c>
      <c r="E66" s="22" t="s">
        <v>38</v>
      </c>
      <c r="F66" s="25" t="str">
        <f>IFERROR(VLOOKUP(E66,SETTINGS!A:B,2,0),"No Value")</f>
        <v>Birthday Gifts, Anniversary Gifts, Festival Gifts, Wedding Gifts, Gifts for Friends</v>
      </c>
      <c r="G66" s="11"/>
      <c r="H66" s="11"/>
      <c r="I66" s="5"/>
    </row>
    <row r="67" ht="15.75" customHeight="1">
      <c r="A67" s="19">
        <v>45784.0</v>
      </c>
      <c r="B67" s="21" t="str">
        <f t="shared" si="1"/>
        <v>May 25</v>
      </c>
      <c r="C67" s="22" t="s">
        <v>133</v>
      </c>
      <c r="D67" s="23">
        <v>30.0</v>
      </c>
      <c r="E67" s="22" t="s">
        <v>35</v>
      </c>
      <c r="F67" s="25" t="str">
        <f>IFERROR(VLOOKUP(E67,SETTINGS!A:B,2,0),"No Value")</f>
        <v>Office tea/coffee, Small breaks, Bakery items, Juice, chips, biscuits</v>
      </c>
      <c r="G67" s="11"/>
      <c r="H67" s="11"/>
      <c r="I67" s="5"/>
    </row>
    <row r="68" ht="15.75" customHeight="1">
      <c r="A68" s="19">
        <v>45787.0</v>
      </c>
      <c r="B68" s="21" t="str">
        <f t="shared" si="1"/>
        <v>May 25</v>
      </c>
      <c r="C68" s="22" t="s">
        <v>134</v>
      </c>
      <c r="D68" s="23">
        <v>28.0</v>
      </c>
      <c r="E68" s="22" t="s">
        <v>85</v>
      </c>
      <c r="F68" s="25" t="str">
        <f>IFERROR(VLOOKUP(E68,SETTINGS!A:B,2,0),"No Value")</f>
        <v>School Fees, College Tuition, Coaching Classes, Online Courses</v>
      </c>
      <c r="G68" s="11"/>
      <c r="H68" s="11"/>
      <c r="I68" s="5"/>
    </row>
    <row r="69" ht="15.75" customHeight="1">
      <c r="A69" s="19">
        <v>45787.0</v>
      </c>
      <c r="B69" s="21" t="str">
        <f t="shared" si="1"/>
        <v>May 25</v>
      </c>
      <c r="C69" s="22" t="s">
        <v>135</v>
      </c>
      <c r="D69" s="23">
        <v>80.0</v>
      </c>
      <c r="E69" s="22" t="s">
        <v>85</v>
      </c>
      <c r="F69" s="25" t="str">
        <f>IFERROR(VLOOKUP(E69,SETTINGS!A:B,2,0),"No Value")</f>
        <v>School Fees, College Tuition, Coaching Classes, Online Courses</v>
      </c>
      <c r="G69" s="11"/>
      <c r="H69" s="11"/>
      <c r="I69" s="5"/>
    </row>
    <row r="70" ht="15.75" customHeight="1">
      <c r="A70" s="19">
        <v>45787.0</v>
      </c>
      <c r="B70" s="21" t="str">
        <f t="shared" si="1"/>
        <v>May 25</v>
      </c>
      <c r="C70" s="22" t="s">
        <v>136</v>
      </c>
      <c r="D70" s="23">
        <v>20.0</v>
      </c>
      <c r="E70" s="22" t="s">
        <v>35</v>
      </c>
      <c r="F70" s="25" t="str">
        <f>IFERROR(VLOOKUP(E70,SETTINGS!A:B,2,0),"No Value")</f>
        <v>Office tea/coffee, Small breaks, Bakery items, Juice, chips, biscuits</v>
      </c>
      <c r="G70" s="11"/>
      <c r="H70" s="11"/>
      <c r="I70" s="5"/>
    </row>
    <row r="71" ht="15.75" customHeight="1">
      <c r="A71" s="19">
        <v>45788.0</v>
      </c>
      <c r="B71" s="21" t="str">
        <f t="shared" si="1"/>
        <v>May 25</v>
      </c>
      <c r="C71" s="22" t="s">
        <v>137</v>
      </c>
      <c r="D71" s="23">
        <v>500.0</v>
      </c>
      <c r="E71" s="22" t="s">
        <v>138</v>
      </c>
      <c r="F71" s="25" t="str">
        <f>IFERROR(VLOOKUP(E71,SETTINGS!A:B,2,0),"No Value")</f>
        <v>Metro, Bus, Auto-rickshaw, Train, Ola/Uber, Fuel for commute</v>
      </c>
      <c r="G71" s="11"/>
      <c r="H71" s="11"/>
      <c r="I71" s="5"/>
    </row>
    <row r="72" ht="15.75" customHeight="1">
      <c r="A72" s="19">
        <v>45787.0</v>
      </c>
      <c r="B72" s="21" t="str">
        <f t="shared" si="1"/>
        <v>May 25</v>
      </c>
      <c r="C72" s="22" t="s">
        <v>139</v>
      </c>
      <c r="D72" s="23">
        <v>10.0</v>
      </c>
      <c r="E72" s="22" t="s">
        <v>118</v>
      </c>
      <c r="F72" s="25" t="str">
        <f>IFERROR(VLOOKUP(E72,SETTINGS!A:B,2,0),"No Value")</f>
        <v>Vegetables, Fruits, Dairy, Meat, Frozen Food, Spices, Staples</v>
      </c>
      <c r="G72" s="11"/>
      <c r="H72" s="11"/>
      <c r="I72" s="5"/>
    </row>
    <row r="73" ht="15.75" customHeight="1">
      <c r="A73" s="19">
        <v>45792.0</v>
      </c>
      <c r="B73" s="21" t="str">
        <f t="shared" si="1"/>
        <v>May 25</v>
      </c>
      <c r="C73" s="22" t="s">
        <v>51</v>
      </c>
      <c r="D73" s="23">
        <v>48.0</v>
      </c>
      <c r="E73" s="22" t="s">
        <v>42</v>
      </c>
      <c r="F73" s="25" t="str">
        <f>IFERROR(VLOOKUP(E73,SETTINGS!A:B,2,0),"No Value")</f>
        <v>Haircuts, Skincare, Beauty Products, Grooming Kits, Salon</v>
      </c>
      <c r="G73" s="11"/>
      <c r="H73" s="11"/>
      <c r="I73" s="5"/>
    </row>
    <row r="74" ht="15.75" customHeight="1">
      <c r="A74" s="19">
        <v>45793.0</v>
      </c>
      <c r="B74" s="21" t="str">
        <f t="shared" si="1"/>
        <v>May 25</v>
      </c>
      <c r="C74" s="22" t="s">
        <v>140</v>
      </c>
      <c r="D74" s="23">
        <v>30.0</v>
      </c>
      <c r="E74" s="22" t="s">
        <v>35</v>
      </c>
      <c r="F74" s="25" t="str">
        <f>IFERROR(VLOOKUP(E74,SETTINGS!A:B,2,0),"No Value")</f>
        <v>Office tea/coffee, Small breaks, Bakery items, Juice, chips, biscuits</v>
      </c>
      <c r="G74" s="11"/>
      <c r="H74" s="11"/>
      <c r="I74" s="5"/>
    </row>
    <row r="75" ht="15.75" customHeight="1">
      <c r="A75" s="19">
        <v>45794.0</v>
      </c>
      <c r="B75" s="21" t="str">
        <f t="shared" si="1"/>
        <v>May 25</v>
      </c>
      <c r="C75" s="22" t="s">
        <v>26</v>
      </c>
      <c r="D75" s="23">
        <v>160.0</v>
      </c>
      <c r="E75" s="22" t="s">
        <v>27</v>
      </c>
      <c r="F75" s="25" t="str">
        <f>IFERROR(VLOOKUP(E75,SETTINGS!A:B,2,0),"No Value")</f>
        <v>Dining Out, Fast Food, Café, Home Delivery, Street Food</v>
      </c>
      <c r="G75" s="11"/>
      <c r="H75" s="11"/>
      <c r="I75" s="5"/>
    </row>
    <row r="76" ht="15.75" customHeight="1">
      <c r="A76" s="19">
        <v>45794.0</v>
      </c>
      <c r="B76" s="21" t="str">
        <f t="shared" si="1"/>
        <v>May 25</v>
      </c>
      <c r="C76" s="22" t="s">
        <v>141</v>
      </c>
      <c r="D76" s="23">
        <v>260.0</v>
      </c>
      <c r="E76" s="22" t="s">
        <v>27</v>
      </c>
      <c r="F76" s="25" t="str">
        <f>IFERROR(VLOOKUP(E76,SETTINGS!A:B,2,0),"No Value")</f>
        <v>Dining Out, Fast Food, Café, Home Delivery, Street Food</v>
      </c>
      <c r="G76" s="11"/>
      <c r="H76" s="11"/>
      <c r="I76" s="5"/>
    </row>
    <row r="77" ht="15.75" customHeight="1">
      <c r="A77" s="19">
        <v>45795.0</v>
      </c>
      <c r="B77" s="21" t="str">
        <f t="shared" si="1"/>
        <v>May 25</v>
      </c>
      <c r="C77" s="22" t="s">
        <v>142</v>
      </c>
      <c r="D77" s="23">
        <v>680.0</v>
      </c>
      <c r="E77" s="22" t="s">
        <v>27</v>
      </c>
      <c r="F77" s="25" t="str">
        <f>IFERROR(VLOOKUP(E77,SETTINGS!A:B,2,0),"No Value")</f>
        <v>Dining Out, Fast Food, Café, Home Delivery, Street Food</v>
      </c>
      <c r="G77" s="11"/>
      <c r="H77" s="11"/>
      <c r="I77" s="5"/>
    </row>
    <row r="78" ht="15.75" customHeight="1">
      <c r="A78" s="19">
        <v>45795.0</v>
      </c>
      <c r="B78" s="21" t="str">
        <f t="shared" si="1"/>
        <v>May 25</v>
      </c>
      <c r="C78" s="22" t="s">
        <v>143</v>
      </c>
      <c r="D78" s="23">
        <v>287.0</v>
      </c>
      <c r="E78" s="22" t="s">
        <v>52</v>
      </c>
      <c r="F78" s="25" t="str">
        <f>IFERROR(VLOOKUP(E78,SETTINGS!A:B,2,0),"No Value")</f>
        <v>Medicines, Doctor Consultation, Hospitalization, Surgery</v>
      </c>
      <c r="G78" s="11"/>
      <c r="H78" s="11"/>
      <c r="I78" s="5"/>
    </row>
    <row r="79" ht="15.75" customHeight="1">
      <c r="A79" s="19">
        <v>45795.0</v>
      </c>
      <c r="B79" s="21" t="str">
        <f t="shared" si="1"/>
        <v>May 25</v>
      </c>
      <c r="C79" s="22" t="s">
        <v>144</v>
      </c>
      <c r="D79" s="23">
        <v>150.0</v>
      </c>
      <c r="E79" s="22" t="s">
        <v>35</v>
      </c>
      <c r="F79" s="25" t="str">
        <f>IFERROR(VLOOKUP(E79,SETTINGS!A:B,2,0),"No Value")</f>
        <v>Office tea/coffee, Small breaks, Bakery items, Juice, chips, biscuits</v>
      </c>
      <c r="G79" s="11"/>
      <c r="H79" s="11"/>
      <c r="I79" s="5"/>
    </row>
    <row r="80" ht="15.75" customHeight="1">
      <c r="A80" s="19">
        <v>45796.0</v>
      </c>
      <c r="B80" s="21" t="str">
        <f t="shared" si="1"/>
        <v>May 25</v>
      </c>
      <c r="C80" s="22" t="s">
        <v>145</v>
      </c>
      <c r="D80" s="23">
        <v>60.0</v>
      </c>
      <c r="E80" s="22" t="s">
        <v>35</v>
      </c>
      <c r="F80" s="25" t="str">
        <f>IFERROR(VLOOKUP(E80,SETTINGS!A:B,2,0),"No Value")</f>
        <v>Office tea/coffee, Small breaks, Bakery items, Juice, chips, biscuits</v>
      </c>
      <c r="G80" s="11"/>
      <c r="H80" s="11"/>
      <c r="I80" s="5"/>
    </row>
    <row r="81" ht="15.75" customHeight="1">
      <c r="A81" s="19">
        <v>45799.0</v>
      </c>
      <c r="B81" s="21" t="str">
        <f t="shared" si="1"/>
        <v>May 25</v>
      </c>
      <c r="C81" s="22" t="s">
        <v>146</v>
      </c>
      <c r="D81" s="23">
        <v>300.0</v>
      </c>
      <c r="E81" s="22" t="s">
        <v>98</v>
      </c>
      <c r="F81" s="25" t="str">
        <f>IFERROR(VLOOKUP(E81,SETTINGS!A:B,2,0),"No Value")</f>
        <v>Clothes, Footwear, Accessories, Watches, Jewelry, Handbags</v>
      </c>
      <c r="G81" s="11"/>
      <c r="H81" s="11"/>
      <c r="I81" s="5"/>
    </row>
    <row r="82" ht="15.75" customHeight="1">
      <c r="A82" s="19">
        <v>45799.0</v>
      </c>
      <c r="B82" s="21" t="str">
        <f t="shared" si="1"/>
        <v>May 25</v>
      </c>
      <c r="C82" s="22" t="s">
        <v>147</v>
      </c>
      <c r="D82" s="23">
        <v>380.0</v>
      </c>
      <c r="E82" s="22" t="s">
        <v>85</v>
      </c>
      <c r="F82" s="25" t="str">
        <f>IFERROR(VLOOKUP(E82,SETTINGS!A:B,2,0),"No Value")</f>
        <v>School Fees, College Tuition, Coaching Classes, Online Courses</v>
      </c>
      <c r="G82" s="11"/>
      <c r="H82" s="11"/>
      <c r="I82" s="5"/>
    </row>
    <row r="83" ht="15.75" customHeight="1">
      <c r="A83" s="19">
        <v>45801.0</v>
      </c>
      <c r="B83" s="21" t="str">
        <f t="shared" si="1"/>
        <v>May 25</v>
      </c>
      <c r="C83" s="22" t="s">
        <v>148</v>
      </c>
      <c r="D83" s="23">
        <v>100.0</v>
      </c>
      <c r="E83" s="22" t="s">
        <v>69</v>
      </c>
      <c r="F83" s="25" t="str">
        <f>IFERROR(VLOOKUP(E83,SETTINGS!A:B,2,0),"No Value")</f>
        <v>Car Servicing, AC Repair, Plumbing, Electrical Work</v>
      </c>
      <c r="G83" s="11"/>
      <c r="H83" s="11"/>
      <c r="I83" s="5"/>
    </row>
    <row r="84" ht="15.75" customHeight="1">
      <c r="A84" s="19">
        <v>45800.0</v>
      </c>
      <c r="B84" s="21" t="str">
        <f t="shared" si="1"/>
        <v>May 25</v>
      </c>
      <c r="C84" s="22" t="s">
        <v>86</v>
      </c>
      <c r="D84" s="23">
        <v>249.0</v>
      </c>
      <c r="E84" s="22" t="s">
        <v>61</v>
      </c>
      <c r="F84" s="25" t="str">
        <f>IFERROR(VLOOKUP(E84,SETTINGS!A:B,2,0),"No Value")</f>
        <v>Electricity Bill, Water Bill, Broadband, Mobile Recharge, DTH</v>
      </c>
      <c r="G84" s="11"/>
      <c r="H84" s="11"/>
      <c r="I84" s="5"/>
    </row>
    <row r="85" ht="15.75" customHeight="1">
      <c r="A85" s="19">
        <v>45802.0</v>
      </c>
      <c r="B85" s="21" t="str">
        <f t="shared" si="1"/>
        <v>May 25</v>
      </c>
      <c r="C85" s="22" t="s">
        <v>114</v>
      </c>
      <c r="D85" s="23">
        <v>227.0</v>
      </c>
      <c r="E85" s="22" t="s">
        <v>98</v>
      </c>
      <c r="F85" s="25" t="str">
        <f>IFERROR(VLOOKUP(E85,SETTINGS!A:B,2,0),"No Value")</f>
        <v>Clothes, Footwear, Accessories, Watches, Jewelry, Handbags</v>
      </c>
      <c r="G85" s="11"/>
      <c r="H85" s="11"/>
      <c r="I85" s="5"/>
    </row>
    <row r="86" ht="15.75" customHeight="1">
      <c r="A86" s="19">
        <v>45802.0</v>
      </c>
      <c r="B86" s="21" t="str">
        <f t="shared" si="1"/>
        <v>May 25</v>
      </c>
      <c r="C86" s="22" t="s">
        <v>149</v>
      </c>
      <c r="D86" s="23">
        <v>200.0</v>
      </c>
      <c r="E86" s="22" t="s">
        <v>35</v>
      </c>
      <c r="F86" s="25" t="str">
        <f>IFERROR(VLOOKUP(E86,SETTINGS!A:B,2,0),"No Value")</f>
        <v>Office tea/coffee, Small breaks, Bakery items, Juice, chips, biscuits</v>
      </c>
      <c r="G86" s="11"/>
      <c r="H86" s="11"/>
      <c r="I86" s="5"/>
    </row>
    <row r="87" ht="15.75" customHeight="1">
      <c r="A87" s="19">
        <v>45803.0</v>
      </c>
      <c r="B87" s="21" t="str">
        <f t="shared" si="1"/>
        <v>May 25</v>
      </c>
      <c r="C87" s="22" t="s">
        <v>150</v>
      </c>
      <c r="D87" s="23">
        <v>130.0</v>
      </c>
      <c r="E87" s="22" t="s">
        <v>85</v>
      </c>
      <c r="F87" s="25" t="str">
        <f>IFERROR(VLOOKUP(E87,SETTINGS!A:B,2,0),"No Value")</f>
        <v>School Fees, College Tuition, Coaching Classes, Online Courses</v>
      </c>
      <c r="G87" s="11"/>
      <c r="H87" s="11"/>
      <c r="I87" s="5"/>
    </row>
    <row r="88" ht="15.75" customHeight="1">
      <c r="A88" s="19">
        <v>45803.0</v>
      </c>
      <c r="B88" s="21" t="str">
        <f t="shared" si="1"/>
        <v>May 25</v>
      </c>
      <c r="C88" s="22" t="s">
        <v>151</v>
      </c>
      <c r="D88" s="23">
        <v>902.94</v>
      </c>
      <c r="E88" s="22" t="s">
        <v>152</v>
      </c>
      <c r="F88" s="25" t="str">
        <f>IFERROR(VLOOKUP(E88,SETTINGS!A:B,2,0),"No Value")</f>
        <v/>
      </c>
      <c r="G88" s="11"/>
      <c r="H88" s="11"/>
      <c r="I88" s="5"/>
    </row>
    <row r="89" ht="15.75" customHeight="1">
      <c r="A89" s="19">
        <v>45803.0</v>
      </c>
      <c r="B89" s="21" t="str">
        <f t="shared" si="1"/>
        <v>May 25</v>
      </c>
      <c r="C89" s="22" t="s">
        <v>151</v>
      </c>
      <c r="D89" s="23">
        <v>10.64</v>
      </c>
      <c r="E89" s="22" t="s">
        <v>152</v>
      </c>
      <c r="F89" s="25" t="str">
        <f>IFERROR(VLOOKUP(E89,SETTINGS!A:B,2,0),"No Value")</f>
        <v/>
      </c>
      <c r="G89" s="11"/>
      <c r="H89" s="11"/>
      <c r="I89" s="5"/>
    </row>
    <row r="90" ht="15.75" customHeight="1">
      <c r="A90" s="19">
        <v>45804.0</v>
      </c>
      <c r="B90" s="21" t="str">
        <f t="shared" si="1"/>
        <v>May 25</v>
      </c>
      <c r="C90" s="22" t="s">
        <v>153</v>
      </c>
      <c r="D90" s="23">
        <v>150.0</v>
      </c>
      <c r="E90" s="22" t="s">
        <v>52</v>
      </c>
      <c r="F90" s="25" t="str">
        <f>IFERROR(VLOOKUP(E90,SETTINGS!A:B,2,0),"No Value")</f>
        <v>Medicines, Doctor Consultation, Hospitalization, Surgery</v>
      </c>
      <c r="G90" s="11"/>
      <c r="H90" s="11"/>
      <c r="I90" s="5"/>
    </row>
    <row r="91" ht="15.75" customHeight="1">
      <c r="A91" s="19">
        <v>45804.0</v>
      </c>
      <c r="B91" s="21" t="str">
        <f t="shared" si="1"/>
        <v>May 25</v>
      </c>
      <c r="C91" s="22" t="s">
        <v>101</v>
      </c>
      <c r="D91" s="23">
        <v>280.0</v>
      </c>
      <c r="E91" s="22" t="s">
        <v>52</v>
      </c>
      <c r="F91" s="25" t="str">
        <f>IFERROR(VLOOKUP(E91,SETTINGS!A:B,2,0),"No Value")</f>
        <v>Medicines, Doctor Consultation, Hospitalization, Surgery</v>
      </c>
      <c r="G91" s="11"/>
      <c r="H91" s="11"/>
      <c r="I91" s="5"/>
    </row>
    <row r="92" ht="15.75" customHeight="1">
      <c r="A92" s="19">
        <v>45804.0</v>
      </c>
      <c r="B92" s="21" t="str">
        <f t="shared" si="1"/>
        <v>May 25</v>
      </c>
      <c r="C92" s="22" t="s">
        <v>154</v>
      </c>
      <c r="D92" s="23">
        <v>25.0</v>
      </c>
      <c r="E92" s="22" t="s">
        <v>118</v>
      </c>
      <c r="F92" s="25" t="str">
        <f>IFERROR(VLOOKUP(E92,SETTINGS!A:B,2,0),"No Value")</f>
        <v>Vegetables, Fruits, Dairy, Meat, Frozen Food, Spices, Staples</v>
      </c>
      <c r="G92" s="11"/>
      <c r="H92" s="11"/>
      <c r="I92" s="5"/>
    </row>
    <row r="93" ht="15.75" customHeight="1">
      <c r="A93" s="19">
        <v>45804.0</v>
      </c>
      <c r="B93" s="21" t="str">
        <f t="shared" si="1"/>
        <v>May 25</v>
      </c>
      <c r="C93" s="22" t="s">
        <v>112</v>
      </c>
      <c r="D93" s="23">
        <v>400.0</v>
      </c>
      <c r="E93" s="22" t="s">
        <v>61</v>
      </c>
      <c r="F93" s="25" t="str">
        <f>IFERROR(VLOOKUP(E93,SETTINGS!A:B,2,0),"No Value")</f>
        <v>Electricity Bill, Water Bill, Broadband, Mobile Recharge, DTH</v>
      </c>
      <c r="G93" s="11"/>
      <c r="H93" s="11"/>
      <c r="I93" s="5"/>
    </row>
    <row r="94" ht="15.75" customHeight="1">
      <c r="A94" s="19">
        <v>45804.0</v>
      </c>
      <c r="B94" s="21" t="str">
        <f t="shared" si="1"/>
        <v>May 25</v>
      </c>
      <c r="C94" s="22" t="s">
        <v>155</v>
      </c>
      <c r="D94" s="23">
        <v>30.0</v>
      </c>
      <c r="E94" s="22" t="s">
        <v>35</v>
      </c>
      <c r="F94" s="25" t="str">
        <f>IFERROR(VLOOKUP(E94,SETTINGS!A:B,2,0),"No Value")</f>
        <v>Office tea/coffee, Small breaks, Bakery items, Juice, chips, biscuits</v>
      </c>
      <c r="G94" s="11"/>
      <c r="H94" s="11"/>
      <c r="I94" s="5"/>
    </row>
    <row r="95" ht="15.75" customHeight="1">
      <c r="A95" s="19">
        <v>45805.0</v>
      </c>
      <c r="B95" s="21" t="str">
        <f t="shared" si="1"/>
        <v>May 25</v>
      </c>
      <c r="C95" s="22" t="s">
        <v>156</v>
      </c>
      <c r="D95" s="23">
        <v>70.0</v>
      </c>
      <c r="E95" s="22" t="s">
        <v>69</v>
      </c>
      <c r="F95" s="25" t="str">
        <f>IFERROR(VLOOKUP(E95,SETTINGS!A:B,2,0),"No Value")</f>
        <v>Car Servicing, AC Repair, Plumbing, Electrical Work</v>
      </c>
      <c r="G95" s="11"/>
      <c r="H95" s="11"/>
      <c r="I95" s="5"/>
    </row>
    <row r="96" ht="15.75" customHeight="1">
      <c r="A96" s="19">
        <v>45807.0</v>
      </c>
      <c r="B96" s="21" t="str">
        <f t="shared" si="1"/>
        <v>May 25</v>
      </c>
      <c r="C96" s="22" t="s">
        <v>157</v>
      </c>
      <c r="D96" s="23">
        <v>140.0</v>
      </c>
      <c r="E96" s="22" t="s">
        <v>42</v>
      </c>
      <c r="F96" s="25" t="str">
        <f>IFERROR(VLOOKUP(E96,SETTINGS!A:B,2,0),"No Value")</f>
        <v>Haircuts, Skincare, Beauty Products, Grooming Kits, Salon</v>
      </c>
      <c r="G96" s="11"/>
      <c r="H96" s="11"/>
      <c r="I96" s="5"/>
    </row>
    <row r="97" ht="15.75" customHeight="1">
      <c r="A97" s="19">
        <v>45807.0</v>
      </c>
      <c r="B97" s="21" t="str">
        <f t="shared" si="1"/>
        <v>May 25</v>
      </c>
      <c r="C97" s="22" t="s">
        <v>158</v>
      </c>
      <c r="D97" s="23">
        <v>10.0</v>
      </c>
      <c r="E97" s="22" t="s">
        <v>118</v>
      </c>
      <c r="F97" s="25" t="str">
        <f>IFERROR(VLOOKUP(E97,SETTINGS!A:B,2,0),"No Value")</f>
        <v>Vegetables, Fruits, Dairy, Meat, Frozen Food, Spices, Staples</v>
      </c>
      <c r="G97" s="11"/>
      <c r="H97" s="11"/>
      <c r="I97" s="5"/>
    </row>
    <row r="98" ht="15.75" customHeight="1">
      <c r="A98" s="19">
        <v>45809.0</v>
      </c>
      <c r="B98" s="21" t="str">
        <f t="shared" si="1"/>
        <v>Jun 25</v>
      </c>
      <c r="C98" s="22" t="s">
        <v>159</v>
      </c>
      <c r="D98" s="23">
        <v>515.0</v>
      </c>
      <c r="E98" s="22" t="s">
        <v>27</v>
      </c>
      <c r="F98" s="25" t="str">
        <f>IFERROR(VLOOKUP(E98,SETTINGS!A:B,2,0),"No Value")</f>
        <v>Dining Out, Fast Food, Café, Home Delivery, Street Food</v>
      </c>
      <c r="G98" s="11"/>
      <c r="H98" s="11"/>
      <c r="I98" s="5"/>
    </row>
    <row r="99" ht="15.75" customHeight="1">
      <c r="A99" s="19">
        <v>45809.0</v>
      </c>
      <c r="B99" s="21" t="str">
        <f t="shared" si="1"/>
        <v>Jun 25</v>
      </c>
      <c r="C99" s="22" t="s">
        <v>160</v>
      </c>
      <c r="D99" s="23">
        <v>390.0</v>
      </c>
      <c r="E99" s="22" t="s">
        <v>27</v>
      </c>
      <c r="F99" s="25" t="str">
        <f>IFERROR(VLOOKUP(E99,SETTINGS!A:B,2,0),"No Value")</f>
        <v>Dining Out, Fast Food, Café, Home Delivery, Street Food</v>
      </c>
      <c r="G99" s="11"/>
      <c r="H99" s="11"/>
      <c r="I99" s="5"/>
    </row>
    <row r="100" ht="15.75" customHeight="1">
      <c r="A100" s="19">
        <v>45809.0</v>
      </c>
      <c r="B100" s="21" t="str">
        <f t="shared" si="1"/>
        <v>Jun 25</v>
      </c>
      <c r="C100" s="22" t="s">
        <v>161</v>
      </c>
      <c r="D100" s="23">
        <v>80.0</v>
      </c>
      <c r="E100" s="22" t="s">
        <v>85</v>
      </c>
      <c r="F100" s="25" t="str">
        <f>IFERROR(VLOOKUP(E100,SETTINGS!A:B,2,0),"No Value")</f>
        <v>School Fees, College Tuition, Coaching Classes, Online Courses</v>
      </c>
      <c r="G100" s="11"/>
      <c r="H100" s="11"/>
      <c r="I100" s="5"/>
    </row>
    <row r="101" ht="15.75" customHeight="1">
      <c r="A101" s="19">
        <v>45809.0</v>
      </c>
      <c r="B101" s="21" t="str">
        <f t="shared" si="1"/>
        <v>Jun 25</v>
      </c>
      <c r="C101" s="22" t="s">
        <v>162</v>
      </c>
      <c r="D101" s="23">
        <v>925.0</v>
      </c>
      <c r="E101" s="22" t="s">
        <v>69</v>
      </c>
      <c r="F101" s="25" t="str">
        <f>IFERROR(VLOOKUP(E101,SETTINGS!A:B,2,0),"No Value")</f>
        <v>Car Servicing, AC Repair, Plumbing, Electrical Work</v>
      </c>
      <c r="G101" s="11"/>
      <c r="H101" s="11"/>
      <c r="I101" s="5"/>
    </row>
    <row r="102" ht="15.75" customHeight="1">
      <c r="A102" s="19">
        <v>45809.0</v>
      </c>
      <c r="B102" s="21" t="str">
        <f t="shared" si="1"/>
        <v>Jun 25</v>
      </c>
      <c r="C102" s="22" t="s">
        <v>163</v>
      </c>
      <c r="D102" s="23">
        <v>646.0</v>
      </c>
      <c r="E102" s="22" t="s">
        <v>27</v>
      </c>
      <c r="F102" s="25" t="str">
        <f>IFERROR(VLOOKUP(E102,SETTINGS!A:B,2,0),"No Value")</f>
        <v>Dining Out, Fast Food, Café, Home Delivery, Street Food</v>
      </c>
      <c r="G102" s="11"/>
      <c r="H102" s="11"/>
      <c r="I102" s="5"/>
    </row>
    <row r="103" ht="15.75" customHeight="1">
      <c r="A103" s="19">
        <v>45810.0</v>
      </c>
      <c r="B103" s="21" t="str">
        <f t="shared" si="1"/>
        <v>Jun 25</v>
      </c>
      <c r="C103" s="22" t="s">
        <v>94</v>
      </c>
      <c r="D103" s="23">
        <v>2000.0</v>
      </c>
      <c r="E103" s="22" t="s">
        <v>95</v>
      </c>
      <c r="F103" s="25" t="str">
        <f>IFERROR(VLOOKUP(E103,SETTINGS!A:B,2,0),"No Value")</f>
        <v>Stocks, Mutual Funds, Bonds, Real Estate, Gold, Cryptocurrencies</v>
      </c>
      <c r="G103" s="11"/>
      <c r="H103" s="11"/>
      <c r="I103" s="5"/>
    </row>
    <row r="104" ht="15.75" customHeight="1">
      <c r="A104" s="19">
        <v>45811.0</v>
      </c>
      <c r="B104" s="21" t="str">
        <f t="shared" si="1"/>
        <v>Jun 25</v>
      </c>
      <c r="C104" s="22" t="s">
        <v>128</v>
      </c>
      <c r="D104" s="23">
        <v>1000.0</v>
      </c>
      <c r="E104" s="22" t="s">
        <v>95</v>
      </c>
      <c r="F104" s="25" t="str">
        <f>IFERROR(VLOOKUP(E104,SETTINGS!A:B,2,0),"No Value")</f>
        <v>Stocks, Mutual Funds, Bonds, Real Estate, Gold, Cryptocurrencies</v>
      </c>
      <c r="G104" s="11"/>
      <c r="H104" s="11"/>
      <c r="I104" s="5"/>
    </row>
    <row r="105" ht="15.75" customHeight="1">
      <c r="A105" s="19">
        <v>45811.0</v>
      </c>
      <c r="B105" s="21" t="str">
        <f t="shared" si="1"/>
        <v>Jun 25</v>
      </c>
      <c r="C105" s="22" t="s">
        <v>129</v>
      </c>
      <c r="D105" s="23">
        <v>1000.0</v>
      </c>
      <c r="E105" s="22" t="s">
        <v>95</v>
      </c>
      <c r="F105" s="25" t="str">
        <f>IFERROR(VLOOKUP(E105,SETTINGS!A:B,2,0),"No Value")</f>
        <v>Stocks, Mutual Funds, Bonds, Real Estate, Gold, Cryptocurrencies</v>
      </c>
      <c r="G105" s="11"/>
      <c r="H105" s="11"/>
      <c r="I105" s="5"/>
    </row>
    <row r="106" ht="15.75" customHeight="1">
      <c r="A106" s="19">
        <v>45811.0</v>
      </c>
      <c r="B106" s="21" t="str">
        <f t="shared" si="1"/>
        <v>Jun 25</v>
      </c>
      <c r="C106" s="22" t="s">
        <v>164</v>
      </c>
      <c r="D106" s="23">
        <v>200.0</v>
      </c>
      <c r="E106" s="22" t="s">
        <v>35</v>
      </c>
      <c r="F106" s="25" t="str">
        <f>IFERROR(VLOOKUP(E106,SETTINGS!A:B,2,0),"No Value")</f>
        <v>Office tea/coffee, Small breaks, Bakery items, Juice, chips, biscuits</v>
      </c>
      <c r="G106" s="11"/>
      <c r="H106" s="11"/>
      <c r="I106" s="5"/>
    </row>
    <row r="107" ht="15.75" customHeight="1">
      <c r="A107" s="19">
        <v>45811.0</v>
      </c>
      <c r="B107" s="21" t="str">
        <f t="shared" si="1"/>
        <v>Jun 25</v>
      </c>
      <c r="C107" s="22" t="s">
        <v>165</v>
      </c>
      <c r="D107" s="23">
        <v>879.41</v>
      </c>
      <c r="E107" s="22" t="s">
        <v>69</v>
      </c>
      <c r="F107" s="25" t="str">
        <f>IFERROR(VLOOKUP(E107,SETTINGS!A:B,2,0),"No Value")</f>
        <v>Car Servicing, AC Repair, Plumbing, Electrical Work</v>
      </c>
      <c r="G107" s="11"/>
      <c r="H107" s="11"/>
      <c r="I107" s="5"/>
    </row>
    <row r="108" ht="15.75" customHeight="1">
      <c r="A108" s="19">
        <v>45814.0</v>
      </c>
      <c r="B108" s="21" t="str">
        <f t="shared" si="1"/>
        <v>Jun 25</v>
      </c>
      <c r="C108" s="22" t="s">
        <v>166</v>
      </c>
      <c r="D108" s="23">
        <v>500.0</v>
      </c>
      <c r="E108" s="22" t="s">
        <v>35</v>
      </c>
      <c r="F108" s="25" t="str">
        <f>IFERROR(VLOOKUP(E108,SETTINGS!A:B,2,0),"No Value")</f>
        <v>Office tea/coffee, Small breaks, Bakery items, Juice, chips, biscuits</v>
      </c>
      <c r="G108" s="11"/>
      <c r="H108" s="11"/>
      <c r="I108" s="5"/>
    </row>
    <row r="109" ht="15.75" customHeight="1">
      <c r="A109" s="19">
        <v>45815.0</v>
      </c>
      <c r="B109" s="21" t="str">
        <f t="shared" si="1"/>
        <v>Jun 25</v>
      </c>
      <c r="C109" s="22" t="s">
        <v>167</v>
      </c>
      <c r="D109" s="23">
        <v>40.0</v>
      </c>
      <c r="E109" s="22" t="s">
        <v>35</v>
      </c>
      <c r="F109" s="25" t="str">
        <f>IFERROR(VLOOKUP(E109,SETTINGS!A:B,2,0),"No Value")</f>
        <v>Office tea/coffee, Small breaks, Bakery items, Juice, chips, biscuits</v>
      </c>
      <c r="G109" s="11"/>
      <c r="H109" s="11"/>
      <c r="I109" s="5"/>
    </row>
    <row r="110" ht="15.75" customHeight="1">
      <c r="A110" s="19">
        <v>45815.0</v>
      </c>
      <c r="B110" s="21" t="str">
        <f t="shared" si="1"/>
        <v>Jun 25</v>
      </c>
      <c r="C110" s="22" t="s">
        <v>168</v>
      </c>
      <c r="D110" s="23">
        <v>700.0</v>
      </c>
      <c r="E110" s="22" t="s">
        <v>118</v>
      </c>
      <c r="F110" s="25" t="str">
        <f>IFERROR(VLOOKUP(E110,SETTINGS!A:B,2,0),"No Value")</f>
        <v>Vegetables, Fruits, Dairy, Meat, Frozen Food, Spices, Staples</v>
      </c>
      <c r="G110" s="11"/>
      <c r="H110" s="11"/>
      <c r="I110" s="5"/>
    </row>
    <row r="111" ht="15.75" customHeight="1">
      <c r="A111" s="19">
        <v>45815.0</v>
      </c>
      <c r="B111" s="21" t="str">
        <f t="shared" si="1"/>
        <v>Jun 25</v>
      </c>
      <c r="C111" s="22" t="s">
        <v>169</v>
      </c>
      <c r="D111" s="23">
        <v>80.0</v>
      </c>
      <c r="E111" s="22" t="s">
        <v>118</v>
      </c>
      <c r="F111" s="25" t="str">
        <f>IFERROR(VLOOKUP(E111,SETTINGS!A:B,2,0),"No Value")</f>
        <v>Vegetables, Fruits, Dairy, Meat, Frozen Food, Spices, Staples</v>
      </c>
      <c r="G111" s="11"/>
      <c r="H111" s="11"/>
      <c r="I111" s="5"/>
    </row>
    <row r="112" ht="15.75" customHeight="1">
      <c r="A112" s="19">
        <v>45816.0</v>
      </c>
      <c r="B112" s="21" t="str">
        <f t="shared" si="1"/>
        <v>Jun 25</v>
      </c>
      <c r="C112" s="22" t="s">
        <v>59</v>
      </c>
      <c r="D112" s="23">
        <v>480.19</v>
      </c>
      <c r="E112" s="22" t="s">
        <v>27</v>
      </c>
      <c r="F112" s="25" t="str">
        <f>IFERROR(VLOOKUP(E112,SETTINGS!A:B,2,0),"No Value")</f>
        <v>Dining Out, Fast Food, Café, Home Delivery, Street Food</v>
      </c>
      <c r="G112" s="11"/>
      <c r="H112" s="11"/>
      <c r="I112" s="5"/>
    </row>
    <row r="113" ht="15.75" customHeight="1">
      <c r="A113" s="19">
        <v>45816.0</v>
      </c>
      <c r="B113" s="21" t="str">
        <f t="shared" si="1"/>
        <v>Jun 25</v>
      </c>
      <c r="C113" s="22" t="s">
        <v>170</v>
      </c>
      <c r="D113" s="23">
        <v>240.0</v>
      </c>
      <c r="E113" s="22" t="s">
        <v>120</v>
      </c>
      <c r="F113" s="25" t="str">
        <f>IFERROR(VLOOKUP(E113,SETTINGS!A:B,2,0),"No Value")</f>
        <v>Furniture, Cleaning Supplies, Kitchen Appliances, Home Decor</v>
      </c>
      <c r="G113" s="11"/>
      <c r="H113" s="11"/>
      <c r="I113" s="5"/>
    </row>
    <row r="114" ht="15.75" customHeight="1">
      <c r="A114" s="19">
        <v>45819.0</v>
      </c>
      <c r="B114" s="21" t="str">
        <f t="shared" si="1"/>
        <v>Jun 25</v>
      </c>
      <c r="C114" s="22" t="s">
        <v>60</v>
      </c>
      <c r="D114" s="23">
        <v>1400.0</v>
      </c>
      <c r="E114" s="22" t="s">
        <v>61</v>
      </c>
      <c r="F114" s="25" t="str">
        <f>IFERROR(VLOOKUP(E114,SETTINGS!A:B,2,0),"No Value")</f>
        <v>Electricity Bill, Water Bill, Broadband, Mobile Recharge, DTH</v>
      </c>
      <c r="G114" s="11"/>
      <c r="H114" s="11"/>
      <c r="I114" s="5"/>
    </row>
    <row r="115" ht="15.75" customHeight="1">
      <c r="A115" s="19">
        <v>45820.0</v>
      </c>
      <c r="B115" s="21" t="str">
        <f t="shared" si="1"/>
        <v>Jun 25</v>
      </c>
      <c r="C115" s="22" t="s">
        <v>126</v>
      </c>
      <c r="D115" s="23">
        <v>12.0</v>
      </c>
      <c r="E115" s="22" t="s">
        <v>35</v>
      </c>
      <c r="F115" s="25" t="str">
        <f>IFERROR(VLOOKUP(E115,SETTINGS!A:B,2,0),"No Value")</f>
        <v>Office tea/coffee, Small breaks, Bakery items, Juice, chips, biscuits</v>
      </c>
      <c r="G115" s="11"/>
      <c r="H115" s="11"/>
      <c r="I115" s="5"/>
    </row>
    <row r="116" ht="15.75" customHeight="1">
      <c r="A116" s="19">
        <v>45821.0</v>
      </c>
      <c r="B116" s="21" t="str">
        <f t="shared" si="1"/>
        <v>Jun 25</v>
      </c>
      <c r="C116" s="22" t="s">
        <v>126</v>
      </c>
      <c r="D116" s="23">
        <v>12.0</v>
      </c>
      <c r="E116" s="22" t="s">
        <v>35</v>
      </c>
      <c r="F116" s="25" t="str">
        <f>IFERROR(VLOOKUP(E116,SETTINGS!A:B,2,0),"No Value")</f>
        <v>Office tea/coffee, Small breaks, Bakery items, Juice, chips, biscuits</v>
      </c>
      <c r="G116" s="11"/>
      <c r="H116" s="11"/>
      <c r="I116" s="5"/>
    </row>
    <row r="117" ht="15.75" customHeight="1">
      <c r="A117" s="19">
        <v>45821.0</v>
      </c>
      <c r="B117" s="21" t="str">
        <f t="shared" si="1"/>
        <v>Jun 25</v>
      </c>
      <c r="C117" s="22" t="s">
        <v>26</v>
      </c>
      <c r="D117" s="23">
        <v>64.0</v>
      </c>
      <c r="E117" s="22" t="s">
        <v>27</v>
      </c>
      <c r="F117" s="25" t="str">
        <f>IFERROR(VLOOKUP(E117,SETTINGS!A:B,2,0),"No Value")</f>
        <v>Dining Out, Fast Food, Café, Home Delivery, Street Food</v>
      </c>
      <c r="G117" s="11"/>
      <c r="H117" s="11"/>
      <c r="I117" s="5"/>
    </row>
    <row r="118" ht="15.75" customHeight="1">
      <c r="A118" s="19">
        <v>45821.0</v>
      </c>
      <c r="B118" s="21" t="str">
        <f t="shared" si="1"/>
        <v>Jun 25</v>
      </c>
      <c r="C118" s="22" t="s">
        <v>171</v>
      </c>
      <c r="D118" s="23">
        <v>45.0</v>
      </c>
      <c r="E118" s="22" t="s">
        <v>120</v>
      </c>
      <c r="F118" s="25" t="str">
        <f>IFERROR(VLOOKUP(E118,SETTINGS!A:B,2,0),"No Value")</f>
        <v>Furniture, Cleaning Supplies, Kitchen Appliances, Home Decor</v>
      </c>
      <c r="G118" s="11"/>
      <c r="H118" s="11"/>
      <c r="I118" s="5"/>
    </row>
    <row r="119" ht="15.75" customHeight="1">
      <c r="A119" s="19">
        <v>45822.0</v>
      </c>
      <c r="B119" s="21" t="str">
        <f t="shared" si="1"/>
        <v>Jun 25</v>
      </c>
      <c r="C119" s="22" t="s">
        <v>72</v>
      </c>
      <c r="D119" s="23">
        <v>497.0</v>
      </c>
      <c r="E119" s="22" t="s">
        <v>69</v>
      </c>
      <c r="F119" s="25" t="str">
        <f>IFERROR(VLOOKUP(E119,SETTINGS!A:B,2,0),"No Value")</f>
        <v>Car Servicing, AC Repair, Plumbing, Electrical Work</v>
      </c>
      <c r="G119" s="11"/>
      <c r="H119" s="11"/>
      <c r="I119" s="5"/>
    </row>
    <row r="120" ht="15.75" customHeight="1">
      <c r="A120" s="19">
        <v>45822.0</v>
      </c>
      <c r="B120" s="21" t="str">
        <f t="shared" si="1"/>
        <v>Jun 25</v>
      </c>
      <c r="C120" s="22" t="s">
        <v>172</v>
      </c>
      <c r="D120" s="23">
        <v>54.0</v>
      </c>
      <c r="E120" s="22" t="s">
        <v>118</v>
      </c>
      <c r="F120" s="25" t="str">
        <f>IFERROR(VLOOKUP(E120,SETTINGS!A:B,2,0),"No Value")</f>
        <v>Vegetables, Fruits, Dairy, Meat, Frozen Food, Spices, Staples</v>
      </c>
      <c r="G120" s="11"/>
      <c r="H120" s="11"/>
      <c r="I120" s="5"/>
    </row>
    <row r="121" ht="15.75" customHeight="1">
      <c r="A121" s="19">
        <v>45823.0</v>
      </c>
      <c r="B121" s="21" t="str">
        <f t="shared" si="1"/>
        <v>Jun 25</v>
      </c>
      <c r="C121" s="22" t="s">
        <v>173</v>
      </c>
      <c r="D121" s="23">
        <v>577.0</v>
      </c>
      <c r="E121" s="22" t="s">
        <v>27</v>
      </c>
      <c r="F121" s="25" t="str">
        <f>IFERROR(VLOOKUP(E121,SETTINGS!A:B,2,0),"No Value")</f>
        <v>Dining Out, Fast Food, Café, Home Delivery, Street Food</v>
      </c>
      <c r="G121" s="11"/>
      <c r="H121" s="11"/>
      <c r="I121" s="5"/>
    </row>
    <row r="122" ht="15.75" customHeight="1">
      <c r="A122" s="19">
        <v>45824.0</v>
      </c>
      <c r="B122" s="21" t="str">
        <f t="shared" si="1"/>
        <v>Jun 25</v>
      </c>
      <c r="C122" s="22" t="s">
        <v>174</v>
      </c>
      <c r="D122" s="23">
        <v>32.0</v>
      </c>
      <c r="E122" s="22" t="s">
        <v>35</v>
      </c>
      <c r="F122" s="25" t="str">
        <f>IFERROR(VLOOKUP(E122,SETTINGS!A:B,2,0),"No Value")</f>
        <v>Office tea/coffee, Small breaks, Bakery items, Juice, chips, biscuits</v>
      </c>
      <c r="G122" s="11"/>
      <c r="H122" s="11"/>
      <c r="I122" s="5"/>
    </row>
    <row r="123" ht="15.75" customHeight="1">
      <c r="A123" s="19">
        <v>45826.0</v>
      </c>
      <c r="B123" s="21" t="str">
        <f t="shared" si="1"/>
        <v>Jun 25</v>
      </c>
      <c r="C123" s="22" t="s">
        <v>175</v>
      </c>
      <c r="D123" s="23">
        <v>12.0</v>
      </c>
      <c r="E123" s="22" t="s">
        <v>35</v>
      </c>
      <c r="F123" s="25" t="str">
        <f>IFERROR(VLOOKUP(E123,SETTINGS!A:B,2,0),"No Value")</f>
        <v>Office tea/coffee, Small breaks, Bakery items, Juice, chips, biscuits</v>
      </c>
      <c r="G123" s="11"/>
      <c r="H123" s="11"/>
      <c r="I123" s="5"/>
    </row>
    <row r="124" ht="15.75" customHeight="1">
      <c r="A124" s="19">
        <v>45828.0</v>
      </c>
      <c r="B124" s="21" t="str">
        <f t="shared" si="1"/>
        <v>Jun 25</v>
      </c>
      <c r="C124" s="22" t="s">
        <v>176</v>
      </c>
      <c r="D124" s="23">
        <v>12.0</v>
      </c>
      <c r="E124" s="22" t="s">
        <v>35</v>
      </c>
      <c r="F124" s="25" t="str">
        <f>IFERROR(VLOOKUP(E124,SETTINGS!A:B,2,0),"No Value")</f>
        <v>Office tea/coffee, Small breaks, Bakery items, Juice, chips, biscuits</v>
      </c>
      <c r="G124" s="11"/>
      <c r="H124" s="11"/>
      <c r="I124" s="5"/>
    </row>
    <row r="125" ht="15.75" customHeight="1">
      <c r="A125" s="19">
        <v>45829.0</v>
      </c>
      <c r="B125" s="21" t="str">
        <f t="shared" si="1"/>
        <v>Jun 25</v>
      </c>
      <c r="C125" s="22" t="s">
        <v>112</v>
      </c>
      <c r="D125" s="23">
        <v>199.0</v>
      </c>
      <c r="E125" s="22" t="s">
        <v>61</v>
      </c>
      <c r="F125" s="25" t="str">
        <f>IFERROR(VLOOKUP(E125,SETTINGS!A:B,2,0),"No Value")</f>
        <v>Electricity Bill, Water Bill, Broadband, Mobile Recharge, DTH</v>
      </c>
      <c r="G125" s="11"/>
      <c r="H125" s="11"/>
      <c r="I125" s="5"/>
    </row>
    <row r="126" ht="15.75" customHeight="1">
      <c r="A126" s="19">
        <v>45833.0</v>
      </c>
      <c r="B126" s="21" t="str">
        <f t="shared" si="1"/>
        <v>Jun 25</v>
      </c>
      <c r="C126" s="22" t="s">
        <v>177</v>
      </c>
      <c r="D126" s="23">
        <v>719.0</v>
      </c>
      <c r="E126" s="22" t="s">
        <v>42</v>
      </c>
      <c r="F126" s="25" t="str">
        <f>IFERROR(VLOOKUP(E126,SETTINGS!A:B,2,0),"No Value")</f>
        <v>Haircuts, Skincare, Beauty Products, Grooming Kits, Salon</v>
      </c>
      <c r="G126" s="11"/>
      <c r="H126" s="11"/>
      <c r="I126" s="5"/>
    </row>
    <row r="127" ht="15.75" customHeight="1">
      <c r="A127" s="19">
        <v>45833.0</v>
      </c>
      <c r="B127" s="21" t="str">
        <f t="shared" si="1"/>
        <v>Jun 25</v>
      </c>
      <c r="C127" s="22" t="s">
        <v>178</v>
      </c>
      <c r="D127" s="23">
        <v>193.0</v>
      </c>
      <c r="E127" s="22" t="s">
        <v>98</v>
      </c>
      <c r="F127" s="25" t="str">
        <f>IFERROR(VLOOKUP(E127,SETTINGS!A:B,2,0),"No Value")</f>
        <v>Clothes, Footwear, Accessories, Watches, Jewelry, Handbags</v>
      </c>
      <c r="G127" s="11"/>
      <c r="H127" s="11"/>
      <c r="I127" s="5"/>
    </row>
    <row r="128" ht="15.75" customHeight="1">
      <c r="A128" s="19">
        <v>45833.0</v>
      </c>
      <c r="B128" s="21" t="str">
        <f t="shared" si="1"/>
        <v>Jun 25</v>
      </c>
      <c r="C128" s="22" t="s">
        <v>179</v>
      </c>
      <c r="D128" s="23">
        <v>131.0</v>
      </c>
      <c r="E128" s="22" t="s">
        <v>35</v>
      </c>
      <c r="F128" s="25" t="str">
        <f>IFERROR(VLOOKUP(E128,SETTINGS!A:B,2,0),"No Value")</f>
        <v>Office tea/coffee, Small breaks, Bakery items, Juice, chips, biscuits</v>
      </c>
      <c r="G128" s="11"/>
      <c r="H128" s="11"/>
      <c r="I128" s="5"/>
    </row>
    <row r="129" ht="15.75" customHeight="1">
      <c r="A129" s="19">
        <v>45834.0</v>
      </c>
      <c r="B129" s="21" t="str">
        <f t="shared" si="1"/>
        <v>Jun 25</v>
      </c>
      <c r="C129" s="22" t="s">
        <v>180</v>
      </c>
      <c r="D129" s="23">
        <v>40.0</v>
      </c>
      <c r="E129" s="22" t="s">
        <v>35</v>
      </c>
      <c r="F129" s="25" t="str">
        <f>IFERROR(VLOOKUP(E129,SETTINGS!A:B,2,0),"No Value")</f>
        <v>Office tea/coffee, Small breaks, Bakery items, Juice, chips, biscuits</v>
      </c>
      <c r="G129" s="11"/>
      <c r="H129" s="11"/>
      <c r="I129" s="5"/>
    </row>
    <row r="130" ht="15.75" customHeight="1">
      <c r="A130" s="19">
        <v>45836.0</v>
      </c>
      <c r="B130" s="21" t="str">
        <f t="shared" si="1"/>
        <v>Jun 25</v>
      </c>
      <c r="C130" s="22" t="s">
        <v>181</v>
      </c>
      <c r="D130" s="23">
        <v>50.0</v>
      </c>
      <c r="E130" s="22" t="s">
        <v>35</v>
      </c>
      <c r="F130" s="25" t="str">
        <f>IFERROR(VLOOKUP(E130,SETTINGS!A:B,2,0),"No Value")</f>
        <v>Office tea/coffee, Small breaks, Bakery items, Juice, chips, biscuits</v>
      </c>
      <c r="G130" s="11"/>
      <c r="H130" s="11"/>
      <c r="I130" s="5"/>
    </row>
    <row r="131" ht="15.75" customHeight="1">
      <c r="A131" s="19">
        <v>45836.0</v>
      </c>
      <c r="B131" s="21" t="str">
        <f t="shared" si="1"/>
        <v>Jun 25</v>
      </c>
      <c r="C131" s="22" t="s">
        <v>182</v>
      </c>
      <c r="D131" s="23">
        <v>130.0</v>
      </c>
      <c r="E131" s="22" t="s">
        <v>118</v>
      </c>
      <c r="F131" s="25" t="str">
        <f>IFERROR(VLOOKUP(E131,SETTINGS!A:B,2,0),"No Value")</f>
        <v>Vegetables, Fruits, Dairy, Meat, Frozen Food, Spices, Staples</v>
      </c>
      <c r="G131" s="11"/>
      <c r="H131" s="11"/>
      <c r="I131" s="5"/>
    </row>
    <row r="132" ht="15.75" customHeight="1">
      <c r="A132" s="19">
        <v>45836.0</v>
      </c>
      <c r="B132" s="21" t="str">
        <f t="shared" si="1"/>
        <v>Jun 25</v>
      </c>
      <c r="C132" s="22" t="s">
        <v>183</v>
      </c>
      <c r="D132" s="23">
        <v>1235.0</v>
      </c>
      <c r="E132" s="22" t="s">
        <v>107</v>
      </c>
      <c r="F132" s="25" t="str">
        <f>IFERROR(VLOOKUP(E132,SETTINGS!A:B,2,0),"No Value")</f>
        <v>Mobile Phones, Laptops, Smartwatches, Earphones</v>
      </c>
      <c r="G132" s="11"/>
      <c r="H132" s="11"/>
      <c r="I132" s="5"/>
    </row>
    <row r="133" ht="15.75" customHeight="1">
      <c r="A133" s="19">
        <v>45837.0</v>
      </c>
      <c r="B133" s="21" t="str">
        <f t="shared" si="1"/>
        <v>Jun 25</v>
      </c>
      <c r="C133" s="22" t="s">
        <v>112</v>
      </c>
      <c r="D133" s="23">
        <v>2249.0</v>
      </c>
      <c r="E133" s="22" t="s">
        <v>61</v>
      </c>
      <c r="F133" s="25" t="str">
        <f>IFERROR(VLOOKUP(E133,SETTINGS!A:B,2,0),"No Value")</f>
        <v>Electricity Bill, Water Bill, Broadband, Mobile Recharge, DTH</v>
      </c>
      <c r="G133" s="11"/>
      <c r="H133" s="11"/>
      <c r="I133" s="5"/>
    </row>
    <row r="134" ht="15.75" customHeight="1">
      <c r="A134" s="19">
        <v>45838.0</v>
      </c>
      <c r="B134" s="21" t="str">
        <f t="shared" si="1"/>
        <v>Jun 25</v>
      </c>
      <c r="C134" s="22" t="s">
        <v>184</v>
      </c>
      <c r="D134" s="23">
        <v>32.0</v>
      </c>
      <c r="E134" s="22" t="s">
        <v>35</v>
      </c>
      <c r="F134" s="25" t="str">
        <f>IFERROR(VLOOKUP(E134,SETTINGS!A:B,2,0),"No Value")</f>
        <v>Office tea/coffee, Small breaks, Bakery items, Juice, chips, biscuits</v>
      </c>
      <c r="G134" s="11"/>
      <c r="H134" s="11"/>
      <c r="I134" s="5"/>
    </row>
    <row r="135" ht="15.75" customHeight="1">
      <c r="A135" s="19">
        <v>45838.0</v>
      </c>
      <c r="B135" s="21" t="str">
        <f t="shared" si="1"/>
        <v>Jun 25</v>
      </c>
      <c r="C135" s="22" t="s">
        <v>180</v>
      </c>
      <c r="D135" s="23">
        <v>50.0</v>
      </c>
      <c r="E135" s="22" t="s">
        <v>35</v>
      </c>
      <c r="F135" s="25" t="str">
        <f>IFERROR(VLOOKUP(E135,SETTINGS!A:B,2,0),"No Value")</f>
        <v>Office tea/coffee, Small breaks, Bakery items, Juice, chips, biscuits</v>
      </c>
      <c r="G135" s="11"/>
      <c r="H135" s="11"/>
      <c r="I135" s="5"/>
    </row>
    <row r="136" ht="15.75" customHeight="1">
      <c r="A136" s="19">
        <v>45840.0</v>
      </c>
      <c r="B136" s="21" t="str">
        <f t="shared" si="1"/>
        <v>Jul 25</v>
      </c>
      <c r="C136" s="22" t="s">
        <v>43</v>
      </c>
      <c r="D136" s="23">
        <v>2800.0</v>
      </c>
      <c r="E136" s="22" t="s">
        <v>44</v>
      </c>
      <c r="F136" s="25" t="str">
        <f>IFERROR(VLOOKUP(E136,SETTINGS!A:B,2,0),"No Value")</f>
        <v>Borrowing from Friends, Lending to Family, Interest on Loan</v>
      </c>
      <c r="G136" s="11"/>
      <c r="H136" s="11"/>
      <c r="I136" s="5"/>
    </row>
    <row r="137" ht="15.75" customHeight="1">
      <c r="A137" s="19">
        <v>45840.0</v>
      </c>
      <c r="B137" s="21" t="str">
        <f t="shared" si="1"/>
        <v>Jul 25</v>
      </c>
      <c r="C137" s="22" t="s">
        <v>185</v>
      </c>
      <c r="D137" s="23">
        <v>10.0</v>
      </c>
      <c r="E137" s="22" t="s">
        <v>35</v>
      </c>
      <c r="F137" s="25" t="str">
        <f>IFERROR(VLOOKUP(E137,SETTINGS!A:B,2,0),"No Value")</f>
        <v>Office tea/coffee, Small breaks, Bakery items, Juice, chips, biscuits</v>
      </c>
      <c r="G137" s="11"/>
      <c r="H137" s="11"/>
      <c r="I137" s="5"/>
    </row>
    <row r="138" ht="15.75" customHeight="1">
      <c r="A138" s="19">
        <v>45840.0</v>
      </c>
      <c r="B138" s="21" t="str">
        <f t="shared" si="1"/>
        <v>Jul 25</v>
      </c>
      <c r="C138" s="22" t="s">
        <v>186</v>
      </c>
      <c r="D138" s="23">
        <v>260.0</v>
      </c>
      <c r="E138" s="22" t="s">
        <v>35</v>
      </c>
      <c r="F138" s="25" t="str">
        <f>IFERROR(VLOOKUP(E138,SETTINGS!A:B,2,0),"No Value")</f>
        <v>Office tea/coffee, Small breaks, Bakery items, Juice, chips, biscuits</v>
      </c>
      <c r="G138" s="11"/>
      <c r="H138" s="11"/>
      <c r="I138" s="5"/>
    </row>
    <row r="139" ht="15.75" customHeight="1">
      <c r="A139" s="19">
        <v>45841.0</v>
      </c>
      <c r="B139" s="21" t="str">
        <f t="shared" si="1"/>
        <v>Jul 25</v>
      </c>
      <c r="C139" s="22" t="s">
        <v>94</v>
      </c>
      <c r="D139" s="23">
        <v>2000.0</v>
      </c>
      <c r="E139" s="22" t="s">
        <v>95</v>
      </c>
      <c r="F139" s="25" t="str">
        <f>IFERROR(VLOOKUP(E139,SETTINGS!A:B,2,0),"No Value")</f>
        <v>Stocks, Mutual Funds, Bonds, Real Estate, Gold, Cryptocurrencies</v>
      </c>
      <c r="G139" s="11"/>
      <c r="H139" s="11"/>
      <c r="I139" s="5"/>
    </row>
    <row r="140" ht="15.75" customHeight="1">
      <c r="A140" s="19">
        <v>45841.0</v>
      </c>
      <c r="B140" s="21" t="str">
        <f t="shared" si="1"/>
        <v>Jul 25</v>
      </c>
      <c r="C140" s="22" t="s">
        <v>128</v>
      </c>
      <c r="D140" s="23">
        <v>1000.0</v>
      </c>
      <c r="E140" s="22" t="s">
        <v>95</v>
      </c>
      <c r="F140" s="25" t="str">
        <f>IFERROR(VLOOKUP(E140,SETTINGS!A:B,2,0),"No Value")</f>
        <v>Stocks, Mutual Funds, Bonds, Real Estate, Gold, Cryptocurrencies</v>
      </c>
      <c r="G140" s="11"/>
      <c r="H140" s="11"/>
      <c r="I140" s="5"/>
    </row>
    <row r="141" ht="15.75" customHeight="1">
      <c r="A141" s="19">
        <v>45841.0</v>
      </c>
      <c r="B141" s="21" t="str">
        <f t="shared" si="1"/>
        <v>Jul 25</v>
      </c>
      <c r="C141" s="22" t="s">
        <v>129</v>
      </c>
      <c r="D141" s="23">
        <v>1000.0</v>
      </c>
      <c r="E141" s="22" t="s">
        <v>95</v>
      </c>
      <c r="F141" s="25" t="str">
        <f>IFERROR(VLOOKUP(E141,SETTINGS!A:B,2,0),"No Value")</f>
        <v>Stocks, Mutual Funds, Bonds, Real Estate, Gold, Cryptocurrencies</v>
      </c>
      <c r="G141" s="11"/>
      <c r="H141" s="11"/>
      <c r="I141" s="5"/>
    </row>
    <row r="142" ht="15.75" customHeight="1">
      <c r="A142" s="19">
        <v>45842.0</v>
      </c>
      <c r="B142" s="21" t="str">
        <f t="shared" si="1"/>
        <v>Jul 25</v>
      </c>
      <c r="C142" s="22" t="s">
        <v>58</v>
      </c>
      <c r="D142" s="23">
        <v>700.0</v>
      </c>
      <c r="E142" s="22" t="s">
        <v>27</v>
      </c>
      <c r="F142" s="25" t="str">
        <f>IFERROR(VLOOKUP(E142,SETTINGS!A:B,2,0),"No Value")</f>
        <v>Dining Out, Fast Food, Café, Home Delivery, Street Food</v>
      </c>
      <c r="G142" s="11"/>
      <c r="H142" s="11"/>
      <c r="I142" s="5"/>
    </row>
    <row r="143" ht="15.75" customHeight="1">
      <c r="A143" s="19">
        <v>45845.0</v>
      </c>
      <c r="B143" s="21" t="str">
        <f t="shared" si="1"/>
        <v>Jul 25</v>
      </c>
      <c r="C143" s="22" t="s">
        <v>187</v>
      </c>
      <c r="D143" s="23">
        <v>116.0</v>
      </c>
      <c r="E143" s="22" t="s">
        <v>42</v>
      </c>
      <c r="F143" s="25" t="str">
        <f>IFERROR(VLOOKUP(E143,SETTINGS!A:B,2,0),"No Value")</f>
        <v>Haircuts, Skincare, Beauty Products, Grooming Kits, Salon</v>
      </c>
      <c r="G143" s="11"/>
      <c r="H143" s="11"/>
      <c r="I143" s="5"/>
    </row>
    <row r="144" ht="15.75" customHeight="1">
      <c r="A144" s="19">
        <v>45847.0</v>
      </c>
      <c r="B144" s="21" t="str">
        <f t="shared" si="1"/>
        <v>Jul 25</v>
      </c>
      <c r="C144" s="22" t="s">
        <v>188</v>
      </c>
      <c r="D144" s="23">
        <v>12.0</v>
      </c>
      <c r="E144" s="22" t="s">
        <v>35</v>
      </c>
      <c r="F144" s="25" t="str">
        <f>IFERROR(VLOOKUP(E144,SETTINGS!A:B,2,0),"No Value")</f>
        <v>Office tea/coffee, Small breaks, Bakery items, Juice, chips, biscuits</v>
      </c>
      <c r="G144" s="11"/>
      <c r="H144" s="11"/>
      <c r="I144" s="5"/>
    </row>
    <row r="145" ht="15.75" customHeight="1">
      <c r="A145" s="19">
        <v>45849.0</v>
      </c>
      <c r="B145" s="21" t="str">
        <f t="shared" si="1"/>
        <v>Jul 25</v>
      </c>
      <c r="C145" s="22" t="s">
        <v>188</v>
      </c>
      <c r="D145" s="23">
        <v>15.0</v>
      </c>
      <c r="E145" s="22" t="s">
        <v>35</v>
      </c>
      <c r="F145" s="25" t="str">
        <f>IFERROR(VLOOKUP(E145,SETTINGS!A:B,2,0),"No Value")</f>
        <v>Office tea/coffee, Small breaks, Bakery items, Juice, chips, biscuits</v>
      </c>
      <c r="G145" s="11"/>
      <c r="H145" s="11"/>
      <c r="I145" s="5"/>
    </row>
    <row r="146" ht="15.75" customHeight="1">
      <c r="A146" s="19">
        <v>45850.0</v>
      </c>
      <c r="B146" s="21" t="str">
        <f t="shared" si="1"/>
        <v>Jul 25</v>
      </c>
      <c r="C146" s="22" t="s">
        <v>170</v>
      </c>
      <c r="D146" s="23">
        <v>2545.0</v>
      </c>
      <c r="E146" s="22" t="s">
        <v>118</v>
      </c>
      <c r="F146" s="25" t="str">
        <f>IFERROR(VLOOKUP(E146,SETTINGS!A:B,2,0),"No Value")</f>
        <v>Vegetables, Fruits, Dairy, Meat, Frozen Food, Spices, Staples</v>
      </c>
      <c r="G146" s="11"/>
      <c r="H146" s="11"/>
      <c r="I146" s="5"/>
    </row>
    <row r="147" ht="15.75" customHeight="1">
      <c r="A147" s="19">
        <v>45850.0</v>
      </c>
      <c r="B147" s="21" t="str">
        <f t="shared" si="1"/>
        <v>Jul 25</v>
      </c>
      <c r="C147" s="22" t="s">
        <v>141</v>
      </c>
      <c r="D147" s="23">
        <v>390.0</v>
      </c>
      <c r="E147" s="22" t="s">
        <v>27</v>
      </c>
      <c r="F147" s="25" t="str">
        <f>IFERROR(VLOOKUP(E147,SETTINGS!A:B,2,0),"No Value")</f>
        <v>Dining Out, Fast Food, Café, Home Delivery, Street Food</v>
      </c>
      <c r="G147" s="11"/>
      <c r="H147" s="11"/>
      <c r="I147" s="5"/>
    </row>
    <row r="148" ht="15.75" customHeight="1">
      <c r="A148" s="19">
        <v>45851.0</v>
      </c>
      <c r="B148" s="21" t="str">
        <f t="shared" si="1"/>
        <v>Jul 25</v>
      </c>
      <c r="C148" s="22" t="s">
        <v>41</v>
      </c>
      <c r="D148" s="23">
        <v>100.0</v>
      </c>
      <c r="E148" s="22" t="s">
        <v>42</v>
      </c>
      <c r="F148" s="25" t="str">
        <f>IFERROR(VLOOKUP(E148,SETTINGS!A:B,2,0),"No Value")</f>
        <v>Haircuts, Skincare, Beauty Products, Grooming Kits, Salon</v>
      </c>
      <c r="G148" s="11"/>
      <c r="H148" s="11"/>
      <c r="I148" s="5"/>
    </row>
    <row r="149" ht="15.75" customHeight="1">
      <c r="A149" s="19">
        <v>45854.0</v>
      </c>
      <c r="B149" s="21" t="str">
        <f t="shared" si="1"/>
        <v>Jul 25</v>
      </c>
      <c r="C149" s="22" t="s">
        <v>188</v>
      </c>
      <c r="D149" s="23">
        <v>12.0</v>
      </c>
      <c r="E149" s="22" t="s">
        <v>35</v>
      </c>
      <c r="F149" s="25" t="str">
        <f>IFERROR(VLOOKUP(E149,SETTINGS!A:B,2,0),"No Value")</f>
        <v>Office tea/coffee, Small breaks, Bakery items, Juice, chips, biscuits</v>
      </c>
      <c r="G149" s="11"/>
      <c r="H149" s="11"/>
      <c r="I149" s="5"/>
    </row>
    <row r="150" ht="15.75" customHeight="1">
      <c r="A150" s="19">
        <v>45855.0</v>
      </c>
      <c r="B150" s="21" t="str">
        <f t="shared" si="1"/>
        <v>Jul 25</v>
      </c>
      <c r="C150" s="22" t="s">
        <v>51</v>
      </c>
      <c r="D150" s="23">
        <v>60.0</v>
      </c>
      <c r="E150" s="22" t="s">
        <v>52</v>
      </c>
      <c r="F150" s="25" t="str">
        <f>IFERROR(VLOOKUP(E150,SETTINGS!A:B,2,0),"No Value")</f>
        <v>Medicines, Doctor Consultation, Hospitalization, Surgery</v>
      </c>
      <c r="G150" s="11"/>
      <c r="H150" s="11"/>
      <c r="I150" s="5"/>
    </row>
    <row r="151" ht="15.75" customHeight="1">
      <c r="A151" s="19">
        <v>45856.0</v>
      </c>
      <c r="B151" s="21" t="str">
        <f t="shared" si="1"/>
        <v>Jul 25</v>
      </c>
      <c r="C151" s="22" t="s">
        <v>188</v>
      </c>
      <c r="D151" s="23">
        <v>30.0</v>
      </c>
      <c r="E151" s="22" t="s">
        <v>35</v>
      </c>
      <c r="F151" s="25" t="str">
        <f>IFERROR(VLOOKUP(E151,SETTINGS!A:B,2,0),"No Value")</f>
        <v>Office tea/coffee, Small breaks, Bakery items, Juice, chips, biscuits</v>
      </c>
      <c r="G151" s="11"/>
      <c r="H151" s="11"/>
      <c r="I151" s="5"/>
    </row>
    <row r="152" ht="15.75" customHeight="1">
      <c r="A152" s="19">
        <v>45857.0</v>
      </c>
      <c r="B152" s="21" t="str">
        <f t="shared" si="1"/>
        <v>Jul 25</v>
      </c>
      <c r="C152" s="22" t="s">
        <v>137</v>
      </c>
      <c r="D152" s="23">
        <v>240.0</v>
      </c>
      <c r="E152" s="22" t="s">
        <v>138</v>
      </c>
      <c r="F152" s="25" t="str">
        <f>IFERROR(VLOOKUP(E152,SETTINGS!A:B,2,0),"No Value")</f>
        <v>Metro, Bus, Auto-rickshaw, Train, Ola/Uber, Fuel for commute</v>
      </c>
      <c r="G152" s="11"/>
      <c r="H152" s="11"/>
      <c r="I152" s="5"/>
    </row>
    <row r="153" ht="15.75" customHeight="1">
      <c r="A153" s="19">
        <v>45857.0</v>
      </c>
      <c r="B153" s="21" t="str">
        <f t="shared" si="1"/>
        <v>Jul 25</v>
      </c>
      <c r="C153" s="22" t="s">
        <v>189</v>
      </c>
      <c r="D153" s="23">
        <v>40.0</v>
      </c>
      <c r="E153" s="22" t="s">
        <v>69</v>
      </c>
      <c r="F153" s="25" t="str">
        <f>IFERROR(VLOOKUP(E153,SETTINGS!A:B,2,0),"No Value")</f>
        <v>Car Servicing, AC Repair, Plumbing, Electrical Work</v>
      </c>
      <c r="G153" s="11"/>
      <c r="H153" s="11"/>
      <c r="I153" s="5"/>
    </row>
    <row r="154" ht="15.75" customHeight="1">
      <c r="A154" s="19">
        <v>45857.0</v>
      </c>
      <c r="B154" s="21" t="str">
        <f t="shared" si="1"/>
        <v>Jul 25</v>
      </c>
      <c r="C154" s="22" t="s">
        <v>190</v>
      </c>
      <c r="D154" s="23">
        <v>170.0</v>
      </c>
      <c r="E154" s="22" t="s">
        <v>27</v>
      </c>
      <c r="F154" s="25" t="str">
        <f>IFERROR(VLOOKUP(E154,SETTINGS!A:B,2,0),"No Value")</f>
        <v>Dining Out, Fast Food, Café, Home Delivery, Street Food</v>
      </c>
      <c r="G154" s="11"/>
      <c r="H154" s="11"/>
      <c r="I154" s="5"/>
    </row>
    <row r="155" ht="15.75" customHeight="1">
      <c r="A155" s="19">
        <v>45858.0</v>
      </c>
      <c r="B155" s="21" t="str">
        <f t="shared" si="1"/>
        <v>Jul 25</v>
      </c>
      <c r="C155" s="22" t="s">
        <v>188</v>
      </c>
      <c r="D155" s="23">
        <v>15.0</v>
      </c>
      <c r="E155" s="22" t="s">
        <v>35</v>
      </c>
      <c r="F155" s="25" t="str">
        <f>IFERROR(VLOOKUP(E155,SETTINGS!A:B,2,0),"No Value")</f>
        <v>Office tea/coffee, Small breaks, Bakery items, Juice, chips, biscuits</v>
      </c>
      <c r="G155" s="11"/>
      <c r="H155" s="11"/>
      <c r="I155" s="5"/>
    </row>
    <row r="156" ht="15.75" customHeight="1">
      <c r="A156" s="19">
        <v>45863.0</v>
      </c>
      <c r="B156" s="21" t="str">
        <f t="shared" si="1"/>
        <v>Jul 25</v>
      </c>
      <c r="C156" s="22" t="s">
        <v>188</v>
      </c>
      <c r="D156" s="23">
        <v>12.0</v>
      </c>
      <c r="E156" s="22" t="s">
        <v>35</v>
      </c>
      <c r="F156" s="25" t="str">
        <f>IFERROR(VLOOKUP(E156,SETTINGS!A:B,2,0),"No Value")</f>
        <v>Office tea/coffee, Small breaks, Bakery items, Juice, chips, biscuits</v>
      </c>
      <c r="G156" s="11"/>
      <c r="H156" s="11"/>
      <c r="I156" s="5"/>
    </row>
    <row r="157" ht="15.75" customHeight="1">
      <c r="A157" s="19">
        <v>45865.0</v>
      </c>
      <c r="B157" s="21" t="str">
        <f t="shared" si="1"/>
        <v>Jul 25</v>
      </c>
      <c r="C157" s="22" t="s">
        <v>141</v>
      </c>
      <c r="D157" s="23">
        <v>260.0</v>
      </c>
      <c r="E157" s="22" t="s">
        <v>27</v>
      </c>
      <c r="F157" s="25" t="str">
        <f>IFERROR(VLOOKUP(E157,SETTINGS!A:B,2,0),"No Value")</f>
        <v>Dining Out, Fast Food, Café, Home Delivery, Street Food</v>
      </c>
      <c r="G157" s="11"/>
      <c r="H157" s="11"/>
      <c r="I157" s="5"/>
    </row>
    <row r="158" ht="15.75" customHeight="1">
      <c r="A158" s="19">
        <v>45865.0</v>
      </c>
      <c r="B158" s="21" t="str">
        <f t="shared" si="1"/>
        <v>Jul 25</v>
      </c>
      <c r="C158" s="22" t="s">
        <v>193</v>
      </c>
      <c r="D158" s="23">
        <v>515.0</v>
      </c>
      <c r="E158" s="22" t="s">
        <v>27</v>
      </c>
      <c r="F158" s="25" t="str">
        <f>IFERROR(VLOOKUP(E158,SETTINGS!A:B,2,0),"No Value")</f>
        <v>Dining Out, Fast Food, Café, Home Delivery, Street Food</v>
      </c>
      <c r="G158" s="11"/>
      <c r="H158" s="11"/>
      <c r="I158" s="5"/>
    </row>
    <row r="159" ht="15.75" customHeight="1">
      <c r="A159" s="19">
        <v>45865.0</v>
      </c>
      <c r="B159" s="21" t="str">
        <f t="shared" si="1"/>
        <v>Jul 25</v>
      </c>
      <c r="C159" s="22" t="s">
        <v>195</v>
      </c>
      <c r="D159" s="23">
        <v>200.0</v>
      </c>
      <c r="E159" s="22" t="s">
        <v>38</v>
      </c>
      <c r="F159" s="25" t="str">
        <f>IFERROR(VLOOKUP(E159,SETTINGS!A:B,2,0),"No Value")</f>
        <v>Birthday Gifts, Anniversary Gifts, Festival Gifts, Wedding Gifts, Gifts for Friends</v>
      </c>
      <c r="G159" s="11"/>
      <c r="H159" s="11"/>
      <c r="I159" s="5"/>
    </row>
    <row r="160" ht="15.75" customHeight="1">
      <c r="A160" s="19"/>
      <c r="B160" s="21" t="str">
        <f t="shared" ref="B160:B568" si="2">IFERROR(IF(A591&lt;=0,"",TEXT(A591,"MMM YY")),"")</f>
        <v/>
      </c>
      <c r="C160" s="22"/>
      <c r="D160" s="92"/>
      <c r="E160" s="22"/>
      <c r="F160" s="25" t="str">
        <f>IFERROR(VLOOKUP(E591,SETTINGS!A:B,2,0),"No Value")</f>
        <v>No Value</v>
      </c>
      <c r="G160" s="5"/>
      <c r="H160" s="5"/>
      <c r="I160" s="5"/>
    </row>
    <row r="161" ht="15.75" customHeight="1">
      <c r="A161" s="19"/>
      <c r="B161" s="21" t="str">
        <f t="shared" si="2"/>
        <v/>
      </c>
      <c r="C161" s="22"/>
      <c r="D161" s="23"/>
      <c r="E161" s="22"/>
      <c r="F161" s="25" t="str">
        <f>IFERROR(VLOOKUP(E592,SETTINGS!A:B,2,0),"No Value")</f>
        <v>No Value</v>
      </c>
      <c r="G161" s="5"/>
      <c r="H161" s="5"/>
      <c r="I161" s="5"/>
    </row>
    <row r="162" ht="15.75" customHeight="1">
      <c r="A162" s="19"/>
      <c r="B162" s="21" t="str">
        <f t="shared" si="2"/>
        <v/>
      </c>
      <c r="C162" s="22"/>
      <c r="D162" s="23"/>
      <c r="E162" s="22"/>
      <c r="F162" s="25" t="str">
        <f>IFERROR(VLOOKUP(E593,SETTINGS!A:B,2,0),"No Value")</f>
        <v>No Value</v>
      </c>
      <c r="G162" s="5"/>
      <c r="H162" s="5"/>
      <c r="I162" s="5"/>
    </row>
    <row r="163" ht="15.75" customHeight="1">
      <c r="A163" s="19"/>
      <c r="B163" s="21" t="str">
        <f t="shared" si="2"/>
        <v/>
      </c>
      <c r="C163" s="22"/>
      <c r="D163" s="23"/>
      <c r="E163" s="22"/>
      <c r="F163" s="25" t="str">
        <f>IFERROR(VLOOKUP(E594,SETTINGS!A:B,2,0),"No Value")</f>
        <v>No Value</v>
      </c>
      <c r="G163" s="5"/>
      <c r="H163" s="5"/>
      <c r="I163" s="5"/>
    </row>
    <row r="164" ht="15.75" customHeight="1">
      <c r="A164" s="19"/>
      <c r="B164" s="21" t="str">
        <f t="shared" si="2"/>
        <v/>
      </c>
      <c r="C164" s="22"/>
      <c r="D164" s="23"/>
      <c r="E164" s="22"/>
      <c r="F164" s="25" t="str">
        <f>IFERROR(VLOOKUP(E595,SETTINGS!A:B,2,0),"No Value")</f>
        <v>No Value</v>
      </c>
      <c r="G164" s="5"/>
      <c r="H164" s="5"/>
      <c r="I164" s="5"/>
    </row>
    <row r="165" ht="15.75" customHeight="1">
      <c r="A165" s="19"/>
      <c r="B165" s="21" t="str">
        <f t="shared" si="2"/>
        <v/>
      </c>
      <c r="C165" s="22"/>
      <c r="D165" s="23"/>
      <c r="E165" s="22"/>
      <c r="F165" s="25" t="str">
        <f>IFERROR(VLOOKUP(E596,SETTINGS!A:B,2,0),"No Value")</f>
        <v>No Value</v>
      </c>
      <c r="G165" s="5"/>
      <c r="H165" s="5"/>
      <c r="I165" s="5"/>
    </row>
    <row r="166" ht="15.75" customHeight="1">
      <c r="A166" s="19"/>
      <c r="B166" s="21" t="str">
        <f t="shared" si="2"/>
        <v/>
      </c>
      <c r="C166" s="22"/>
      <c r="D166" s="23"/>
      <c r="E166" s="22"/>
      <c r="F166" s="25" t="str">
        <f>IFERROR(VLOOKUP(E597,SETTINGS!A:B,2,0),"No Value")</f>
        <v>No Value</v>
      </c>
      <c r="G166" s="5"/>
      <c r="H166" s="5"/>
      <c r="I166" s="5"/>
    </row>
    <row r="167" ht="15.75" customHeight="1">
      <c r="A167" s="19"/>
      <c r="B167" s="21" t="str">
        <f t="shared" si="2"/>
        <v/>
      </c>
      <c r="C167" s="22"/>
      <c r="D167" s="23"/>
      <c r="E167" s="22"/>
      <c r="F167" s="25" t="str">
        <f>IFERROR(VLOOKUP(E598,SETTINGS!A:B,2,0),"No Value")</f>
        <v>No Value</v>
      </c>
      <c r="G167" s="5"/>
      <c r="H167" s="5"/>
      <c r="I167" s="5"/>
    </row>
    <row r="168" ht="15.75" customHeight="1">
      <c r="A168" s="19"/>
      <c r="B168" s="21" t="str">
        <f t="shared" si="2"/>
        <v/>
      </c>
      <c r="C168" s="22"/>
      <c r="D168" s="23"/>
      <c r="E168" s="22"/>
      <c r="F168" s="25" t="str">
        <f>IFERROR(VLOOKUP(E599,SETTINGS!A:B,2,0),"No Value")</f>
        <v>No Value</v>
      </c>
      <c r="G168" s="5"/>
      <c r="H168" s="5"/>
      <c r="I168" s="5"/>
    </row>
    <row r="169" ht="15.75" customHeight="1">
      <c r="A169" s="19"/>
      <c r="B169" s="21" t="str">
        <f t="shared" si="2"/>
        <v/>
      </c>
      <c r="C169" s="22"/>
      <c r="D169" s="23"/>
      <c r="E169" s="22"/>
      <c r="F169" s="25" t="str">
        <f>IFERROR(VLOOKUP(E600,SETTINGS!A:B,2,0),"No Value")</f>
        <v>No Value</v>
      </c>
      <c r="G169" s="5"/>
      <c r="H169" s="5"/>
      <c r="I169" s="5"/>
    </row>
    <row r="170" ht="15.75" customHeight="1">
      <c r="A170" s="19"/>
      <c r="B170" s="21" t="str">
        <f t="shared" si="2"/>
        <v/>
      </c>
      <c r="C170" s="22"/>
      <c r="D170" s="23"/>
      <c r="E170" s="22"/>
      <c r="F170" s="25" t="str">
        <f>IFERROR(VLOOKUP(E601,SETTINGS!A:B,2,0),"No Value")</f>
        <v>No Value</v>
      </c>
      <c r="G170" s="5"/>
      <c r="H170" s="5"/>
      <c r="I170" s="5"/>
    </row>
    <row r="171" ht="15.75" customHeight="1">
      <c r="A171" s="19"/>
      <c r="B171" s="21" t="str">
        <f t="shared" si="2"/>
        <v/>
      </c>
      <c r="C171" s="22"/>
      <c r="D171" s="23"/>
      <c r="E171" s="22"/>
      <c r="F171" s="25" t="str">
        <f>IFERROR(VLOOKUP(E602,SETTINGS!A:B,2,0),"No Value")</f>
        <v>No Value</v>
      </c>
      <c r="G171" s="5"/>
      <c r="H171" s="5"/>
      <c r="I171" s="5"/>
    </row>
    <row r="172" ht="15.75" customHeight="1">
      <c r="A172" s="19"/>
      <c r="B172" s="21" t="str">
        <f t="shared" si="2"/>
        <v/>
      </c>
      <c r="C172" s="22"/>
      <c r="D172" s="23"/>
      <c r="E172" s="22"/>
      <c r="F172" s="25" t="str">
        <f>IFERROR(VLOOKUP(E603,SETTINGS!A:B,2,0),"No Value")</f>
        <v>No Value</v>
      </c>
      <c r="G172" s="5"/>
      <c r="H172" s="5"/>
      <c r="I172" s="5"/>
    </row>
    <row r="173" ht="15.75" customHeight="1">
      <c r="A173" s="19"/>
      <c r="B173" s="21" t="str">
        <f t="shared" si="2"/>
        <v/>
      </c>
      <c r="C173" s="22"/>
      <c r="D173" s="23"/>
      <c r="E173" s="22"/>
      <c r="F173" s="25" t="str">
        <f>IFERROR(VLOOKUP(E604,SETTINGS!A:B,2,0),"No Value")</f>
        <v>No Value</v>
      </c>
      <c r="G173" s="5"/>
      <c r="H173" s="5"/>
      <c r="I173" s="5"/>
    </row>
    <row r="174" ht="15.75" customHeight="1">
      <c r="A174" s="19"/>
      <c r="B174" s="21" t="str">
        <f t="shared" si="2"/>
        <v/>
      </c>
      <c r="C174" s="22"/>
      <c r="D174" s="23"/>
      <c r="E174" s="22"/>
      <c r="F174" s="25" t="str">
        <f>IFERROR(VLOOKUP(E605,SETTINGS!A:B,2,0),"No Value")</f>
        <v>No Value</v>
      </c>
      <c r="G174" s="5"/>
      <c r="H174" s="5"/>
      <c r="I174" s="5"/>
    </row>
    <row r="175" ht="15.75" customHeight="1">
      <c r="A175" s="19"/>
      <c r="B175" s="21" t="str">
        <f t="shared" si="2"/>
        <v/>
      </c>
      <c r="C175" s="22"/>
      <c r="D175" s="23"/>
      <c r="E175" s="22"/>
      <c r="F175" s="25" t="str">
        <f>IFERROR(VLOOKUP(E606,SETTINGS!A:B,2,0),"No Value")</f>
        <v>No Value</v>
      </c>
      <c r="G175" s="5"/>
      <c r="H175" s="5"/>
      <c r="I175" s="5"/>
    </row>
    <row r="176" ht="15.75" customHeight="1">
      <c r="A176" s="19"/>
      <c r="B176" s="21" t="str">
        <f t="shared" si="2"/>
        <v/>
      </c>
      <c r="C176" s="22"/>
      <c r="D176" s="23"/>
      <c r="E176" s="22"/>
      <c r="F176" s="25" t="str">
        <f>IFERROR(VLOOKUP(E607,SETTINGS!A:B,2,0),"No Value")</f>
        <v>No Value</v>
      </c>
      <c r="G176" s="5"/>
      <c r="H176" s="5"/>
      <c r="I176" s="5"/>
    </row>
    <row r="177" ht="15.75" customHeight="1">
      <c r="A177" s="19"/>
      <c r="B177" s="21" t="str">
        <f t="shared" si="2"/>
        <v/>
      </c>
      <c r="C177" s="22"/>
      <c r="D177" s="23"/>
      <c r="E177" s="22"/>
      <c r="F177" s="25" t="str">
        <f>IFERROR(VLOOKUP(E608,SETTINGS!A:B,2,0),"No Value")</f>
        <v>No Value</v>
      </c>
      <c r="G177" s="5"/>
      <c r="H177" s="5"/>
      <c r="I177" s="5"/>
    </row>
    <row r="178" ht="15.75" customHeight="1">
      <c r="A178" s="19"/>
      <c r="B178" s="21" t="str">
        <f t="shared" si="2"/>
        <v/>
      </c>
      <c r="C178" s="22"/>
      <c r="D178" s="23"/>
      <c r="E178" s="22"/>
      <c r="F178" s="25" t="str">
        <f>IFERROR(VLOOKUP(E609,SETTINGS!A:B,2,0),"No Value")</f>
        <v>No Value</v>
      </c>
      <c r="G178" s="5"/>
      <c r="H178" s="5"/>
      <c r="I178" s="5"/>
    </row>
    <row r="179" ht="15.75" customHeight="1">
      <c r="A179" s="19"/>
      <c r="B179" s="21" t="str">
        <f t="shared" si="2"/>
        <v/>
      </c>
      <c r="C179" s="22"/>
      <c r="D179" s="23"/>
      <c r="E179" s="22"/>
      <c r="F179" s="25" t="str">
        <f>IFERROR(VLOOKUP(E610,SETTINGS!A:B,2,0),"No Value")</f>
        <v>No Value</v>
      </c>
      <c r="G179" s="5"/>
      <c r="H179" s="5"/>
      <c r="I179" s="5"/>
    </row>
    <row r="180" ht="15.75" customHeight="1">
      <c r="A180" s="19"/>
      <c r="B180" s="21" t="str">
        <f t="shared" si="2"/>
        <v/>
      </c>
      <c r="C180" s="22"/>
      <c r="D180" s="23"/>
      <c r="E180" s="22"/>
      <c r="F180" s="25" t="str">
        <f>IFERROR(VLOOKUP(E611,SETTINGS!A:B,2,0),"No Value")</f>
        <v>No Value</v>
      </c>
      <c r="G180" s="5"/>
      <c r="H180" s="5"/>
      <c r="I180" s="5"/>
    </row>
    <row r="181" ht="15.75" customHeight="1">
      <c r="A181" s="19"/>
      <c r="B181" s="21" t="str">
        <f t="shared" si="2"/>
        <v/>
      </c>
      <c r="C181" s="22"/>
      <c r="D181" s="23"/>
      <c r="E181" s="22"/>
      <c r="F181" s="25" t="str">
        <f>IFERROR(VLOOKUP(E612,SETTINGS!A:B,2,0),"No Value")</f>
        <v>No Value</v>
      </c>
      <c r="G181" s="5"/>
      <c r="H181" s="5"/>
      <c r="I181" s="5"/>
    </row>
    <row r="182" ht="15.75" customHeight="1">
      <c r="A182" s="19"/>
      <c r="B182" s="21" t="str">
        <f t="shared" si="2"/>
        <v/>
      </c>
      <c r="C182" s="22"/>
      <c r="D182" s="23"/>
      <c r="E182" s="22"/>
      <c r="F182" s="25" t="str">
        <f>IFERROR(VLOOKUP(E613,SETTINGS!A:B,2,0),"No Value")</f>
        <v>No Value</v>
      </c>
      <c r="G182" s="5"/>
      <c r="H182" s="5"/>
      <c r="I182" s="5"/>
    </row>
    <row r="183" ht="15.75" customHeight="1">
      <c r="A183" s="19"/>
      <c r="B183" s="21" t="str">
        <f t="shared" si="2"/>
        <v/>
      </c>
      <c r="C183" s="22"/>
      <c r="D183" s="23"/>
      <c r="E183" s="22"/>
      <c r="F183" s="25" t="str">
        <f>IFERROR(VLOOKUP(E614,SETTINGS!A:B,2,0),"No Value")</f>
        <v>No Value</v>
      </c>
      <c r="G183" s="5"/>
      <c r="H183" s="5"/>
      <c r="I183" s="5"/>
    </row>
    <row r="184" ht="15.75" customHeight="1">
      <c r="A184" s="19"/>
      <c r="B184" s="21" t="str">
        <f t="shared" si="2"/>
        <v/>
      </c>
      <c r="C184" s="22"/>
      <c r="D184" s="23"/>
      <c r="E184" s="22"/>
      <c r="F184" s="25" t="str">
        <f>IFERROR(VLOOKUP(E615,SETTINGS!A:B,2,0),"No Value")</f>
        <v>No Value</v>
      </c>
      <c r="G184" s="5"/>
      <c r="H184" s="5"/>
      <c r="I184" s="5"/>
    </row>
    <row r="185" ht="15.75" customHeight="1">
      <c r="A185" s="19"/>
      <c r="B185" s="21" t="str">
        <f t="shared" si="2"/>
        <v/>
      </c>
      <c r="C185" s="22"/>
      <c r="D185" s="23"/>
      <c r="E185" s="22"/>
      <c r="F185" s="25" t="str">
        <f>IFERROR(VLOOKUP(E616,SETTINGS!A:B,2,0),"No Value")</f>
        <v>No Value</v>
      </c>
      <c r="G185" s="5"/>
      <c r="H185" s="5"/>
      <c r="I185" s="5"/>
    </row>
    <row r="186" ht="15.75" customHeight="1">
      <c r="A186" s="19"/>
      <c r="B186" s="21" t="str">
        <f t="shared" si="2"/>
        <v/>
      </c>
      <c r="C186" s="22"/>
      <c r="D186" s="23"/>
      <c r="E186" s="22"/>
      <c r="F186" s="25" t="str">
        <f>IFERROR(VLOOKUP(E617,SETTINGS!A:B,2,0),"No Value")</f>
        <v>No Value</v>
      </c>
      <c r="G186" s="5"/>
      <c r="H186" s="5"/>
      <c r="I186" s="5"/>
    </row>
    <row r="187" ht="15.75" customHeight="1">
      <c r="A187" s="19"/>
      <c r="B187" s="21" t="str">
        <f t="shared" si="2"/>
        <v/>
      </c>
      <c r="C187" s="22"/>
      <c r="D187" s="23"/>
      <c r="E187" s="22"/>
      <c r="F187" s="25" t="str">
        <f>IFERROR(VLOOKUP(E618,SETTINGS!A:B,2,0),"No Value")</f>
        <v>No Value</v>
      </c>
      <c r="G187" s="5"/>
      <c r="H187" s="5"/>
      <c r="I187" s="5"/>
    </row>
    <row r="188" ht="15.75" customHeight="1">
      <c r="A188" s="19"/>
      <c r="B188" s="21" t="str">
        <f t="shared" si="2"/>
        <v/>
      </c>
      <c r="C188" s="22"/>
      <c r="D188" s="23"/>
      <c r="E188" s="22"/>
      <c r="F188" s="25" t="str">
        <f>IFERROR(VLOOKUP(E619,SETTINGS!A:B,2,0),"No Value")</f>
        <v>No Value</v>
      </c>
      <c r="G188" s="5"/>
      <c r="H188" s="5"/>
      <c r="I188" s="5"/>
    </row>
    <row r="189" ht="15.75" customHeight="1">
      <c r="A189" s="19"/>
      <c r="B189" s="21" t="str">
        <f t="shared" si="2"/>
        <v/>
      </c>
      <c r="C189" s="22"/>
      <c r="D189" s="23"/>
      <c r="E189" s="22"/>
      <c r="F189" s="25" t="str">
        <f>IFERROR(VLOOKUP(E620,SETTINGS!A:B,2,0),"No Value")</f>
        <v>No Value</v>
      </c>
      <c r="G189" s="5"/>
      <c r="H189" s="5"/>
      <c r="I189" s="5"/>
    </row>
    <row r="190" ht="15.75" customHeight="1">
      <c r="A190" s="19"/>
      <c r="B190" s="21" t="str">
        <f t="shared" si="2"/>
        <v/>
      </c>
      <c r="C190" s="22"/>
      <c r="D190" s="23"/>
      <c r="E190" s="22"/>
      <c r="F190" s="25" t="str">
        <f>IFERROR(VLOOKUP(E621,SETTINGS!A:B,2,0),"No Value")</f>
        <v>No Value</v>
      </c>
      <c r="G190" s="5"/>
      <c r="H190" s="5"/>
      <c r="I190" s="5"/>
    </row>
    <row r="191" ht="15.75" customHeight="1">
      <c r="A191" s="19"/>
      <c r="B191" s="21" t="str">
        <f t="shared" si="2"/>
        <v/>
      </c>
      <c r="C191" s="22"/>
      <c r="D191" s="23"/>
      <c r="E191" s="22"/>
      <c r="F191" s="25" t="str">
        <f>IFERROR(VLOOKUP(E622,SETTINGS!A:B,2,0),"No Value")</f>
        <v>No Value</v>
      </c>
      <c r="G191" s="5"/>
      <c r="H191" s="5"/>
      <c r="I191" s="5"/>
    </row>
    <row r="192" ht="15.75" customHeight="1">
      <c r="A192" s="19"/>
      <c r="B192" s="21" t="str">
        <f t="shared" si="2"/>
        <v/>
      </c>
      <c r="C192" s="22"/>
      <c r="D192" s="23"/>
      <c r="E192" s="22"/>
      <c r="F192" s="25" t="str">
        <f>IFERROR(VLOOKUP(E623,SETTINGS!A:B,2,0),"No Value")</f>
        <v>No Value</v>
      </c>
      <c r="G192" s="5"/>
      <c r="H192" s="5"/>
      <c r="I192" s="5"/>
    </row>
    <row r="193" ht="15.75" customHeight="1">
      <c r="A193" s="19"/>
      <c r="B193" s="21" t="str">
        <f t="shared" si="2"/>
        <v/>
      </c>
      <c r="C193" s="22"/>
      <c r="D193" s="23"/>
      <c r="E193" s="22"/>
      <c r="F193" s="25" t="str">
        <f>IFERROR(VLOOKUP(E624,SETTINGS!A:B,2,0),"No Value")</f>
        <v>No Value</v>
      </c>
      <c r="G193" s="5"/>
      <c r="H193" s="5"/>
      <c r="I193" s="5"/>
    </row>
    <row r="194" ht="15.75" customHeight="1">
      <c r="A194" s="19"/>
      <c r="B194" s="21" t="str">
        <f t="shared" si="2"/>
        <v/>
      </c>
      <c r="C194" s="22"/>
      <c r="D194" s="23"/>
      <c r="E194" s="22"/>
      <c r="F194" s="25" t="str">
        <f>IFERROR(VLOOKUP(E625,SETTINGS!A:B,2,0),"No Value")</f>
        <v>No Value</v>
      </c>
      <c r="G194" s="5"/>
      <c r="H194" s="5"/>
      <c r="I194" s="5"/>
    </row>
    <row r="195" ht="15.75" customHeight="1">
      <c r="A195" s="19"/>
      <c r="B195" s="21" t="str">
        <f t="shared" si="2"/>
        <v/>
      </c>
      <c r="C195" s="22"/>
      <c r="D195" s="23"/>
      <c r="E195" s="22"/>
      <c r="F195" s="25" t="str">
        <f>IFERROR(VLOOKUP(E626,SETTINGS!A:B,2,0),"No Value")</f>
        <v>No Value</v>
      </c>
      <c r="G195" s="5"/>
      <c r="H195" s="5"/>
      <c r="I195" s="5"/>
    </row>
    <row r="196" ht="15.75" customHeight="1">
      <c r="A196" s="19"/>
      <c r="B196" s="21" t="str">
        <f t="shared" si="2"/>
        <v/>
      </c>
      <c r="C196" s="22"/>
      <c r="D196" s="23"/>
      <c r="E196" s="22"/>
      <c r="F196" s="25" t="str">
        <f>IFERROR(VLOOKUP(E627,SETTINGS!A:B,2,0),"No Value")</f>
        <v>No Value</v>
      </c>
      <c r="G196" s="5"/>
      <c r="H196" s="5"/>
      <c r="I196" s="5"/>
    </row>
    <row r="197" ht="15.75" customHeight="1">
      <c r="A197" s="19"/>
      <c r="B197" s="21" t="str">
        <f t="shared" si="2"/>
        <v/>
      </c>
      <c r="C197" s="22"/>
      <c r="D197" s="23"/>
      <c r="E197" s="22"/>
      <c r="F197" s="25" t="str">
        <f>IFERROR(VLOOKUP(E628,SETTINGS!A:B,2,0),"No Value")</f>
        <v>No Value</v>
      </c>
      <c r="G197" s="5"/>
      <c r="H197" s="5"/>
      <c r="I197" s="5"/>
    </row>
    <row r="198" ht="15.75" customHeight="1">
      <c r="A198" s="19"/>
      <c r="B198" s="21" t="str">
        <f t="shared" si="2"/>
        <v/>
      </c>
      <c r="C198" s="22"/>
      <c r="D198" s="23"/>
      <c r="E198" s="22"/>
      <c r="F198" s="25" t="str">
        <f>IFERROR(VLOOKUP(E629,SETTINGS!A:B,2,0),"No Value")</f>
        <v>No Value</v>
      </c>
      <c r="G198" s="5"/>
      <c r="H198" s="5"/>
      <c r="I198" s="5"/>
    </row>
    <row r="199" ht="15.75" customHeight="1">
      <c r="A199" s="19"/>
      <c r="B199" s="21" t="str">
        <f t="shared" si="2"/>
        <v/>
      </c>
      <c r="C199" s="22"/>
      <c r="D199" s="23"/>
      <c r="E199" s="22"/>
      <c r="F199" s="25" t="str">
        <f>IFERROR(VLOOKUP(E630,SETTINGS!A:B,2,0),"No Value")</f>
        <v>No Value</v>
      </c>
      <c r="G199" s="5"/>
      <c r="H199" s="5"/>
      <c r="I199" s="5"/>
    </row>
    <row r="200" ht="15.75" customHeight="1">
      <c r="A200" s="19"/>
      <c r="B200" s="21" t="str">
        <f t="shared" si="2"/>
        <v/>
      </c>
      <c r="C200" s="22"/>
      <c r="D200" s="23"/>
      <c r="E200" s="22"/>
      <c r="F200" s="25" t="str">
        <f>IFERROR(VLOOKUP(E631,SETTINGS!A:B,2,0),"No Value")</f>
        <v>No Value</v>
      </c>
      <c r="G200" s="5"/>
      <c r="H200" s="5"/>
      <c r="I200" s="5"/>
    </row>
    <row r="201" ht="15.75" customHeight="1">
      <c r="A201" s="19"/>
      <c r="B201" s="21" t="str">
        <f t="shared" si="2"/>
        <v/>
      </c>
      <c r="C201" s="22"/>
      <c r="D201" s="23"/>
      <c r="E201" s="22"/>
      <c r="F201" s="25" t="str">
        <f>IFERROR(VLOOKUP(E632,SETTINGS!A:B,2,0),"No Value")</f>
        <v>No Value</v>
      </c>
      <c r="G201" s="5"/>
      <c r="H201" s="5"/>
      <c r="I201" s="5"/>
    </row>
    <row r="202" ht="15.75" customHeight="1">
      <c r="A202" s="19"/>
      <c r="B202" s="21" t="str">
        <f t="shared" si="2"/>
        <v/>
      </c>
      <c r="C202" s="22"/>
      <c r="D202" s="23"/>
      <c r="E202" s="22"/>
      <c r="F202" s="25" t="str">
        <f>IFERROR(VLOOKUP(E633,SETTINGS!A:B,2,0),"No Value")</f>
        <v>No Value</v>
      </c>
      <c r="G202" s="5"/>
      <c r="H202" s="5"/>
      <c r="I202" s="5"/>
    </row>
    <row r="203" ht="15.75" customHeight="1">
      <c r="A203" s="19"/>
      <c r="B203" s="21" t="str">
        <f t="shared" si="2"/>
        <v/>
      </c>
      <c r="C203" s="22"/>
      <c r="D203" s="23"/>
      <c r="E203" s="22"/>
      <c r="F203" s="25" t="str">
        <f>IFERROR(VLOOKUP(E634,SETTINGS!A:B,2,0),"No Value")</f>
        <v>No Value</v>
      </c>
      <c r="G203" s="5"/>
      <c r="H203" s="5"/>
      <c r="I203" s="5"/>
    </row>
    <row r="204" ht="15.75" customHeight="1">
      <c r="A204" s="19"/>
      <c r="B204" s="21" t="str">
        <f t="shared" si="2"/>
        <v/>
      </c>
      <c r="C204" s="22"/>
      <c r="D204" s="23"/>
      <c r="E204" s="22"/>
      <c r="F204" s="25" t="str">
        <f>IFERROR(VLOOKUP(E635,SETTINGS!A:B,2,0),"No Value")</f>
        <v>No Value</v>
      </c>
      <c r="G204" s="5"/>
      <c r="H204" s="5"/>
      <c r="I204" s="5"/>
    </row>
    <row r="205" ht="15.75" customHeight="1">
      <c r="A205" s="19"/>
      <c r="B205" s="21" t="str">
        <f t="shared" si="2"/>
        <v/>
      </c>
      <c r="C205" s="22"/>
      <c r="D205" s="23"/>
      <c r="E205" s="22"/>
      <c r="F205" s="25" t="str">
        <f>IFERROR(VLOOKUP(E636,SETTINGS!A:B,2,0),"No Value")</f>
        <v>No Value</v>
      </c>
      <c r="G205" s="5"/>
      <c r="H205" s="5"/>
      <c r="I205" s="5"/>
    </row>
    <row r="206" ht="15.75" customHeight="1">
      <c r="A206" s="19"/>
      <c r="B206" s="21" t="str">
        <f t="shared" si="2"/>
        <v/>
      </c>
      <c r="C206" s="22"/>
      <c r="D206" s="23"/>
      <c r="E206" s="22"/>
      <c r="F206" s="25" t="str">
        <f>IFERROR(VLOOKUP(E637,SETTINGS!A:B,2,0),"No Value")</f>
        <v>No Value</v>
      </c>
      <c r="G206" s="5"/>
      <c r="H206" s="5"/>
      <c r="I206" s="5"/>
    </row>
    <row r="207" ht="15.75" customHeight="1">
      <c r="A207" s="19"/>
      <c r="B207" s="21" t="str">
        <f t="shared" si="2"/>
        <v/>
      </c>
      <c r="C207" s="22"/>
      <c r="D207" s="23"/>
      <c r="E207" s="22"/>
      <c r="F207" s="25" t="str">
        <f>IFERROR(VLOOKUP(E638,SETTINGS!A:B,2,0),"No Value")</f>
        <v>No Value</v>
      </c>
      <c r="G207" s="5"/>
      <c r="H207" s="5"/>
      <c r="I207" s="5"/>
    </row>
    <row r="208" ht="15.75" customHeight="1">
      <c r="A208" s="19"/>
      <c r="B208" s="21" t="str">
        <f t="shared" si="2"/>
        <v/>
      </c>
      <c r="C208" s="22"/>
      <c r="D208" s="23"/>
      <c r="E208" s="22"/>
      <c r="F208" s="25" t="str">
        <f>IFERROR(VLOOKUP(E639,SETTINGS!A:B,2,0),"No Value")</f>
        <v>No Value</v>
      </c>
      <c r="G208" s="5"/>
      <c r="H208" s="5"/>
      <c r="I208" s="5"/>
    </row>
    <row r="209" ht="15.75" customHeight="1">
      <c r="A209" s="19"/>
      <c r="B209" s="21" t="str">
        <f t="shared" si="2"/>
        <v/>
      </c>
      <c r="C209" s="22"/>
      <c r="D209" s="23"/>
      <c r="E209" s="22"/>
      <c r="F209" s="25" t="str">
        <f>IFERROR(VLOOKUP(E640,SETTINGS!A:B,2,0),"No Value")</f>
        <v>No Value</v>
      </c>
      <c r="G209" s="5"/>
      <c r="H209" s="5"/>
      <c r="I209" s="5"/>
    </row>
    <row r="210" ht="15.75" customHeight="1">
      <c r="A210" s="19"/>
      <c r="B210" s="21" t="str">
        <f t="shared" si="2"/>
        <v/>
      </c>
      <c r="C210" s="22"/>
      <c r="D210" s="23"/>
      <c r="E210" s="22"/>
      <c r="F210" s="25" t="str">
        <f>IFERROR(VLOOKUP(E641,SETTINGS!A:B,2,0),"No Value")</f>
        <v>No Value</v>
      </c>
      <c r="G210" s="5"/>
      <c r="H210" s="5"/>
      <c r="I210" s="5"/>
    </row>
    <row r="211" ht="15.75" customHeight="1">
      <c r="A211" s="19"/>
      <c r="B211" s="21" t="str">
        <f t="shared" si="2"/>
        <v/>
      </c>
      <c r="C211" s="22"/>
      <c r="D211" s="23"/>
      <c r="E211" s="22"/>
      <c r="F211" s="25" t="str">
        <f>IFERROR(VLOOKUP(E642,SETTINGS!A:B,2,0),"No Value")</f>
        <v>No Value</v>
      </c>
      <c r="G211" s="5"/>
      <c r="H211" s="5"/>
      <c r="I211" s="5"/>
    </row>
    <row r="212" ht="15.75" customHeight="1">
      <c r="A212" s="19"/>
      <c r="B212" s="21" t="str">
        <f t="shared" si="2"/>
        <v/>
      </c>
      <c r="C212" s="22"/>
      <c r="D212" s="23"/>
      <c r="E212" s="22"/>
      <c r="F212" s="25" t="str">
        <f>IFERROR(VLOOKUP(E643,SETTINGS!A:B,2,0),"No Value")</f>
        <v>No Value</v>
      </c>
      <c r="G212" s="5"/>
      <c r="H212" s="5"/>
      <c r="I212" s="5"/>
    </row>
    <row r="213" ht="15.75" customHeight="1">
      <c r="A213" s="19"/>
      <c r="B213" s="21" t="str">
        <f t="shared" si="2"/>
        <v/>
      </c>
      <c r="C213" s="22"/>
      <c r="D213" s="23"/>
      <c r="E213" s="22"/>
      <c r="F213" s="25" t="str">
        <f>IFERROR(VLOOKUP(E644,SETTINGS!A:B,2,0),"No Value")</f>
        <v>No Value</v>
      </c>
      <c r="G213" s="5"/>
      <c r="H213" s="5"/>
      <c r="I213" s="5"/>
    </row>
    <row r="214" ht="15.75" customHeight="1">
      <c r="A214" s="19"/>
      <c r="B214" s="21" t="str">
        <f t="shared" si="2"/>
        <v/>
      </c>
      <c r="C214" s="22"/>
      <c r="D214" s="23"/>
      <c r="E214" s="22"/>
      <c r="F214" s="25" t="str">
        <f>IFERROR(VLOOKUP(E645,SETTINGS!A:B,2,0),"No Value")</f>
        <v>No Value</v>
      </c>
      <c r="G214" s="5"/>
      <c r="H214" s="5"/>
      <c r="I214" s="5"/>
    </row>
    <row r="215" ht="15.75" customHeight="1">
      <c r="A215" s="19"/>
      <c r="B215" s="21" t="str">
        <f t="shared" si="2"/>
        <v/>
      </c>
      <c r="C215" s="22"/>
      <c r="D215" s="23"/>
      <c r="E215" s="22"/>
      <c r="F215" s="25" t="str">
        <f>IFERROR(VLOOKUP(E646,SETTINGS!A:B,2,0),"No Value")</f>
        <v>No Value</v>
      </c>
      <c r="G215" s="5"/>
      <c r="H215" s="5"/>
      <c r="I215" s="5"/>
    </row>
    <row r="216" ht="15.75" customHeight="1">
      <c r="A216" s="19"/>
      <c r="B216" s="21" t="str">
        <f t="shared" si="2"/>
        <v/>
      </c>
      <c r="C216" s="22"/>
      <c r="D216" s="23"/>
      <c r="E216" s="22"/>
      <c r="F216" s="25" t="str">
        <f>IFERROR(VLOOKUP(E647,SETTINGS!A:B,2,0),"No Value")</f>
        <v>No Value</v>
      </c>
      <c r="G216" s="5"/>
      <c r="H216" s="5"/>
      <c r="I216" s="5"/>
    </row>
    <row r="217" ht="15.75" customHeight="1">
      <c r="A217" s="19"/>
      <c r="B217" s="21" t="str">
        <f t="shared" si="2"/>
        <v/>
      </c>
      <c r="C217" s="22"/>
      <c r="D217" s="23"/>
      <c r="E217" s="22"/>
      <c r="F217" s="25" t="str">
        <f>IFERROR(VLOOKUP(E648,SETTINGS!A:B,2,0),"No Value")</f>
        <v>No Value</v>
      </c>
      <c r="G217" s="5"/>
      <c r="H217" s="5"/>
      <c r="I217" s="5"/>
    </row>
    <row r="218" ht="15.75" customHeight="1">
      <c r="A218" s="19"/>
      <c r="B218" s="21" t="str">
        <f t="shared" si="2"/>
        <v/>
      </c>
      <c r="C218" s="22"/>
      <c r="D218" s="23"/>
      <c r="E218" s="22"/>
      <c r="F218" s="25" t="str">
        <f>IFERROR(VLOOKUP(E649,SETTINGS!A:B,2,0),"No Value")</f>
        <v>No Value</v>
      </c>
      <c r="G218" s="5"/>
      <c r="H218" s="5"/>
      <c r="I218" s="5"/>
    </row>
    <row r="219" ht="15.75" customHeight="1">
      <c r="A219" s="19"/>
      <c r="B219" s="21" t="str">
        <f t="shared" si="2"/>
        <v/>
      </c>
      <c r="C219" s="22"/>
      <c r="D219" s="23"/>
      <c r="E219" s="22"/>
      <c r="F219" s="25" t="str">
        <f>IFERROR(VLOOKUP(E650,SETTINGS!A:B,2,0),"No Value")</f>
        <v>No Value</v>
      </c>
      <c r="G219" s="5"/>
      <c r="H219" s="5"/>
      <c r="I219" s="5"/>
    </row>
    <row r="220" ht="15.75" customHeight="1">
      <c r="A220" s="19"/>
      <c r="B220" s="21" t="str">
        <f t="shared" si="2"/>
        <v/>
      </c>
      <c r="C220" s="22"/>
      <c r="D220" s="23"/>
      <c r="E220" s="22"/>
      <c r="F220" s="25" t="str">
        <f>IFERROR(VLOOKUP(E651,SETTINGS!A:B,2,0),"No Value")</f>
        <v>No Value</v>
      </c>
      <c r="G220" s="5"/>
      <c r="H220" s="5"/>
      <c r="I220" s="5"/>
    </row>
    <row r="221" ht="15.75" customHeight="1">
      <c r="A221" s="19"/>
      <c r="B221" s="21" t="str">
        <f t="shared" si="2"/>
        <v/>
      </c>
      <c r="C221" s="22"/>
      <c r="D221" s="23"/>
      <c r="E221" s="22"/>
      <c r="F221" s="25" t="str">
        <f>IFERROR(VLOOKUP(E652,SETTINGS!A:B,2,0),"No Value")</f>
        <v>No Value</v>
      </c>
      <c r="G221" s="5"/>
      <c r="H221" s="5"/>
      <c r="I221" s="5"/>
    </row>
    <row r="222" ht="15.75" customHeight="1">
      <c r="A222" s="19"/>
      <c r="B222" s="21" t="str">
        <f t="shared" si="2"/>
        <v/>
      </c>
      <c r="C222" s="22"/>
      <c r="D222" s="23"/>
      <c r="E222" s="22"/>
      <c r="F222" s="25" t="str">
        <f>IFERROR(VLOOKUP(E653,SETTINGS!A:B,2,0),"No Value")</f>
        <v>No Value</v>
      </c>
      <c r="G222" s="5"/>
      <c r="H222" s="5"/>
      <c r="I222" s="5"/>
    </row>
    <row r="223" ht="15.75" customHeight="1">
      <c r="A223" s="19"/>
      <c r="B223" s="21" t="str">
        <f t="shared" si="2"/>
        <v/>
      </c>
      <c r="C223" s="22"/>
      <c r="D223" s="23"/>
      <c r="E223" s="22"/>
      <c r="F223" s="25" t="str">
        <f>IFERROR(VLOOKUP(E654,SETTINGS!A:B,2,0),"No Value")</f>
        <v>No Value</v>
      </c>
      <c r="G223" s="5"/>
      <c r="H223" s="5"/>
      <c r="I223" s="5"/>
    </row>
    <row r="224" ht="15.75" customHeight="1">
      <c r="A224" s="19"/>
      <c r="B224" s="21" t="str">
        <f t="shared" si="2"/>
        <v/>
      </c>
      <c r="C224" s="22"/>
      <c r="D224" s="23"/>
      <c r="E224" s="22"/>
      <c r="F224" s="25" t="str">
        <f>IFERROR(VLOOKUP(E655,SETTINGS!A:B,2,0),"No Value")</f>
        <v>No Value</v>
      </c>
      <c r="G224" s="5"/>
      <c r="H224" s="5"/>
      <c r="I224" s="5"/>
    </row>
    <row r="225" ht="15.75" customHeight="1">
      <c r="A225" s="19"/>
      <c r="B225" s="21" t="str">
        <f t="shared" si="2"/>
        <v/>
      </c>
      <c r="C225" s="22"/>
      <c r="D225" s="23"/>
      <c r="E225" s="22"/>
      <c r="F225" s="25" t="str">
        <f>IFERROR(VLOOKUP(E656,SETTINGS!A:B,2,0),"No Value")</f>
        <v>No Value</v>
      </c>
      <c r="G225" s="5"/>
      <c r="H225" s="5"/>
      <c r="I225" s="5"/>
    </row>
    <row r="226" ht="15.75" customHeight="1">
      <c r="A226" s="19"/>
      <c r="B226" s="21" t="str">
        <f t="shared" si="2"/>
        <v/>
      </c>
      <c r="C226" s="22"/>
      <c r="D226" s="23"/>
      <c r="E226" s="22"/>
      <c r="F226" s="25" t="str">
        <f>IFERROR(VLOOKUP(E657,SETTINGS!A:B,2,0),"No Value")</f>
        <v>No Value</v>
      </c>
      <c r="G226" s="5"/>
      <c r="H226" s="5"/>
      <c r="I226" s="5"/>
    </row>
    <row r="227" ht="15.75" customHeight="1">
      <c r="A227" s="19"/>
      <c r="B227" s="21" t="str">
        <f t="shared" si="2"/>
        <v/>
      </c>
      <c r="C227" s="22"/>
      <c r="D227" s="23"/>
      <c r="E227" s="22"/>
      <c r="F227" s="25" t="str">
        <f>IFERROR(VLOOKUP(E658,SETTINGS!A:B,2,0),"No Value")</f>
        <v>No Value</v>
      </c>
      <c r="G227" s="5"/>
      <c r="H227" s="5"/>
      <c r="I227" s="5"/>
    </row>
    <row r="228" ht="15.75" customHeight="1">
      <c r="A228" s="19"/>
      <c r="B228" s="21" t="str">
        <f t="shared" si="2"/>
        <v/>
      </c>
      <c r="C228" s="22"/>
      <c r="D228" s="23"/>
      <c r="E228" s="22"/>
      <c r="F228" s="25" t="str">
        <f>IFERROR(VLOOKUP(E659,SETTINGS!A:B,2,0),"No Value")</f>
        <v>No Value</v>
      </c>
      <c r="G228" s="5"/>
      <c r="H228" s="5"/>
      <c r="I228" s="5"/>
    </row>
    <row r="229" ht="15.75" customHeight="1">
      <c r="A229" s="19"/>
      <c r="B229" s="21" t="str">
        <f t="shared" si="2"/>
        <v/>
      </c>
      <c r="C229" s="22"/>
      <c r="D229" s="23"/>
      <c r="E229" s="22"/>
      <c r="F229" s="25" t="str">
        <f>IFERROR(VLOOKUP(E660,SETTINGS!A:B,2,0),"No Value")</f>
        <v>No Value</v>
      </c>
      <c r="G229" s="5"/>
      <c r="H229" s="5"/>
      <c r="I229" s="5"/>
    </row>
    <row r="230" ht="15.75" customHeight="1">
      <c r="A230" s="19"/>
      <c r="B230" s="21" t="str">
        <f t="shared" si="2"/>
        <v/>
      </c>
      <c r="C230" s="22"/>
      <c r="D230" s="23"/>
      <c r="E230" s="22"/>
      <c r="F230" s="25" t="str">
        <f>IFERROR(VLOOKUP(E661,SETTINGS!A:B,2,0),"No Value")</f>
        <v>No Value</v>
      </c>
      <c r="G230" s="5"/>
      <c r="H230" s="5"/>
      <c r="I230" s="5"/>
    </row>
    <row r="231" ht="15.75" customHeight="1">
      <c r="A231" s="19"/>
      <c r="B231" s="21" t="str">
        <f t="shared" si="2"/>
        <v/>
      </c>
      <c r="C231" s="22"/>
      <c r="D231" s="23"/>
      <c r="E231" s="22"/>
      <c r="F231" s="25" t="str">
        <f>IFERROR(VLOOKUP(E662,SETTINGS!A:B,2,0),"No Value")</f>
        <v>No Value</v>
      </c>
      <c r="G231" s="5"/>
      <c r="H231" s="5"/>
      <c r="I231" s="5"/>
    </row>
    <row r="232" ht="15.75" customHeight="1">
      <c r="A232" s="19"/>
      <c r="B232" s="21" t="str">
        <f t="shared" si="2"/>
        <v/>
      </c>
      <c r="C232" s="22"/>
      <c r="D232" s="23"/>
      <c r="E232" s="22"/>
      <c r="F232" s="25" t="str">
        <f>IFERROR(VLOOKUP(E663,SETTINGS!A:B,2,0),"No Value")</f>
        <v>No Value</v>
      </c>
      <c r="G232" s="5"/>
      <c r="H232" s="5"/>
      <c r="I232" s="5"/>
    </row>
    <row r="233" ht="15.75" customHeight="1">
      <c r="A233" s="19"/>
      <c r="B233" s="21" t="str">
        <f t="shared" si="2"/>
        <v/>
      </c>
      <c r="C233" s="22"/>
      <c r="D233" s="23"/>
      <c r="E233" s="22"/>
      <c r="F233" s="25" t="str">
        <f>IFERROR(VLOOKUP(E664,SETTINGS!A:B,2,0),"No Value")</f>
        <v>No Value</v>
      </c>
      <c r="G233" s="5"/>
      <c r="H233" s="5"/>
      <c r="I233" s="5"/>
    </row>
    <row r="234" ht="15.75" customHeight="1">
      <c r="A234" s="19"/>
      <c r="B234" s="21" t="str">
        <f t="shared" si="2"/>
        <v/>
      </c>
      <c r="C234" s="22"/>
      <c r="D234" s="23"/>
      <c r="E234" s="22"/>
      <c r="F234" s="25" t="str">
        <f>IFERROR(VLOOKUP(E665,SETTINGS!A:B,2,0),"No Value")</f>
        <v>No Value</v>
      </c>
      <c r="G234" s="5"/>
      <c r="H234" s="5"/>
      <c r="I234" s="5"/>
    </row>
    <row r="235" ht="15.75" customHeight="1">
      <c r="A235" s="19"/>
      <c r="B235" s="21" t="str">
        <f t="shared" si="2"/>
        <v/>
      </c>
      <c r="C235" s="22"/>
      <c r="D235" s="23"/>
      <c r="E235" s="22"/>
      <c r="F235" s="25" t="str">
        <f>IFERROR(VLOOKUP(E666,SETTINGS!A:B,2,0),"No Value")</f>
        <v>No Value</v>
      </c>
      <c r="G235" s="5"/>
      <c r="H235" s="5"/>
      <c r="I235" s="5"/>
    </row>
    <row r="236" ht="15.75" customHeight="1">
      <c r="A236" s="19"/>
      <c r="B236" s="21" t="str">
        <f t="shared" si="2"/>
        <v/>
      </c>
      <c r="C236" s="22"/>
      <c r="D236" s="23"/>
      <c r="E236" s="22"/>
      <c r="F236" s="25" t="str">
        <f>IFERROR(VLOOKUP(E667,SETTINGS!A:B,2,0),"No Value")</f>
        <v>No Value</v>
      </c>
      <c r="G236" s="5"/>
      <c r="H236" s="5"/>
      <c r="I236" s="5"/>
    </row>
    <row r="237" ht="15.75" customHeight="1">
      <c r="A237" s="19"/>
      <c r="B237" s="21" t="str">
        <f t="shared" si="2"/>
        <v/>
      </c>
      <c r="C237" s="22"/>
      <c r="D237" s="23"/>
      <c r="E237" s="22"/>
      <c r="F237" s="25" t="str">
        <f>IFERROR(VLOOKUP(E668,SETTINGS!A:B,2,0),"No Value")</f>
        <v>No Value</v>
      </c>
      <c r="G237" s="5"/>
      <c r="H237" s="5"/>
      <c r="I237" s="5"/>
    </row>
    <row r="238" ht="15.75" customHeight="1">
      <c r="A238" s="19"/>
      <c r="B238" s="21" t="str">
        <f t="shared" si="2"/>
        <v/>
      </c>
      <c r="C238" s="22"/>
      <c r="D238" s="23"/>
      <c r="E238" s="22"/>
      <c r="F238" s="25" t="str">
        <f>IFERROR(VLOOKUP(E669,SETTINGS!A:B,2,0),"No Value")</f>
        <v>No Value</v>
      </c>
      <c r="G238" s="5"/>
      <c r="H238" s="5"/>
      <c r="I238" s="5"/>
    </row>
    <row r="239" ht="15.75" customHeight="1">
      <c r="A239" s="19"/>
      <c r="B239" s="21" t="str">
        <f t="shared" si="2"/>
        <v/>
      </c>
      <c r="C239" s="22"/>
      <c r="D239" s="23"/>
      <c r="E239" s="22"/>
      <c r="F239" s="25" t="str">
        <f>IFERROR(VLOOKUP(E670,SETTINGS!A:B,2,0),"No Value")</f>
        <v>No Value</v>
      </c>
      <c r="G239" s="5"/>
      <c r="H239" s="5"/>
      <c r="I239" s="5"/>
    </row>
    <row r="240" ht="15.75" customHeight="1">
      <c r="A240" s="19"/>
      <c r="B240" s="21" t="str">
        <f t="shared" si="2"/>
        <v/>
      </c>
      <c r="C240" s="22"/>
      <c r="D240" s="23"/>
      <c r="E240" s="22"/>
      <c r="F240" s="25" t="str">
        <f>IFERROR(VLOOKUP(E671,SETTINGS!A:B,2,0),"No Value")</f>
        <v>No Value</v>
      </c>
      <c r="G240" s="5"/>
      <c r="H240" s="5"/>
      <c r="I240" s="5"/>
    </row>
    <row r="241" ht="15.75" customHeight="1">
      <c r="A241" s="19"/>
      <c r="B241" s="21" t="str">
        <f t="shared" si="2"/>
        <v/>
      </c>
      <c r="C241" s="22"/>
      <c r="D241" s="23"/>
      <c r="E241" s="22"/>
      <c r="F241" s="25" t="str">
        <f>IFERROR(VLOOKUP(E672,SETTINGS!A:B,2,0),"No Value")</f>
        <v>No Value</v>
      </c>
      <c r="G241" s="5"/>
      <c r="H241" s="5"/>
      <c r="I241" s="5"/>
    </row>
    <row r="242" ht="15.75" customHeight="1">
      <c r="A242" s="19"/>
      <c r="B242" s="21" t="str">
        <f t="shared" si="2"/>
        <v/>
      </c>
      <c r="C242" s="22"/>
      <c r="D242" s="23"/>
      <c r="E242" s="22"/>
      <c r="F242" s="25" t="str">
        <f>IFERROR(VLOOKUP(E673,SETTINGS!A:B,2,0),"No Value")</f>
        <v>No Value</v>
      </c>
      <c r="G242" s="5"/>
      <c r="H242" s="5"/>
      <c r="I242" s="5"/>
    </row>
    <row r="243" ht="15.75" customHeight="1">
      <c r="A243" s="19"/>
      <c r="B243" s="21" t="str">
        <f t="shared" si="2"/>
        <v/>
      </c>
      <c r="C243" s="22"/>
      <c r="D243" s="23"/>
      <c r="E243" s="22"/>
      <c r="F243" s="25" t="str">
        <f>IFERROR(VLOOKUP(E674,SETTINGS!A:B,2,0),"No Value")</f>
        <v>No Value</v>
      </c>
      <c r="G243" s="5"/>
      <c r="H243" s="5"/>
      <c r="I243" s="5"/>
    </row>
    <row r="244" ht="15.75" customHeight="1">
      <c r="A244" s="19"/>
      <c r="B244" s="21" t="str">
        <f t="shared" si="2"/>
        <v/>
      </c>
      <c r="C244" s="22"/>
      <c r="D244" s="23"/>
      <c r="E244" s="22"/>
      <c r="F244" s="25" t="str">
        <f>IFERROR(VLOOKUP(E675,SETTINGS!A:B,2,0),"No Value")</f>
        <v>No Value</v>
      </c>
      <c r="G244" s="5"/>
      <c r="H244" s="5"/>
      <c r="I244" s="5"/>
    </row>
    <row r="245" ht="15.75" customHeight="1">
      <c r="A245" s="19"/>
      <c r="B245" s="21" t="str">
        <f t="shared" si="2"/>
        <v/>
      </c>
      <c r="C245" s="22"/>
      <c r="D245" s="23"/>
      <c r="E245" s="22"/>
      <c r="F245" s="25" t="str">
        <f>IFERROR(VLOOKUP(E676,SETTINGS!A:B,2,0),"No Value")</f>
        <v>No Value</v>
      </c>
      <c r="G245" s="5"/>
      <c r="H245" s="5"/>
      <c r="I245" s="5"/>
    </row>
    <row r="246" ht="15.75" customHeight="1">
      <c r="A246" s="19"/>
      <c r="B246" s="21" t="str">
        <f t="shared" si="2"/>
        <v/>
      </c>
      <c r="C246" s="22"/>
      <c r="D246" s="23"/>
      <c r="E246" s="22"/>
      <c r="F246" s="25" t="str">
        <f>IFERROR(VLOOKUP(E677,SETTINGS!A:B,2,0),"No Value")</f>
        <v>No Value</v>
      </c>
      <c r="G246" s="5"/>
      <c r="H246" s="5"/>
      <c r="I246" s="5"/>
    </row>
    <row r="247" ht="15.75" customHeight="1">
      <c r="A247" s="19"/>
      <c r="B247" s="21" t="str">
        <f t="shared" si="2"/>
        <v/>
      </c>
      <c r="C247" s="22"/>
      <c r="D247" s="23"/>
      <c r="E247" s="22"/>
      <c r="F247" s="25" t="str">
        <f>IFERROR(VLOOKUP(E678,SETTINGS!A:B,2,0),"No Value")</f>
        <v>No Value</v>
      </c>
      <c r="G247" s="5"/>
      <c r="H247" s="5"/>
      <c r="I247" s="5"/>
    </row>
    <row r="248" ht="15.75" customHeight="1">
      <c r="A248" s="19"/>
      <c r="B248" s="21" t="str">
        <f t="shared" si="2"/>
        <v/>
      </c>
      <c r="C248" s="22"/>
      <c r="D248" s="23"/>
      <c r="E248" s="22"/>
      <c r="F248" s="25" t="str">
        <f>IFERROR(VLOOKUP(E679,SETTINGS!A:B,2,0),"No Value")</f>
        <v>No Value</v>
      </c>
      <c r="G248" s="5"/>
      <c r="H248" s="5"/>
      <c r="I248" s="5"/>
    </row>
    <row r="249" ht="15.75" customHeight="1">
      <c r="A249" s="19"/>
      <c r="B249" s="21" t="str">
        <f t="shared" si="2"/>
        <v/>
      </c>
      <c r="C249" s="22"/>
      <c r="D249" s="23"/>
      <c r="E249" s="22"/>
      <c r="F249" s="25" t="str">
        <f>IFERROR(VLOOKUP(E680,SETTINGS!A:B,2,0),"No Value")</f>
        <v>No Value</v>
      </c>
      <c r="G249" s="5"/>
      <c r="H249" s="5"/>
      <c r="I249" s="5"/>
    </row>
    <row r="250" ht="15.75" customHeight="1">
      <c r="A250" s="19"/>
      <c r="B250" s="21" t="str">
        <f t="shared" si="2"/>
        <v/>
      </c>
      <c r="C250" s="22"/>
      <c r="D250" s="23"/>
      <c r="E250" s="22"/>
      <c r="F250" s="25" t="str">
        <f>IFERROR(VLOOKUP(E681,SETTINGS!A:B,2,0),"No Value")</f>
        <v>No Value</v>
      </c>
      <c r="G250" s="5"/>
      <c r="H250" s="5"/>
      <c r="I250" s="5"/>
    </row>
    <row r="251" ht="15.75" customHeight="1">
      <c r="A251" s="19"/>
      <c r="B251" s="21" t="str">
        <f t="shared" si="2"/>
        <v/>
      </c>
      <c r="C251" s="22"/>
      <c r="D251" s="23"/>
      <c r="E251" s="22"/>
      <c r="F251" s="25" t="str">
        <f>IFERROR(VLOOKUP(E682,SETTINGS!A:B,2,0),"No Value")</f>
        <v>No Value</v>
      </c>
      <c r="G251" s="5"/>
      <c r="H251" s="5"/>
      <c r="I251" s="5"/>
    </row>
    <row r="252" ht="15.75" customHeight="1">
      <c r="A252" s="19"/>
      <c r="B252" s="21" t="str">
        <f t="shared" si="2"/>
        <v/>
      </c>
      <c r="C252" s="22"/>
      <c r="D252" s="23"/>
      <c r="E252" s="22"/>
      <c r="F252" s="25" t="str">
        <f>IFERROR(VLOOKUP(E683,SETTINGS!A:B,2,0),"No Value")</f>
        <v>No Value</v>
      </c>
      <c r="G252" s="5"/>
      <c r="H252" s="5"/>
      <c r="I252" s="5"/>
    </row>
    <row r="253" ht="15.75" customHeight="1">
      <c r="A253" s="19"/>
      <c r="B253" s="21" t="str">
        <f t="shared" si="2"/>
        <v/>
      </c>
      <c r="C253" s="22"/>
      <c r="D253" s="23"/>
      <c r="E253" s="22"/>
      <c r="F253" s="25" t="str">
        <f>IFERROR(VLOOKUP(E684,SETTINGS!A:B,2,0),"No Value")</f>
        <v>No Value</v>
      </c>
      <c r="G253" s="5"/>
      <c r="H253" s="5"/>
      <c r="I253" s="5"/>
    </row>
    <row r="254" ht="15.75" customHeight="1">
      <c r="A254" s="19"/>
      <c r="B254" s="21" t="str">
        <f t="shared" si="2"/>
        <v/>
      </c>
      <c r="C254" s="22"/>
      <c r="D254" s="23"/>
      <c r="E254" s="22"/>
      <c r="F254" s="25" t="str">
        <f>IFERROR(VLOOKUP(E685,SETTINGS!A:B,2,0),"No Value")</f>
        <v>No Value</v>
      </c>
      <c r="G254" s="5"/>
      <c r="H254" s="5"/>
      <c r="I254" s="5"/>
    </row>
    <row r="255" ht="15.75" customHeight="1">
      <c r="A255" s="19"/>
      <c r="B255" s="21" t="str">
        <f t="shared" si="2"/>
        <v/>
      </c>
      <c r="C255" s="22"/>
      <c r="D255" s="23"/>
      <c r="E255" s="22"/>
      <c r="F255" s="25" t="str">
        <f>IFERROR(VLOOKUP(E686,SETTINGS!A:B,2,0),"No Value")</f>
        <v>No Value</v>
      </c>
      <c r="G255" s="5"/>
      <c r="H255" s="5"/>
      <c r="I255" s="5"/>
    </row>
    <row r="256" ht="15.75" customHeight="1">
      <c r="A256" s="19"/>
      <c r="B256" s="21" t="str">
        <f t="shared" si="2"/>
        <v/>
      </c>
      <c r="C256" s="22"/>
      <c r="D256" s="23"/>
      <c r="E256" s="22"/>
      <c r="F256" s="25" t="str">
        <f>IFERROR(VLOOKUP(E687,SETTINGS!A:B,2,0),"No Value")</f>
        <v>No Value</v>
      </c>
      <c r="G256" s="5"/>
      <c r="H256" s="5"/>
      <c r="I256" s="5"/>
    </row>
    <row r="257" ht="15.75" customHeight="1">
      <c r="A257" s="19"/>
      <c r="B257" s="21" t="str">
        <f t="shared" si="2"/>
        <v/>
      </c>
      <c r="C257" s="22"/>
      <c r="D257" s="23"/>
      <c r="E257" s="22"/>
      <c r="F257" s="25" t="str">
        <f>IFERROR(VLOOKUP(E688,SETTINGS!A:B,2,0),"No Value")</f>
        <v>No Value</v>
      </c>
      <c r="G257" s="5"/>
      <c r="H257" s="5"/>
      <c r="I257" s="5"/>
    </row>
    <row r="258" ht="15.75" customHeight="1">
      <c r="A258" s="19"/>
      <c r="B258" s="21" t="str">
        <f t="shared" si="2"/>
        <v/>
      </c>
      <c r="C258" s="22"/>
      <c r="D258" s="23"/>
      <c r="E258" s="22"/>
      <c r="F258" s="25" t="str">
        <f>IFERROR(VLOOKUP(E689,SETTINGS!A:B,2,0),"No Value")</f>
        <v>No Value</v>
      </c>
      <c r="G258" s="5"/>
      <c r="H258" s="5"/>
      <c r="I258" s="5"/>
    </row>
    <row r="259" ht="15.75" customHeight="1">
      <c r="A259" s="19"/>
      <c r="B259" s="21" t="str">
        <f t="shared" si="2"/>
        <v/>
      </c>
      <c r="C259" s="22"/>
      <c r="D259" s="23"/>
      <c r="E259" s="22"/>
      <c r="F259" s="25" t="str">
        <f>IFERROR(VLOOKUP(E690,SETTINGS!A:B,2,0),"No Value")</f>
        <v>No Value</v>
      </c>
      <c r="G259" s="5"/>
      <c r="H259" s="5"/>
      <c r="I259" s="5"/>
    </row>
    <row r="260" ht="15.75" customHeight="1">
      <c r="A260" s="19"/>
      <c r="B260" s="21" t="str">
        <f t="shared" si="2"/>
        <v/>
      </c>
      <c r="C260" s="22"/>
      <c r="D260" s="23"/>
      <c r="E260" s="22"/>
      <c r="F260" s="25" t="str">
        <f>IFERROR(VLOOKUP(E691,SETTINGS!A:B,2,0),"No Value")</f>
        <v>No Value</v>
      </c>
      <c r="G260" s="5"/>
      <c r="H260" s="5"/>
      <c r="I260" s="5"/>
    </row>
    <row r="261" ht="15.75" customHeight="1">
      <c r="A261" s="19"/>
      <c r="B261" s="21" t="str">
        <f t="shared" si="2"/>
        <v/>
      </c>
      <c r="C261" s="22"/>
      <c r="D261" s="23"/>
      <c r="E261" s="22"/>
      <c r="F261" s="25" t="str">
        <f>IFERROR(VLOOKUP(E692,SETTINGS!A:B,2,0),"No Value")</f>
        <v>No Value</v>
      </c>
      <c r="G261" s="5"/>
      <c r="H261" s="5"/>
      <c r="I261" s="5"/>
    </row>
    <row r="262" ht="15.75" customHeight="1">
      <c r="A262" s="19"/>
      <c r="B262" s="21" t="str">
        <f t="shared" si="2"/>
        <v/>
      </c>
      <c r="C262" s="22"/>
      <c r="D262" s="23"/>
      <c r="E262" s="22"/>
      <c r="F262" s="25" t="str">
        <f>IFERROR(VLOOKUP(E693,SETTINGS!A:B,2,0),"No Value")</f>
        <v>No Value</v>
      </c>
      <c r="G262" s="5"/>
      <c r="H262" s="5"/>
      <c r="I262" s="5"/>
    </row>
    <row r="263" ht="15.75" customHeight="1">
      <c r="A263" s="19"/>
      <c r="B263" s="21" t="str">
        <f t="shared" si="2"/>
        <v/>
      </c>
      <c r="C263" s="22"/>
      <c r="D263" s="23"/>
      <c r="E263" s="22"/>
      <c r="F263" s="25" t="str">
        <f>IFERROR(VLOOKUP(E694,SETTINGS!A:B,2,0),"No Value")</f>
        <v>No Value</v>
      </c>
      <c r="G263" s="5"/>
      <c r="H263" s="5"/>
      <c r="I263" s="5"/>
    </row>
    <row r="264" ht="15.75" customHeight="1">
      <c r="A264" s="19"/>
      <c r="B264" s="21" t="str">
        <f t="shared" si="2"/>
        <v/>
      </c>
      <c r="C264" s="22"/>
      <c r="D264" s="23"/>
      <c r="E264" s="22"/>
      <c r="F264" s="25" t="str">
        <f>IFERROR(VLOOKUP(E695,SETTINGS!A:B,2,0),"No Value")</f>
        <v>No Value</v>
      </c>
      <c r="G264" s="5"/>
      <c r="H264" s="5"/>
      <c r="I264" s="5"/>
    </row>
    <row r="265" ht="15.75" customHeight="1">
      <c r="A265" s="19"/>
      <c r="B265" s="21" t="str">
        <f t="shared" si="2"/>
        <v/>
      </c>
      <c r="C265" s="22"/>
      <c r="D265" s="23"/>
      <c r="E265" s="22"/>
      <c r="F265" s="25" t="str">
        <f>IFERROR(VLOOKUP(E696,SETTINGS!A:B,2,0),"No Value")</f>
        <v>No Value</v>
      </c>
      <c r="G265" s="5"/>
      <c r="H265" s="5"/>
      <c r="I265" s="5"/>
    </row>
    <row r="266" ht="15.75" customHeight="1">
      <c r="A266" s="19"/>
      <c r="B266" s="21" t="str">
        <f t="shared" si="2"/>
        <v/>
      </c>
      <c r="C266" s="22"/>
      <c r="D266" s="23"/>
      <c r="E266" s="22"/>
      <c r="F266" s="25" t="str">
        <f>IFERROR(VLOOKUP(E697,SETTINGS!A:B,2,0),"No Value")</f>
        <v>No Value</v>
      </c>
      <c r="G266" s="5"/>
      <c r="H266" s="5"/>
      <c r="I266" s="5"/>
    </row>
    <row r="267" ht="15.75" customHeight="1">
      <c r="A267" s="19"/>
      <c r="B267" s="21" t="str">
        <f t="shared" si="2"/>
        <v/>
      </c>
      <c r="C267" s="22"/>
      <c r="D267" s="23"/>
      <c r="E267" s="22"/>
      <c r="F267" s="25" t="str">
        <f>IFERROR(VLOOKUP(E698,SETTINGS!A:B,2,0),"No Value")</f>
        <v>No Value</v>
      </c>
      <c r="G267" s="5"/>
      <c r="H267" s="5"/>
      <c r="I267" s="5"/>
    </row>
    <row r="268" ht="15.75" customHeight="1">
      <c r="A268" s="19"/>
      <c r="B268" s="21" t="str">
        <f t="shared" si="2"/>
        <v/>
      </c>
      <c r="C268" s="22"/>
      <c r="D268" s="23"/>
      <c r="E268" s="22"/>
      <c r="F268" s="25" t="str">
        <f>IFERROR(VLOOKUP(E699,SETTINGS!A:B,2,0),"No Value")</f>
        <v>No Value</v>
      </c>
      <c r="G268" s="5"/>
      <c r="H268" s="5"/>
      <c r="I268" s="5"/>
    </row>
    <row r="269" ht="15.75" customHeight="1">
      <c r="A269" s="19"/>
      <c r="B269" s="21" t="str">
        <f t="shared" si="2"/>
        <v/>
      </c>
      <c r="C269" s="22"/>
      <c r="D269" s="23"/>
      <c r="E269" s="22"/>
      <c r="F269" s="25" t="str">
        <f>IFERROR(VLOOKUP(E700,SETTINGS!A:B,2,0),"No Value")</f>
        <v>No Value</v>
      </c>
      <c r="G269" s="5"/>
      <c r="H269" s="5"/>
      <c r="I269" s="5"/>
    </row>
    <row r="270" ht="15.75" customHeight="1">
      <c r="A270" s="19"/>
      <c r="B270" s="21" t="str">
        <f t="shared" si="2"/>
        <v/>
      </c>
      <c r="C270" s="22"/>
      <c r="D270" s="23"/>
      <c r="E270" s="22"/>
      <c r="F270" s="25" t="str">
        <f>IFERROR(VLOOKUP(E701,SETTINGS!A:B,2,0),"No Value")</f>
        <v>No Value</v>
      </c>
      <c r="G270" s="5"/>
      <c r="H270" s="5"/>
      <c r="I270" s="5"/>
    </row>
    <row r="271" ht="15.75" customHeight="1">
      <c r="A271" s="19"/>
      <c r="B271" s="21" t="str">
        <f t="shared" si="2"/>
        <v/>
      </c>
      <c r="C271" s="22"/>
      <c r="D271" s="23"/>
      <c r="E271" s="22"/>
      <c r="F271" s="25" t="str">
        <f>IFERROR(VLOOKUP(E702,SETTINGS!A:B,2,0),"No Value")</f>
        <v>No Value</v>
      </c>
      <c r="G271" s="5"/>
      <c r="H271" s="5"/>
      <c r="I271" s="5"/>
    </row>
    <row r="272" ht="15.75" customHeight="1">
      <c r="A272" s="19"/>
      <c r="B272" s="21" t="str">
        <f t="shared" si="2"/>
        <v/>
      </c>
      <c r="C272" s="22"/>
      <c r="D272" s="23"/>
      <c r="E272" s="22"/>
      <c r="F272" s="25" t="str">
        <f>IFERROR(VLOOKUP(E703,SETTINGS!A:B,2,0),"No Value")</f>
        <v>No Value</v>
      </c>
      <c r="G272" s="5"/>
      <c r="H272" s="5"/>
      <c r="I272" s="5"/>
    </row>
    <row r="273" ht="15.75" customHeight="1">
      <c r="A273" s="19"/>
      <c r="B273" s="21" t="str">
        <f t="shared" si="2"/>
        <v/>
      </c>
      <c r="C273" s="22"/>
      <c r="D273" s="23"/>
      <c r="E273" s="22"/>
      <c r="F273" s="25" t="str">
        <f>IFERROR(VLOOKUP(E704,SETTINGS!A:B,2,0),"No Value")</f>
        <v>No Value</v>
      </c>
      <c r="G273" s="5"/>
      <c r="H273" s="5"/>
      <c r="I273" s="5"/>
    </row>
    <row r="274" ht="15.75" customHeight="1">
      <c r="A274" s="19"/>
      <c r="B274" s="21" t="str">
        <f t="shared" si="2"/>
        <v/>
      </c>
      <c r="C274" s="22"/>
      <c r="D274" s="23"/>
      <c r="E274" s="22"/>
      <c r="F274" s="25" t="str">
        <f>IFERROR(VLOOKUP(E705,SETTINGS!A:B,2,0),"No Value")</f>
        <v>No Value</v>
      </c>
      <c r="G274" s="5"/>
      <c r="H274" s="5"/>
      <c r="I274" s="5"/>
    </row>
    <row r="275" ht="15.75" customHeight="1">
      <c r="A275" s="19"/>
      <c r="B275" s="21" t="str">
        <f t="shared" si="2"/>
        <v/>
      </c>
      <c r="C275" s="22"/>
      <c r="D275" s="23"/>
      <c r="E275" s="22"/>
      <c r="F275" s="25" t="str">
        <f>IFERROR(VLOOKUP(E706,SETTINGS!A:B,2,0),"No Value")</f>
        <v>No Value</v>
      </c>
      <c r="G275" s="5"/>
      <c r="H275" s="5"/>
      <c r="I275" s="5"/>
    </row>
    <row r="276" ht="15.75" customHeight="1">
      <c r="A276" s="19"/>
      <c r="B276" s="21" t="str">
        <f t="shared" si="2"/>
        <v/>
      </c>
      <c r="C276" s="22"/>
      <c r="D276" s="23"/>
      <c r="E276" s="22"/>
      <c r="F276" s="25" t="str">
        <f>IFERROR(VLOOKUP(E707,SETTINGS!A:B,2,0),"No Value")</f>
        <v>No Value</v>
      </c>
      <c r="G276" s="5"/>
      <c r="H276" s="5"/>
      <c r="I276" s="5"/>
    </row>
    <row r="277" ht="15.75" customHeight="1">
      <c r="A277" s="19"/>
      <c r="B277" s="21" t="str">
        <f t="shared" si="2"/>
        <v/>
      </c>
      <c r="C277" s="22"/>
      <c r="D277" s="23"/>
      <c r="E277" s="22"/>
      <c r="F277" s="25" t="str">
        <f>IFERROR(VLOOKUP(E708,SETTINGS!A:B,2,0),"No Value")</f>
        <v>No Value</v>
      </c>
      <c r="G277" s="5"/>
      <c r="H277" s="5"/>
      <c r="I277" s="5"/>
    </row>
    <row r="278" ht="15.75" customHeight="1">
      <c r="A278" s="19"/>
      <c r="B278" s="21" t="str">
        <f t="shared" si="2"/>
        <v/>
      </c>
      <c r="C278" s="22"/>
      <c r="D278" s="23"/>
      <c r="E278" s="22"/>
      <c r="F278" s="25" t="str">
        <f>IFERROR(VLOOKUP(E709,SETTINGS!A:B,2,0),"No Value")</f>
        <v>No Value</v>
      </c>
      <c r="G278" s="5"/>
      <c r="H278" s="5"/>
      <c r="I278" s="5"/>
    </row>
    <row r="279" ht="15.75" customHeight="1">
      <c r="A279" s="19"/>
      <c r="B279" s="21" t="str">
        <f t="shared" si="2"/>
        <v/>
      </c>
      <c r="C279" s="22"/>
      <c r="D279" s="23"/>
      <c r="E279" s="22"/>
      <c r="F279" s="25" t="str">
        <f>IFERROR(VLOOKUP(E710,SETTINGS!A:B,2,0),"No Value")</f>
        <v>No Value</v>
      </c>
      <c r="G279" s="5"/>
      <c r="H279" s="5"/>
      <c r="I279" s="5"/>
    </row>
    <row r="280" ht="15.75" customHeight="1">
      <c r="A280" s="19"/>
      <c r="B280" s="21" t="str">
        <f t="shared" si="2"/>
        <v/>
      </c>
      <c r="C280" s="22"/>
      <c r="D280" s="23"/>
      <c r="E280" s="22"/>
      <c r="F280" s="25" t="str">
        <f>IFERROR(VLOOKUP(E711,SETTINGS!A:B,2,0),"No Value")</f>
        <v>No Value</v>
      </c>
      <c r="G280" s="5"/>
      <c r="H280" s="5"/>
      <c r="I280" s="5"/>
    </row>
    <row r="281" ht="15.75" customHeight="1">
      <c r="A281" s="19"/>
      <c r="B281" s="21" t="str">
        <f t="shared" si="2"/>
        <v/>
      </c>
      <c r="C281" s="22"/>
      <c r="D281" s="23"/>
      <c r="E281" s="22"/>
      <c r="F281" s="25" t="str">
        <f>IFERROR(VLOOKUP(E712,SETTINGS!A:B,2,0),"No Value")</f>
        <v>No Value</v>
      </c>
      <c r="G281" s="5"/>
      <c r="H281" s="5"/>
      <c r="I281" s="5"/>
    </row>
    <row r="282" ht="15.75" customHeight="1">
      <c r="A282" s="19"/>
      <c r="B282" s="21" t="str">
        <f t="shared" si="2"/>
        <v/>
      </c>
      <c r="C282" s="22"/>
      <c r="D282" s="23"/>
      <c r="E282" s="22"/>
      <c r="F282" s="25" t="str">
        <f>IFERROR(VLOOKUP(E713,SETTINGS!A:B,2,0),"No Value")</f>
        <v>No Value</v>
      </c>
      <c r="G282" s="5"/>
      <c r="H282" s="5"/>
      <c r="I282" s="5"/>
    </row>
    <row r="283" ht="15.75" customHeight="1">
      <c r="A283" s="19"/>
      <c r="B283" s="21" t="str">
        <f t="shared" si="2"/>
        <v/>
      </c>
      <c r="C283" s="22"/>
      <c r="D283" s="23"/>
      <c r="E283" s="22"/>
      <c r="F283" s="25" t="str">
        <f>IFERROR(VLOOKUP(E714,SETTINGS!A:B,2,0),"No Value")</f>
        <v>No Value</v>
      </c>
      <c r="G283" s="5"/>
      <c r="H283" s="5"/>
      <c r="I283" s="5"/>
    </row>
    <row r="284" ht="15.75" customHeight="1">
      <c r="A284" s="19"/>
      <c r="B284" s="21" t="str">
        <f t="shared" si="2"/>
        <v/>
      </c>
      <c r="C284" s="22"/>
      <c r="D284" s="23"/>
      <c r="E284" s="22"/>
      <c r="F284" s="25" t="str">
        <f>IFERROR(VLOOKUP(E715,SETTINGS!A:B,2,0),"No Value")</f>
        <v>No Value</v>
      </c>
      <c r="G284" s="5"/>
      <c r="H284" s="5"/>
      <c r="I284" s="5"/>
    </row>
    <row r="285" ht="15.75" customHeight="1">
      <c r="A285" s="19"/>
      <c r="B285" s="21" t="str">
        <f t="shared" si="2"/>
        <v/>
      </c>
      <c r="C285" s="22"/>
      <c r="D285" s="23"/>
      <c r="E285" s="22"/>
      <c r="F285" s="25" t="str">
        <f>IFERROR(VLOOKUP(E716,SETTINGS!A:B,2,0),"No Value")</f>
        <v>No Value</v>
      </c>
      <c r="G285" s="5"/>
      <c r="H285" s="5"/>
      <c r="I285" s="5"/>
    </row>
    <row r="286" ht="15.75" customHeight="1">
      <c r="A286" s="19"/>
      <c r="B286" s="21" t="str">
        <f t="shared" si="2"/>
        <v/>
      </c>
      <c r="C286" s="22"/>
      <c r="D286" s="23"/>
      <c r="E286" s="22"/>
      <c r="F286" s="25" t="str">
        <f>IFERROR(VLOOKUP(E717,SETTINGS!A:B,2,0),"No Value")</f>
        <v>No Value</v>
      </c>
      <c r="G286" s="5"/>
      <c r="H286" s="5"/>
      <c r="I286" s="5"/>
    </row>
    <row r="287" ht="15.75" customHeight="1">
      <c r="A287" s="19"/>
      <c r="B287" s="21" t="str">
        <f t="shared" si="2"/>
        <v/>
      </c>
      <c r="C287" s="22"/>
      <c r="D287" s="23"/>
      <c r="E287" s="22"/>
      <c r="F287" s="25" t="str">
        <f>IFERROR(VLOOKUP(E718,SETTINGS!A:B,2,0),"No Value")</f>
        <v>No Value</v>
      </c>
      <c r="G287" s="5"/>
      <c r="H287" s="5"/>
      <c r="I287" s="5"/>
    </row>
    <row r="288" ht="15.75" customHeight="1">
      <c r="A288" s="19"/>
      <c r="B288" s="21" t="str">
        <f t="shared" si="2"/>
        <v/>
      </c>
      <c r="C288" s="22"/>
      <c r="D288" s="23"/>
      <c r="E288" s="22"/>
      <c r="F288" s="25" t="str">
        <f>IFERROR(VLOOKUP(E719,SETTINGS!A:B,2,0),"No Value")</f>
        <v>No Value</v>
      </c>
      <c r="G288" s="5"/>
      <c r="H288" s="5"/>
      <c r="I288" s="5"/>
    </row>
    <row r="289" ht="15.75" customHeight="1">
      <c r="A289" s="19"/>
      <c r="B289" s="21" t="str">
        <f t="shared" si="2"/>
        <v/>
      </c>
      <c r="C289" s="22"/>
      <c r="D289" s="23"/>
      <c r="E289" s="22"/>
      <c r="F289" s="25" t="str">
        <f>IFERROR(VLOOKUP(E720,SETTINGS!A:B,2,0),"No Value")</f>
        <v>No Value</v>
      </c>
      <c r="G289" s="5"/>
      <c r="H289" s="5"/>
      <c r="I289" s="5"/>
    </row>
    <row r="290" ht="15.75" customHeight="1">
      <c r="A290" s="19"/>
      <c r="B290" s="21" t="str">
        <f t="shared" si="2"/>
        <v/>
      </c>
      <c r="C290" s="22"/>
      <c r="D290" s="23"/>
      <c r="E290" s="22"/>
      <c r="F290" s="25" t="str">
        <f>IFERROR(VLOOKUP(E721,SETTINGS!A:B,2,0),"No Value")</f>
        <v>No Value</v>
      </c>
      <c r="G290" s="5"/>
      <c r="H290" s="5"/>
      <c r="I290" s="5"/>
    </row>
    <row r="291" ht="15.75" customHeight="1">
      <c r="A291" s="19"/>
      <c r="B291" s="21" t="str">
        <f t="shared" si="2"/>
        <v/>
      </c>
      <c r="C291" s="22"/>
      <c r="D291" s="23"/>
      <c r="E291" s="22"/>
      <c r="F291" s="25" t="str">
        <f>IFERROR(VLOOKUP(E722,SETTINGS!A:B,2,0),"No Value")</f>
        <v>No Value</v>
      </c>
      <c r="G291" s="5"/>
      <c r="H291" s="5"/>
      <c r="I291" s="5"/>
    </row>
    <row r="292" ht="15.75" customHeight="1">
      <c r="A292" s="19"/>
      <c r="B292" s="21" t="str">
        <f t="shared" si="2"/>
        <v/>
      </c>
      <c r="C292" s="22"/>
      <c r="D292" s="23"/>
      <c r="E292" s="22"/>
      <c r="F292" s="25" t="str">
        <f>IFERROR(VLOOKUP(E723,SETTINGS!A:B,2,0),"No Value")</f>
        <v>No Value</v>
      </c>
      <c r="G292" s="5"/>
      <c r="H292" s="5"/>
      <c r="I292" s="5"/>
    </row>
    <row r="293" ht="15.75" customHeight="1">
      <c r="A293" s="19"/>
      <c r="B293" s="21" t="str">
        <f t="shared" si="2"/>
        <v/>
      </c>
      <c r="C293" s="22"/>
      <c r="D293" s="23"/>
      <c r="E293" s="22"/>
      <c r="F293" s="25" t="str">
        <f>IFERROR(VLOOKUP(E724,SETTINGS!A:B,2,0),"No Value")</f>
        <v>No Value</v>
      </c>
      <c r="G293" s="5"/>
      <c r="H293" s="5"/>
      <c r="I293" s="5"/>
    </row>
    <row r="294" ht="15.75" customHeight="1">
      <c r="A294" s="19"/>
      <c r="B294" s="21" t="str">
        <f t="shared" si="2"/>
        <v/>
      </c>
      <c r="C294" s="22"/>
      <c r="D294" s="23"/>
      <c r="E294" s="22"/>
      <c r="F294" s="25" t="str">
        <f>IFERROR(VLOOKUP(E725,SETTINGS!A:B,2,0),"No Value")</f>
        <v>No Value</v>
      </c>
      <c r="G294" s="5"/>
      <c r="H294" s="5"/>
      <c r="I294" s="5"/>
    </row>
    <row r="295" ht="15.75" customHeight="1">
      <c r="A295" s="19"/>
      <c r="B295" s="21" t="str">
        <f t="shared" si="2"/>
        <v/>
      </c>
      <c r="C295" s="22"/>
      <c r="D295" s="23"/>
      <c r="E295" s="22"/>
      <c r="F295" s="25" t="str">
        <f>IFERROR(VLOOKUP(E726,SETTINGS!A:B,2,0),"No Value")</f>
        <v>No Value</v>
      </c>
      <c r="G295" s="5"/>
      <c r="H295" s="5"/>
      <c r="I295" s="5"/>
    </row>
    <row r="296" ht="15.75" customHeight="1">
      <c r="A296" s="19"/>
      <c r="B296" s="21" t="str">
        <f t="shared" si="2"/>
        <v/>
      </c>
      <c r="C296" s="22"/>
      <c r="D296" s="23"/>
      <c r="E296" s="22"/>
      <c r="F296" s="25" t="str">
        <f>IFERROR(VLOOKUP(E727,SETTINGS!A:B,2,0),"No Value")</f>
        <v>No Value</v>
      </c>
      <c r="G296" s="5"/>
      <c r="H296" s="5"/>
      <c r="I296" s="5"/>
    </row>
    <row r="297" ht="15.75" customHeight="1">
      <c r="A297" s="19"/>
      <c r="B297" s="21" t="str">
        <f t="shared" si="2"/>
        <v/>
      </c>
      <c r="C297" s="22"/>
      <c r="D297" s="23"/>
      <c r="E297" s="22"/>
      <c r="F297" s="25" t="str">
        <f>IFERROR(VLOOKUP(E728,SETTINGS!A:B,2,0),"No Value")</f>
        <v>No Value</v>
      </c>
      <c r="G297" s="5"/>
      <c r="H297" s="5"/>
      <c r="I297" s="5"/>
    </row>
    <row r="298" ht="15.75" customHeight="1">
      <c r="A298" s="19"/>
      <c r="B298" s="21" t="str">
        <f t="shared" si="2"/>
        <v/>
      </c>
      <c r="C298" s="22"/>
      <c r="D298" s="23"/>
      <c r="E298" s="22"/>
      <c r="F298" s="25" t="str">
        <f>IFERROR(VLOOKUP(E729,SETTINGS!A:B,2,0),"No Value")</f>
        <v>No Value</v>
      </c>
      <c r="G298" s="5"/>
      <c r="H298" s="5"/>
      <c r="I298" s="5"/>
    </row>
    <row r="299" ht="15.75" customHeight="1">
      <c r="A299" s="19"/>
      <c r="B299" s="21" t="str">
        <f t="shared" si="2"/>
        <v/>
      </c>
      <c r="C299" s="22"/>
      <c r="D299" s="23"/>
      <c r="E299" s="22"/>
      <c r="F299" s="25" t="str">
        <f>IFERROR(VLOOKUP(E730,SETTINGS!A:B,2,0),"No Value")</f>
        <v>No Value</v>
      </c>
      <c r="G299" s="5"/>
      <c r="H299" s="5"/>
      <c r="I299" s="5"/>
    </row>
    <row r="300" ht="15.75" customHeight="1">
      <c r="A300" s="19"/>
      <c r="B300" s="21" t="str">
        <f t="shared" si="2"/>
        <v/>
      </c>
      <c r="C300" s="22"/>
      <c r="D300" s="23"/>
      <c r="E300" s="22"/>
      <c r="F300" s="25" t="str">
        <f>IFERROR(VLOOKUP(E731,SETTINGS!A:B,2,0),"No Value")</f>
        <v>No Value</v>
      </c>
      <c r="G300" s="5"/>
      <c r="H300" s="5"/>
      <c r="I300" s="5"/>
    </row>
    <row r="301" ht="15.75" customHeight="1">
      <c r="A301" s="19"/>
      <c r="B301" s="21" t="str">
        <f t="shared" si="2"/>
        <v/>
      </c>
      <c r="C301" s="22"/>
      <c r="D301" s="23"/>
      <c r="E301" s="22"/>
      <c r="F301" s="25" t="str">
        <f>IFERROR(VLOOKUP(E732,SETTINGS!A:B,2,0),"No Value")</f>
        <v>No Value</v>
      </c>
      <c r="G301" s="5"/>
      <c r="H301" s="5"/>
      <c r="I301" s="5"/>
    </row>
    <row r="302" ht="15.75" customHeight="1">
      <c r="A302" s="19"/>
      <c r="B302" s="21" t="str">
        <f t="shared" si="2"/>
        <v/>
      </c>
      <c r="C302" s="22"/>
      <c r="D302" s="23"/>
      <c r="E302" s="22"/>
      <c r="F302" s="25" t="str">
        <f>IFERROR(VLOOKUP(E733,SETTINGS!A:B,2,0),"No Value")</f>
        <v>No Value</v>
      </c>
      <c r="G302" s="5"/>
      <c r="H302" s="5"/>
      <c r="I302" s="5"/>
    </row>
    <row r="303" ht="15.75" customHeight="1">
      <c r="A303" s="19"/>
      <c r="B303" s="21" t="str">
        <f t="shared" si="2"/>
        <v/>
      </c>
      <c r="C303" s="22"/>
      <c r="D303" s="23"/>
      <c r="E303" s="22"/>
      <c r="F303" s="25" t="str">
        <f>IFERROR(VLOOKUP(E734,SETTINGS!A:B,2,0),"No Value")</f>
        <v>No Value</v>
      </c>
      <c r="G303" s="5"/>
      <c r="H303" s="5"/>
      <c r="I303" s="5"/>
    </row>
    <row r="304" ht="15.75" customHeight="1">
      <c r="A304" s="19"/>
      <c r="B304" s="21" t="str">
        <f t="shared" si="2"/>
        <v/>
      </c>
      <c r="C304" s="22"/>
      <c r="D304" s="23"/>
      <c r="E304" s="22"/>
      <c r="F304" s="25" t="str">
        <f>IFERROR(VLOOKUP(E735,SETTINGS!A:B,2,0),"No Value")</f>
        <v>No Value</v>
      </c>
      <c r="G304" s="5"/>
      <c r="H304" s="5"/>
      <c r="I304" s="5"/>
    </row>
    <row r="305" ht="15.75" customHeight="1">
      <c r="A305" s="19"/>
      <c r="B305" s="21" t="str">
        <f t="shared" si="2"/>
        <v/>
      </c>
      <c r="C305" s="22"/>
      <c r="D305" s="23"/>
      <c r="E305" s="22"/>
      <c r="F305" s="25" t="str">
        <f>IFERROR(VLOOKUP(E736,SETTINGS!A:B,2,0),"No Value")</f>
        <v>No Value</v>
      </c>
      <c r="G305" s="5"/>
      <c r="H305" s="5"/>
      <c r="I305" s="5"/>
    </row>
    <row r="306" ht="15.75" customHeight="1">
      <c r="A306" s="19"/>
      <c r="B306" s="21" t="str">
        <f t="shared" si="2"/>
        <v/>
      </c>
      <c r="C306" s="22"/>
      <c r="D306" s="23"/>
      <c r="E306" s="22"/>
      <c r="F306" s="25" t="str">
        <f>IFERROR(VLOOKUP(E737,SETTINGS!A:B,2,0),"No Value")</f>
        <v>No Value</v>
      </c>
      <c r="G306" s="5"/>
      <c r="H306" s="5"/>
      <c r="I306" s="5"/>
    </row>
    <row r="307" ht="15.75" customHeight="1">
      <c r="A307" s="19"/>
      <c r="B307" s="21" t="str">
        <f t="shared" si="2"/>
        <v/>
      </c>
      <c r="C307" s="22"/>
      <c r="D307" s="23"/>
      <c r="E307" s="22"/>
      <c r="F307" s="25" t="str">
        <f>IFERROR(VLOOKUP(E738,SETTINGS!A:B,2,0),"No Value")</f>
        <v>No Value</v>
      </c>
      <c r="G307" s="5"/>
      <c r="H307" s="5"/>
      <c r="I307" s="5"/>
    </row>
    <row r="308" ht="15.75" customHeight="1">
      <c r="A308" s="19"/>
      <c r="B308" s="21" t="str">
        <f t="shared" si="2"/>
        <v/>
      </c>
      <c r="C308" s="22"/>
      <c r="D308" s="23"/>
      <c r="E308" s="22"/>
      <c r="F308" s="25" t="str">
        <f>IFERROR(VLOOKUP(E739,SETTINGS!A:B,2,0),"No Value")</f>
        <v>No Value</v>
      </c>
      <c r="G308" s="5"/>
      <c r="H308" s="5"/>
      <c r="I308" s="5"/>
    </row>
    <row r="309" ht="15.75" customHeight="1">
      <c r="A309" s="19"/>
      <c r="B309" s="21" t="str">
        <f t="shared" si="2"/>
        <v/>
      </c>
      <c r="C309" s="22"/>
      <c r="D309" s="23"/>
      <c r="E309" s="22"/>
      <c r="F309" s="25" t="str">
        <f>IFERROR(VLOOKUP(E740,SETTINGS!A:B,2,0),"No Value")</f>
        <v>No Value</v>
      </c>
      <c r="G309" s="5"/>
      <c r="H309" s="5"/>
      <c r="I309" s="5"/>
    </row>
    <row r="310" ht="15.75" customHeight="1">
      <c r="A310" s="19"/>
      <c r="B310" s="21" t="str">
        <f t="shared" si="2"/>
        <v/>
      </c>
      <c r="C310" s="22"/>
      <c r="D310" s="23"/>
      <c r="E310" s="22"/>
      <c r="F310" s="25" t="str">
        <f>IFERROR(VLOOKUP(E741,SETTINGS!A:B,2,0),"No Value")</f>
        <v>No Value</v>
      </c>
      <c r="G310" s="5"/>
      <c r="H310" s="5"/>
      <c r="I310" s="5"/>
    </row>
    <row r="311" ht="15.75" customHeight="1">
      <c r="A311" s="19"/>
      <c r="B311" s="21" t="str">
        <f t="shared" si="2"/>
        <v/>
      </c>
      <c r="C311" s="22"/>
      <c r="D311" s="23"/>
      <c r="E311" s="22"/>
      <c r="F311" s="25" t="str">
        <f>IFERROR(VLOOKUP(E742,SETTINGS!A:B,2,0),"No Value")</f>
        <v>No Value</v>
      </c>
      <c r="G311" s="5"/>
      <c r="H311" s="5"/>
      <c r="I311" s="5"/>
    </row>
    <row r="312" ht="15.75" customHeight="1">
      <c r="A312" s="19"/>
      <c r="B312" s="21" t="str">
        <f t="shared" si="2"/>
        <v/>
      </c>
      <c r="C312" s="22"/>
      <c r="D312" s="23"/>
      <c r="E312" s="22"/>
      <c r="F312" s="25" t="str">
        <f>IFERROR(VLOOKUP(E743,SETTINGS!A:B,2,0),"No Value")</f>
        <v>No Value</v>
      </c>
      <c r="G312" s="5"/>
      <c r="H312" s="5"/>
      <c r="I312" s="5"/>
    </row>
    <row r="313" ht="15.75" customHeight="1">
      <c r="A313" s="19"/>
      <c r="B313" s="21" t="str">
        <f t="shared" si="2"/>
        <v/>
      </c>
      <c r="C313" s="22"/>
      <c r="D313" s="23"/>
      <c r="E313" s="22"/>
      <c r="F313" s="25" t="str">
        <f>IFERROR(VLOOKUP(E744,SETTINGS!A:B,2,0),"No Value")</f>
        <v>No Value</v>
      </c>
      <c r="G313" s="5"/>
      <c r="H313" s="5"/>
      <c r="I313" s="5"/>
    </row>
    <row r="314" ht="15.75" customHeight="1">
      <c r="A314" s="19"/>
      <c r="B314" s="21" t="str">
        <f t="shared" si="2"/>
        <v/>
      </c>
      <c r="C314" s="22"/>
      <c r="D314" s="23"/>
      <c r="E314" s="22"/>
      <c r="F314" s="25" t="str">
        <f>IFERROR(VLOOKUP(E745,SETTINGS!A:B,2,0),"No Value")</f>
        <v>No Value</v>
      </c>
      <c r="G314" s="5"/>
      <c r="H314" s="5"/>
      <c r="I314" s="5"/>
    </row>
    <row r="315" ht="15.75" customHeight="1">
      <c r="A315" s="19"/>
      <c r="B315" s="21" t="str">
        <f t="shared" si="2"/>
        <v/>
      </c>
      <c r="C315" s="22"/>
      <c r="D315" s="23"/>
      <c r="E315" s="22"/>
      <c r="F315" s="25" t="str">
        <f>IFERROR(VLOOKUP(E746,SETTINGS!A:B,2,0),"No Value")</f>
        <v>No Value</v>
      </c>
      <c r="G315" s="5"/>
      <c r="H315" s="5"/>
      <c r="I315" s="5"/>
    </row>
    <row r="316" ht="15.75" customHeight="1">
      <c r="A316" s="19"/>
      <c r="B316" s="21" t="str">
        <f t="shared" si="2"/>
        <v/>
      </c>
      <c r="C316" s="22"/>
      <c r="D316" s="23"/>
      <c r="E316" s="22"/>
      <c r="F316" s="25" t="str">
        <f>IFERROR(VLOOKUP(E747,SETTINGS!A:B,2,0),"No Value")</f>
        <v>No Value</v>
      </c>
      <c r="G316" s="5"/>
      <c r="H316" s="5"/>
      <c r="I316" s="5"/>
    </row>
    <row r="317" ht="15.75" customHeight="1">
      <c r="A317" s="19"/>
      <c r="B317" s="21" t="str">
        <f t="shared" si="2"/>
        <v/>
      </c>
      <c r="C317" s="22"/>
      <c r="D317" s="23"/>
      <c r="E317" s="22"/>
      <c r="F317" s="25" t="str">
        <f>IFERROR(VLOOKUP(E748,SETTINGS!A:B,2,0),"No Value")</f>
        <v>No Value</v>
      </c>
      <c r="G317" s="5"/>
      <c r="H317" s="5"/>
      <c r="I317" s="5"/>
    </row>
    <row r="318" ht="15.75" customHeight="1">
      <c r="A318" s="19"/>
      <c r="B318" s="21" t="str">
        <f t="shared" si="2"/>
        <v/>
      </c>
      <c r="C318" s="22"/>
      <c r="D318" s="23"/>
      <c r="E318" s="22"/>
      <c r="F318" s="25" t="str">
        <f>IFERROR(VLOOKUP(E749,SETTINGS!A:B,2,0),"No Value")</f>
        <v>No Value</v>
      </c>
      <c r="G318" s="5"/>
      <c r="H318" s="5"/>
      <c r="I318" s="5"/>
    </row>
    <row r="319" ht="15.75" customHeight="1">
      <c r="A319" s="19"/>
      <c r="B319" s="21" t="str">
        <f t="shared" si="2"/>
        <v/>
      </c>
      <c r="C319" s="22"/>
      <c r="D319" s="23"/>
      <c r="E319" s="22"/>
      <c r="F319" s="25" t="str">
        <f>IFERROR(VLOOKUP(E750,SETTINGS!A:B,2,0),"No Value")</f>
        <v>No Value</v>
      </c>
      <c r="G319" s="5"/>
      <c r="H319" s="5"/>
      <c r="I319" s="5"/>
    </row>
    <row r="320" ht="15.75" customHeight="1">
      <c r="A320" s="19"/>
      <c r="B320" s="21" t="str">
        <f t="shared" si="2"/>
        <v/>
      </c>
      <c r="C320" s="22"/>
      <c r="D320" s="23"/>
      <c r="E320" s="22"/>
      <c r="F320" s="25" t="str">
        <f>IFERROR(VLOOKUP(E751,SETTINGS!A:B,2,0),"No Value")</f>
        <v>No Value</v>
      </c>
      <c r="G320" s="5"/>
      <c r="H320" s="5"/>
      <c r="I320" s="5"/>
    </row>
    <row r="321" ht="15.75" customHeight="1">
      <c r="A321" s="19"/>
      <c r="B321" s="21" t="str">
        <f t="shared" si="2"/>
        <v/>
      </c>
      <c r="C321" s="22"/>
      <c r="D321" s="23"/>
      <c r="E321" s="22"/>
      <c r="F321" s="25" t="str">
        <f>IFERROR(VLOOKUP(E752,SETTINGS!A:B,2,0),"No Value")</f>
        <v>No Value</v>
      </c>
      <c r="G321" s="5"/>
      <c r="H321" s="5"/>
      <c r="I321" s="5"/>
    </row>
    <row r="322" ht="15.75" customHeight="1">
      <c r="A322" s="19"/>
      <c r="B322" s="21" t="str">
        <f t="shared" si="2"/>
        <v/>
      </c>
      <c r="C322" s="22"/>
      <c r="D322" s="23"/>
      <c r="E322" s="22"/>
      <c r="F322" s="25" t="str">
        <f>IFERROR(VLOOKUP(E753,SETTINGS!A:B,2,0),"No Value")</f>
        <v>No Value</v>
      </c>
      <c r="G322" s="5"/>
      <c r="H322" s="5"/>
      <c r="I322" s="5"/>
    </row>
    <row r="323" ht="15.75" customHeight="1">
      <c r="A323" s="19"/>
      <c r="B323" s="21" t="str">
        <f t="shared" si="2"/>
        <v/>
      </c>
      <c r="C323" s="22"/>
      <c r="D323" s="23"/>
      <c r="E323" s="22"/>
      <c r="F323" s="25" t="str">
        <f>IFERROR(VLOOKUP(E754,SETTINGS!A:B,2,0),"No Value")</f>
        <v>No Value</v>
      </c>
      <c r="G323" s="5"/>
      <c r="H323" s="5"/>
      <c r="I323" s="5"/>
    </row>
    <row r="324" ht="15.75" customHeight="1">
      <c r="A324" s="19"/>
      <c r="B324" s="21" t="str">
        <f t="shared" si="2"/>
        <v/>
      </c>
      <c r="C324" s="22"/>
      <c r="D324" s="23"/>
      <c r="E324" s="22"/>
      <c r="F324" s="25" t="str">
        <f>IFERROR(VLOOKUP(E755,SETTINGS!A:B,2,0),"No Value")</f>
        <v>No Value</v>
      </c>
      <c r="G324" s="5"/>
      <c r="H324" s="5"/>
      <c r="I324" s="5"/>
    </row>
    <row r="325" ht="15.75" customHeight="1">
      <c r="A325" s="19"/>
      <c r="B325" s="21" t="str">
        <f t="shared" si="2"/>
        <v/>
      </c>
      <c r="C325" s="22"/>
      <c r="D325" s="23"/>
      <c r="E325" s="22"/>
      <c r="F325" s="25" t="str">
        <f>IFERROR(VLOOKUP(E756,SETTINGS!A:B,2,0),"No Value")</f>
        <v>No Value</v>
      </c>
      <c r="G325" s="5"/>
      <c r="H325" s="5"/>
      <c r="I325" s="5"/>
    </row>
    <row r="326" ht="15.75" customHeight="1">
      <c r="A326" s="19"/>
      <c r="B326" s="21" t="str">
        <f t="shared" si="2"/>
        <v/>
      </c>
      <c r="C326" s="22"/>
      <c r="D326" s="23"/>
      <c r="E326" s="22"/>
      <c r="F326" s="25" t="str">
        <f>IFERROR(VLOOKUP(E757,SETTINGS!A:B,2,0),"No Value")</f>
        <v>No Value</v>
      </c>
      <c r="G326" s="5"/>
      <c r="H326" s="5"/>
      <c r="I326" s="5"/>
    </row>
    <row r="327" ht="15.75" customHeight="1">
      <c r="A327" s="19"/>
      <c r="B327" s="21" t="str">
        <f t="shared" si="2"/>
        <v/>
      </c>
      <c r="C327" s="22"/>
      <c r="D327" s="23"/>
      <c r="E327" s="22"/>
      <c r="F327" s="25" t="str">
        <f>IFERROR(VLOOKUP(E758,SETTINGS!A:B,2,0),"No Value")</f>
        <v>No Value</v>
      </c>
      <c r="G327" s="5"/>
      <c r="H327" s="5"/>
      <c r="I327" s="5"/>
    </row>
    <row r="328" ht="15.75" customHeight="1">
      <c r="A328" s="19"/>
      <c r="B328" s="21" t="str">
        <f t="shared" si="2"/>
        <v/>
      </c>
      <c r="C328" s="22"/>
      <c r="D328" s="23"/>
      <c r="E328" s="22"/>
      <c r="F328" s="25" t="str">
        <f>IFERROR(VLOOKUP(E759,SETTINGS!A:B,2,0),"No Value")</f>
        <v>No Value</v>
      </c>
      <c r="G328" s="5"/>
      <c r="H328" s="5"/>
      <c r="I328" s="5"/>
    </row>
    <row r="329" ht="15.75" customHeight="1">
      <c r="A329" s="19"/>
      <c r="B329" s="21" t="str">
        <f t="shared" si="2"/>
        <v/>
      </c>
      <c r="C329" s="22"/>
      <c r="D329" s="23"/>
      <c r="E329" s="22"/>
      <c r="F329" s="25" t="str">
        <f>IFERROR(VLOOKUP(E760,SETTINGS!A:B,2,0),"No Value")</f>
        <v>No Value</v>
      </c>
      <c r="G329" s="5"/>
      <c r="H329" s="5"/>
      <c r="I329" s="5"/>
    </row>
    <row r="330" ht="15.75" customHeight="1">
      <c r="A330" s="19"/>
      <c r="B330" s="21" t="str">
        <f t="shared" si="2"/>
        <v/>
      </c>
      <c r="C330" s="22"/>
      <c r="D330" s="23"/>
      <c r="E330" s="22"/>
      <c r="F330" s="25" t="str">
        <f>IFERROR(VLOOKUP(E761,SETTINGS!A:B,2,0),"No Value")</f>
        <v>No Value</v>
      </c>
      <c r="G330" s="5"/>
      <c r="H330" s="5"/>
      <c r="I330" s="5"/>
    </row>
    <row r="331" ht="15.75" customHeight="1">
      <c r="A331" s="19"/>
      <c r="B331" s="21" t="str">
        <f t="shared" si="2"/>
        <v/>
      </c>
      <c r="C331" s="22"/>
      <c r="D331" s="23"/>
      <c r="E331" s="22"/>
      <c r="F331" s="25" t="str">
        <f>IFERROR(VLOOKUP(E762,SETTINGS!A:B,2,0),"No Value")</f>
        <v>No Value</v>
      </c>
      <c r="G331" s="5"/>
      <c r="H331" s="5"/>
      <c r="I331" s="5"/>
    </row>
    <row r="332" ht="15.75" customHeight="1">
      <c r="A332" s="19"/>
      <c r="B332" s="21" t="str">
        <f t="shared" si="2"/>
        <v/>
      </c>
      <c r="C332" s="22"/>
      <c r="D332" s="23"/>
      <c r="E332" s="22"/>
      <c r="F332" s="25" t="str">
        <f>IFERROR(VLOOKUP(E763,SETTINGS!A:B,2,0),"No Value")</f>
        <v>No Value</v>
      </c>
      <c r="G332" s="5"/>
      <c r="H332" s="5"/>
      <c r="I332" s="5"/>
    </row>
    <row r="333" ht="15.75" customHeight="1">
      <c r="A333" s="19"/>
      <c r="B333" s="21" t="str">
        <f t="shared" si="2"/>
        <v/>
      </c>
      <c r="C333" s="22"/>
      <c r="D333" s="23"/>
      <c r="E333" s="22"/>
      <c r="F333" s="25" t="str">
        <f>IFERROR(VLOOKUP(E764,SETTINGS!A:B,2,0),"No Value")</f>
        <v>No Value</v>
      </c>
      <c r="G333" s="5"/>
      <c r="H333" s="5"/>
      <c r="I333" s="5"/>
    </row>
    <row r="334" ht="15.75" customHeight="1">
      <c r="A334" s="19"/>
      <c r="B334" s="21" t="str">
        <f t="shared" si="2"/>
        <v/>
      </c>
      <c r="C334" s="22"/>
      <c r="D334" s="23"/>
      <c r="E334" s="22"/>
      <c r="F334" s="25" t="str">
        <f>IFERROR(VLOOKUP(E765,SETTINGS!A:B,2,0),"No Value")</f>
        <v>No Value</v>
      </c>
      <c r="G334" s="5"/>
      <c r="H334" s="5"/>
      <c r="I334" s="5"/>
    </row>
    <row r="335" ht="15.75" customHeight="1">
      <c r="A335" s="19"/>
      <c r="B335" s="21" t="str">
        <f t="shared" si="2"/>
        <v/>
      </c>
      <c r="C335" s="22"/>
      <c r="D335" s="23"/>
      <c r="E335" s="22"/>
      <c r="F335" s="25" t="str">
        <f>IFERROR(VLOOKUP(E766,SETTINGS!A:B,2,0),"No Value")</f>
        <v>No Value</v>
      </c>
      <c r="G335" s="5"/>
      <c r="H335" s="5"/>
      <c r="I335" s="5"/>
    </row>
    <row r="336" ht="15.75" customHeight="1">
      <c r="A336" s="19"/>
      <c r="B336" s="21" t="str">
        <f t="shared" si="2"/>
        <v/>
      </c>
      <c r="C336" s="22"/>
      <c r="D336" s="23"/>
      <c r="E336" s="22"/>
      <c r="F336" s="25" t="str">
        <f>IFERROR(VLOOKUP(E767,SETTINGS!A:B,2,0),"No Value")</f>
        <v>No Value</v>
      </c>
      <c r="G336" s="5"/>
      <c r="H336" s="5"/>
      <c r="I336" s="5"/>
    </row>
    <row r="337" ht="15.75" customHeight="1">
      <c r="A337" s="19"/>
      <c r="B337" s="21" t="str">
        <f t="shared" si="2"/>
        <v/>
      </c>
      <c r="C337" s="22"/>
      <c r="D337" s="23"/>
      <c r="E337" s="22"/>
      <c r="F337" s="25" t="str">
        <f>IFERROR(VLOOKUP(E768,SETTINGS!A:B,2,0),"No Value")</f>
        <v>No Value</v>
      </c>
      <c r="G337" s="5"/>
      <c r="H337" s="5"/>
      <c r="I337" s="5"/>
    </row>
    <row r="338" ht="15.75" customHeight="1">
      <c r="A338" s="19"/>
      <c r="B338" s="21" t="str">
        <f t="shared" si="2"/>
        <v/>
      </c>
      <c r="C338" s="22"/>
      <c r="D338" s="23"/>
      <c r="E338" s="22"/>
      <c r="F338" s="25" t="str">
        <f>IFERROR(VLOOKUP(E769,SETTINGS!A:B,2,0),"No Value")</f>
        <v>No Value</v>
      </c>
      <c r="G338" s="5"/>
      <c r="H338" s="5"/>
      <c r="I338" s="5"/>
    </row>
    <row r="339" ht="15.75" customHeight="1">
      <c r="A339" s="19"/>
      <c r="B339" s="21" t="str">
        <f t="shared" si="2"/>
        <v/>
      </c>
      <c r="C339" s="22"/>
      <c r="D339" s="23"/>
      <c r="E339" s="22"/>
      <c r="F339" s="25" t="str">
        <f>IFERROR(VLOOKUP(E770,SETTINGS!A:B,2,0),"No Value")</f>
        <v>No Value</v>
      </c>
      <c r="G339" s="5"/>
      <c r="H339" s="5"/>
      <c r="I339" s="5"/>
    </row>
    <row r="340" ht="15.75" customHeight="1">
      <c r="A340" s="19"/>
      <c r="B340" s="21" t="str">
        <f t="shared" si="2"/>
        <v/>
      </c>
      <c r="C340" s="22"/>
      <c r="D340" s="23"/>
      <c r="E340" s="22"/>
      <c r="F340" s="25" t="str">
        <f>IFERROR(VLOOKUP(E771,SETTINGS!A:B,2,0),"No Value")</f>
        <v>No Value</v>
      </c>
      <c r="G340" s="5"/>
      <c r="H340" s="5"/>
      <c r="I340" s="5"/>
    </row>
    <row r="341" ht="15.75" customHeight="1">
      <c r="A341" s="19"/>
      <c r="B341" s="21" t="str">
        <f t="shared" si="2"/>
        <v/>
      </c>
      <c r="C341" s="22"/>
      <c r="D341" s="23"/>
      <c r="E341" s="22"/>
      <c r="F341" s="25" t="str">
        <f>IFERROR(VLOOKUP(E772,SETTINGS!A:B,2,0),"No Value")</f>
        <v>No Value</v>
      </c>
      <c r="G341" s="5"/>
      <c r="H341" s="5"/>
      <c r="I341" s="5"/>
    </row>
    <row r="342" ht="15.75" customHeight="1">
      <c r="A342" s="19"/>
      <c r="B342" s="21" t="str">
        <f t="shared" si="2"/>
        <v/>
      </c>
      <c r="C342" s="22"/>
      <c r="D342" s="23"/>
      <c r="E342" s="22"/>
      <c r="F342" s="25" t="str">
        <f>IFERROR(VLOOKUP(E773,SETTINGS!A:B,2,0),"No Value")</f>
        <v>No Value</v>
      </c>
      <c r="G342" s="5"/>
      <c r="H342" s="5"/>
      <c r="I342" s="5"/>
    </row>
    <row r="343" ht="15.75" customHeight="1">
      <c r="A343" s="19"/>
      <c r="B343" s="21" t="str">
        <f t="shared" si="2"/>
        <v/>
      </c>
      <c r="C343" s="22"/>
      <c r="D343" s="23"/>
      <c r="E343" s="22"/>
      <c r="F343" s="25" t="str">
        <f>IFERROR(VLOOKUP(E774,SETTINGS!A:B,2,0),"No Value")</f>
        <v>No Value</v>
      </c>
      <c r="G343" s="5"/>
      <c r="H343" s="5"/>
      <c r="I343" s="5"/>
    </row>
    <row r="344" ht="15.75" customHeight="1">
      <c r="A344" s="19"/>
      <c r="B344" s="21" t="str">
        <f t="shared" si="2"/>
        <v/>
      </c>
      <c r="C344" s="22"/>
      <c r="D344" s="23"/>
      <c r="E344" s="22"/>
      <c r="F344" s="25" t="str">
        <f>IFERROR(VLOOKUP(E775,SETTINGS!A:B,2,0),"No Value")</f>
        <v>No Value</v>
      </c>
      <c r="G344" s="5"/>
      <c r="H344" s="5"/>
      <c r="I344" s="5"/>
    </row>
    <row r="345" ht="15.75" customHeight="1">
      <c r="A345" s="19"/>
      <c r="B345" s="21" t="str">
        <f t="shared" si="2"/>
        <v/>
      </c>
      <c r="C345" s="22"/>
      <c r="D345" s="23"/>
      <c r="E345" s="22"/>
      <c r="F345" s="25" t="str">
        <f>IFERROR(VLOOKUP(E776,SETTINGS!A:B,2,0),"No Value")</f>
        <v>No Value</v>
      </c>
      <c r="G345" s="5"/>
      <c r="H345" s="5"/>
      <c r="I345" s="5"/>
    </row>
    <row r="346" ht="15.75" customHeight="1">
      <c r="A346" s="19"/>
      <c r="B346" s="21" t="str">
        <f t="shared" si="2"/>
        <v/>
      </c>
      <c r="C346" s="22"/>
      <c r="D346" s="23"/>
      <c r="E346" s="22"/>
      <c r="F346" s="25" t="str">
        <f>IFERROR(VLOOKUP(E777,SETTINGS!A:B,2,0),"No Value")</f>
        <v>No Value</v>
      </c>
      <c r="G346" s="5"/>
      <c r="H346" s="5"/>
      <c r="I346" s="5"/>
    </row>
    <row r="347" ht="15.75" customHeight="1">
      <c r="A347" s="19"/>
      <c r="B347" s="21" t="str">
        <f t="shared" si="2"/>
        <v/>
      </c>
      <c r="C347" s="22"/>
      <c r="D347" s="23"/>
      <c r="E347" s="22"/>
      <c r="F347" s="25" t="str">
        <f>IFERROR(VLOOKUP(E778,SETTINGS!A:B,2,0),"No Value")</f>
        <v>No Value</v>
      </c>
      <c r="G347" s="5"/>
      <c r="H347" s="5"/>
      <c r="I347" s="5"/>
    </row>
    <row r="348" ht="15.75" customHeight="1">
      <c r="A348" s="19"/>
      <c r="B348" s="21" t="str">
        <f t="shared" si="2"/>
        <v/>
      </c>
      <c r="C348" s="22"/>
      <c r="D348" s="23"/>
      <c r="E348" s="22"/>
      <c r="F348" s="25" t="str">
        <f>IFERROR(VLOOKUP(E779,SETTINGS!A:B,2,0),"No Value")</f>
        <v>No Value</v>
      </c>
      <c r="G348" s="5"/>
      <c r="H348" s="5"/>
      <c r="I348" s="5"/>
    </row>
    <row r="349" ht="15.75" customHeight="1">
      <c r="A349" s="19"/>
      <c r="B349" s="21" t="str">
        <f t="shared" si="2"/>
        <v/>
      </c>
      <c r="C349" s="22"/>
      <c r="D349" s="23"/>
      <c r="E349" s="22"/>
      <c r="F349" s="25" t="str">
        <f>IFERROR(VLOOKUP(E780,SETTINGS!A:B,2,0),"No Value")</f>
        <v>No Value</v>
      </c>
      <c r="G349" s="5"/>
      <c r="H349" s="5"/>
      <c r="I349" s="5"/>
    </row>
    <row r="350" ht="15.75" customHeight="1">
      <c r="A350" s="19"/>
      <c r="B350" s="21" t="str">
        <f t="shared" si="2"/>
        <v/>
      </c>
      <c r="C350" s="22"/>
      <c r="D350" s="23"/>
      <c r="E350" s="22"/>
      <c r="F350" s="25" t="str">
        <f>IFERROR(VLOOKUP(E781,SETTINGS!A:B,2,0),"No Value")</f>
        <v>No Value</v>
      </c>
      <c r="G350" s="5"/>
      <c r="H350" s="5"/>
      <c r="I350" s="5"/>
    </row>
    <row r="351" ht="15.75" customHeight="1">
      <c r="A351" s="19"/>
      <c r="B351" s="21" t="str">
        <f t="shared" si="2"/>
        <v/>
      </c>
      <c r="C351" s="22"/>
      <c r="D351" s="23"/>
      <c r="E351" s="22"/>
      <c r="F351" s="25" t="str">
        <f>IFERROR(VLOOKUP(E782,SETTINGS!A:B,2,0),"No Value")</f>
        <v>No Value</v>
      </c>
      <c r="G351" s="5"/>
      <c r="H351" s="5"/>
      <c r="I351" s="5"/>
    </row>
    <row r="352" ht="15.75" customHeight="1">
      <c r="A352" s="19"/>
      <c r="B352" s="21" t="str">
        <f t="shared" si="2"/>
        <v/>
      </c>
      <c r="C352" s="22"/>
      <c r="D352" s="23"/>
      <c r="E352" s="22"/>
      <c r="F352" s="25" t="str">
        <f>IFERROR(VLOOKUP(E783,SETTINGS!A:B,2,0),"No Value")</f>
        <v>No Value</v>
      </c>
      <c r="G352" s="5"/>
      <c r="H352" s="5"/>
      <c r="I352" s="5"/>
    </row>
    <row r="353" ht="15.75" customHeight="1">
      <c r="A353" s="19"/>
      <c r="B353" s="21" t="str">
        <f t="shared" si="2"/>
        <v/>
      </c>
      <c r="C353" s="22"/>
      <c r="D353" s="23"/>
      <c r="E353" s="22"/>
      <c r="F353" s="25" t="str">
        <f>IFERROR(VLOOKUP(E784,SETTINGS!A:B,2,0),"No Value")</f>
        <v>No Value</v>
      </c>
      <c r="G353" s="5"/>
      <c r="H353" s="5"/>
      <c r="I353" s="5"/>
    </row>
    <row r="354" ht="15.75" customHeight="1">
      <c r="A354" s="19"/>
      <c r="B354" s="21" t="str">
        <f t="shared" si="2"/>
        <v/>
      </c>
      <c r="C354" s="22"/>
      <c r="D354" s="23"/>
      <c r="E354" s="22"/>
      <c r="F354" s="25" t="str">
        <f>IFERROR(VLOOKUP(E785,SETTINGS!A:B,2,0),"No Value")</f>
        <v>No Value</v>
      </c>
      <c r="G354" s="5"/>
      <c r="H354" s="5"/>
      <c r="I354" s="5"/>
    </row>
    <row r="355" ht="15.75" customHeight="1">
      <c r="A355" s="19"/>
      <c r="B355" s="21" t="str">
        <f t="shared" si="2"/>
        <v/>
      </c>
      <c r="C355" s="22"/>
      <c r="D355" s="23"/>
      <c r="E355" s="22"/>
      <c r="F355" s="25" t="str">
        <f>IFERROR(VLOOKUP(E786,SETTINGS!A:B,2,0),"No Value")</f>
        <v>No Value</v>
      </c>
      <c r="G355" s="5"/>
      <c r="H355" s="5"/>
      <c r="I355" s="5"/>
    </row>
    <row r="356" ht="15.75" customHeight="1">
      <c r="A356" s="19"/>
      <c r="B356" s="21" t="str">
        <f t="shared" si="2"/>
        <v/>
      </c>
      <c r="C356" s="22"/>
      <c r="D356" s="23"/>
      <c r="E356" s="22"/>
      <c r="F356" s="25" t="str">
        <f>IFERROR(VLOOKUP(E787,SETTINGS!A:B,2,0),"No Value")</f>
        <v>No Value</v>
      </c>
      <c r="G356" s="5"/>
      <c r="H356" s="5"/>
      <c r="I356" s="5"/>
    </row>
    <row r="357" ht="15.75" customHeight="1">
      <c r="A357" s="19"/>
      <c r="B357" s="21" t="str">
        <f t="shared" si="2"/>
        <v/>
      </c>
      <c r="C357" s="22"/>
      <c r="D357" s="23"/>
      <c r="E357" s="22"/>
      <c r="F357" s="25" t="str">
        <f>IFERROR(VLOOKUP(E788,SETTINGS!A:B,2,0),"No Value")</f>
        <v>No Value</v>
      </c>
      <c r="G357" s="5"/>
      <c r="H357" s="5"/>
      <c r="I357" s="5"/>
    </row>
    <row r="358" ht="15.75" customHeight="1">
      <c r="A358" s="19"/>
      <c r="B358" s="21" t="str">
        <f t="shared" si="2"/>
        <v/>
      </c>
      <c r="C358" s="22"/>
      <c r="D358" s="23"/>
      <c r="E358" s="22"/>
      <c r="F358" s="25" t="str">
        <f>IFERROR(VLOOKUP(E789,SETTINGS!A:B,2,0),"No Value")</f>
        <v>No Value</v>
      </c>
      <c r="G358" s="5"/>
      <c r="H358" s="5"/>
      <c r="I358" s="5"/>
    </row>
    <row r="359" ht="15.75" customHeight="1">
      <c r="A359" s="19"/>
      <c r="B359" s="21" t="str">
        <f t="shared" si="2"/>
        <v/>
      </c>
      <c r="C359" s="22"/>
      <c r="D359" s="23"/>
      <c r="E359" s="22"/>
      <c r="F359" s="25" t="str">
        <f>IFERROR(VLOOKUP(E790,SETTINGS!A:B,2,0),"No Value")</f>
        <v>No Value</v>
      </c>
      <c r="G359" s="5"/>
      <c r="H359" s="5"/>
      <c r="I359" s="5"/>
    </row>
    <row r="360" ht="15.75" customHeight="1">
      <c r="A360" s="19"/>
      <c r="B360" s="21" t="str">
        <f t="shared" si="2"/>
        <v/>
      </c>
      <c r="C360" s="22"/>
      <c r="D360" s="23"/>
      <c r="E360" s="22"/>
      <c r="F360" s="25" t="str">
        <f>IFERROR(VLOOKUP(E791,SETTINGS!A:B,2,0),"No Value")</f>
        <v>No Value</v>
      </c>
      <c r="G360" s="5"/>
      <c r="H360" s="5"/>
      <c r="I360" s="5"/>
    </row>
    <row r="361" ht="15.75" customHeight="1">
      <c r="A361" s="19"/>
      <c r="B361" s="21" t="str">
        <f t="shared" si="2"/>
        <v/>
      </c>
      <c r="C361" s="22"/>
      <c r="D361" s="23"/>
      <c r="E361" s="22"/>
      <c r="F361" s="25" t="str">
        <f>IFERROR(VLOOKUP(E792,SETTINGS!A:B,2,0),"No Value")</f>
        <v>No Value</v>
      </c>
      <c r="G361" s="5"/>
      <c r="H361" s="5"/>
      <c r="I361" s="5"/>
    </row>
    <row r="362" ht="15.75" customHeight="1">
      <c r="A362" s="19"/>
      <c r="B362" s="21" t="str">
        <f t="shared" si="2"/>
        <v/>
      </c>
      <c r="C362" s="22"/>
      <c r="D362" s="23"/>
      <c r="E362" s="22"/>
      <c r="F362" s="25" t="str">
        <f>IFERROR(VLOOKUP(E793,SETTINGS!A:B,2,0),"No Value")</f>
        <v>No Value</v>
      </c>
      <c r="G362" s="5"/>
      <c r="H362" s="5"/>
      <c r="I362" s="5"/>
    </row>
    <row r="363" ht="15.75" customHeight="1">
      <c r="A363" s="19"/>
      <c r="B363" s="21" t="str">
        <f t="shared" si="2"/>
        <v/>
      </c>
      <c r="C363" s="22"/>
      <c r="D363" s="23"/>
      <c r="E363" s="22"/>
      <c r="F363" s="25" t="str">
        <f>IFERROR(VLOOKUP(E794,SETTINGS!A:B,2,0),"No Value")</f>
        <v>No Value</v>
      </c>
      <c r="G363" s="5"/>
      <c r="H363" s="5"/>
      <c r="I363" s="5"/>
    </row>
    <row r="364" ht="15.75" customHeight="1">
      <c r="A364" s="19"/>
      <c r="B364" s="21" t="str">
        <f t="shared" si="2"/>
        <v/>
      </c>
      <c r="C364" s="22"/>
      <c r="D364" s="23"/>
      <c r="E364" s="22"/>
      <c r="F364" s="25" t="str">
        <f>IFERROR(VLOOKUP(E795,SETTINGS!A:B,2,0),"No Value")</f>
        <v>No Value</v>
      </c>
      <c r="G364" s="5"/>
      <c r="H364" s="5"/>
      <c r="I364" s="5"/>
    </row>
    <row r="365" ht="15.75" customHeight="1">
      <c r="A365" s="19"/>
      <c r="B365" s="21" t="str">
        <f t="shared" si="2"/>
        <v/>
      </c>
      <c r="C365" s="22"/>
      <c r="D365" s="23"/>
      <c r="E365" s="22"/>
      <c r="F365" s="25" t="str">
        <f>IFERROR(VLOOKUP(E796,SETTINGS!A:B,2,0),"No Value")</f>
        <v>No Value</v>
      </c>
      <c r="G365" s="5"/>
      <c r="H365" s="5"/>
      <c r="I365" s="5"/>
    </row>
    <row r="366" ht="15.75" customHeight="1">
      <c r="A366" s="19"/>
      <c r="B366" s="21" t="str">
        <f t="shared" si="2"/>
        <v/>
      </c>
      <c r="C366" s="22"/>
      <c r="D366" s="23"/>
      <c r="E366" s="22"/>
      <c r="F366" s="25" t="str">
        <f>IFERROR(VLOOKUP(E797,SETTINGS!A:B,2,0),"No Value")</f>
        <v>No Value</v>
      </c>
      <c r="G366" s="5"/>
      <c r="H366" s="5"/>
      <c r="I366" s="5"/>
    </row>
    <row r="367" ht="15.75" customHeight="1">
      <c r="A367" s="19"/>
      <c r="B367" s="21" t="str">
        <f t="shared" si="2"/>
        <v/>
      </c>
      <c r="C367" s="22"/>
      <c r="D367" s="23"/>
      <c r="E367" s="22"/>
      <c r="F367" s="25" t="str">
        <f>IFERROR(VLOOKUP(E798,SETTINGS!A:B,2,0),"No Value")</f>
        <v>No Value</v>
      </c>
      <c r="G367" s="5"/>
      <c r="H367" s="5"/>
      <c r="I367" s="5"/>
    </row>
    <row r="368" ht="15.75" customHeight="1">
      <c r="A368" s="19"/>
      <c r="B368" s="21" t="str">
        <f t="shared" si="2"/>
        <v/>
      </c>
      <c r="C368" s="22"/>
      <c r="D368" s="23"/>
      <c r="E368" s="22"/>
      <c r="F368" s="25" t="str">
        <f>IFERROR(VLOOKUP(E799,SETTINGS!A:B,2,0),"No Value")</f>
        <v>No Value</v>
      </c>
      <c r="G368" s="5"/>
      <c r="H368" s="5"/>
      <c r="I368" s="5"/>
    </row>
    <row r="369" ht="15.75" customHeight="1">
      <c r="A369" s="19"/>
      <c r="B369" s="21" t="str">
        <f t="shared" si="2"/>
        <v/>
      </c>
      <c r="C369" s="22"/>
      <c r="D369" s="23"/>
      <c r="E369" s="22"/>
      <c r="F369" s="25" t="str">
        <f>IFERROR(VLOOKUP(E800,SETTINGS!A:B,2,0),"No Value")</f>
        <v>No Value</v>
      </c>
      <c r="G369" s="5"/>
      <c r="H369" s="5"/>
      <c r="I369" s="5"/>
    </row>
    <row r="370" ht="15.75" customHeight="1">
      <c r="A370" s="19"/>
      <c r="B370" s="21" t="str">
        <f t="shared" si="2"/>
        <v/>
      </c>
      <c r="C370" s="22"/>
      <c r="D370" s="23"/>
      <c r="E370" s="22"/>
      <c r="F370" s="25" t="str">
        <f>IFERROR(VLOOKUP(E801,SETTINGS!A:B,2,0),"No Value")</f>
        <v>No Value</v>
      </c>
      <c r="G370" s="5"/>
      <c r="H370" s="5"/>
      <c r="I370" s="5"/>
    </row>
    <row r="371" ht="15.75" customHeight="1">
      <c r="A371" s="19"/>
      <c r="B371" s="21" t="str">
        <f t="shared" si="2"/>
        <v/>
      </c>
      <c r="C371" s="22"/>
      <c r="D371" s="23"/>
      <c r="E371" s="22"/>
      <c r="F371" s="25" t="str">
        <f>IFERROR(VLOOKUP(E802,SETTINGS!A:B,2,0),"No Value")</f>
        <v>No Value</v>
      </c>
      <c r="G371" s="5"/>
      <c r="H371" s="5"/>
      <c r="I371" s="5"/>
    </row>
    <row r="372" ht="15.75" customHeight="1">
      <c r="A372" s="19"/>
      <c r="B372" s="21" t="str">
        <f t="shared" si="2"/>
        <v/>
      </c>
      <c r="C372" s="22"/>
      <c r="D372" s="23"/>
      <c r="E372" s="22"/>
      <c r="F372" s="25" t="str">
        <f>IFERROR(VLOOKUP(E803,SETTINGS!A:B,2,0),"No Value")</f>
        <v>No Value</v>
      </c>
      <c r="G372" s="5"/>
      <c r="H372" s="5"/>
      <c r="I372" s="5"/>
    </row>
    <row r="373" ht="15.75" customHeight="1">
      <c r="A373" s="19"/>
      <c r="B373" s="21" t="str">
        <f t="shared" si="2"/>
        <v/>
      </c>
      <c r="C373" s="22"/>
      <c r="D373" s="23"/>
      <c r="E373" s="22"/>
      <c r="F373" s="25" t="str">
        <f>IFERROR(VLOOKUP(E804,SETTINGS!A:B,2,0),"No Value")</f>
        <v>No Value</v>
      </c>
      <c r="G373" s="5"/>
      <c r="H373" s="5"/>
      <c r="I373" s="5"/>
    </row>
    <row r="374" ht="15.75" customHeight="1">
      <c r="A374" s="19"/>
      <c r="B374" s="21" t="str">
        <f t="shared" si="2"/>
        <v/>
      </c>
      <c r="C374" s="22"/>
      <c r="D374" s="23"/>
      <c r="E374" s="22"/>
      <c r="F374" s="25" t="str">
        <f>IFERROR(VLOOKUP(E805,SETTINGS!A:B,2,0),"No Value")</f>
        <v>No Value</v>
      </c>
      <c r="G374" s="5"/>
      <c r="H374" s="5"/>
      <c r="I374" s="5"/>
    </row>
    <row r="375" ht="15.75" customHeight="1">
      <c r="A375" s="19"/>
      <c r="B375" s="21" t="str">
        <f t="shared" si="2"/>
        <v/>
      </c>
      <c r="C375" s="22"/>
      <c r="D375" s="23"/>
      <c r="E375" s="22"/>
      <c r="F375" s="25" t="str">
        <f>IFERROR(VLOOKUP(E806,SETTINGS!A:B,2,0),"No Value")</f>
        <v>No Value</v>
      </c>
      <c r="G375" s="5"/>
      <c r="H375" s="5"/>
      <c r="I375" s="5"/>
    </row>
    <row r="376" ht="15.75" customHeight="1">
      <c r="A376" s="19"/>
      <c r="B376" s="21" t="str">
        <f t="shared" si="2"/>
        <v/>
      </c>
      <c r="C376" s="22"/>
      <c r="D376" s="23"/>
      <c r="E376" s="22"/>
      <c r="F376" s="25" t="str">
        <f>IFERROR(VLOOKUP(E807,SETTINGS!A:B,2,0),"No Value")</f>
        <v>No Value</v>
      </c>
      <c r="G376" s="5"/>
      <c r="H376" s="5"/>
      <c r="I376" s="5"/>
    </row>
    <row r="377" ht="15.75" customHeight="1">
      <c r="A377" s="19"/>
      <c r="B377" s="21" t="str">
        <f t="shared" si="2"/>
        <v/>
      </c>
      <c r="C377" s="22"/>
      <c r="D377" s="23"/>
      <c r="E377" s="22"/>
      <c r="F377" s="25" t="str">
        <f>IFERROR(VLOOKUP(E808,SETTINGS!A:B,2,0),"No Value")</f>
        <v>No Value</v>
      </c>
      <c r="G377" s="5"/>
      <c r="H377" s="5"/>
      <c r="I377" s="5"/>
    </row>
    <row r="378" ht="15.75" customHeight="1">
      <c r="A378" s="19"/>
      <c r="B378" s="21" t="str">
        <f t="shared" si="2"/>
        <v/>
      </c>
      <c r="C378" s="22"/>
      <c r="D378" s="23"/>
      <c r="E378" s="22"/>
      <c r="F378" s="25" t="str">
        <f>IFERROR(VLOOKUP(E809,SETTINGS!A:B,2,0),"No Value")</f>
        <v>No Value</v>
      </c>
      <c r="G378" s="5"/>
      <c r="H378" s="5"/>
      <c r="I378" s="5"/>
    </row>
    <row r="379" ht="15.75" customHeight="1">
      <c r="A379" s="19"/>
      <c r="B379" s="21" t="str">
        <f t="shared" si="2"/>
        <v/>
      </c>
      <c r="C379" s="22"/>
      <c r="D379" s="23"/>
      <c r="E379" s="22"/>
      <c r="F379" s="25" t="str">
        <f>IFERROR(VLOOKUP(E810,SETTINGS!A:B,2,0),"No Value")</f>
        <v>No Value</v>
      </c>
      <c r="G379" s="5"/>
      <c r="H379" s="5"/>
      <c r="I379" s="5"/>
    </row>
    <row r="380" ht="15.75" customHeight="1">
      <c r="A380" s="19"/>
      <c r="B380" s="21" t="str">
        <f t="shared" si="2"/>
        <v/>
      </c>
      <c r="C380" s="22"/>
      <c r="D380" s="23"/>
      <c r="E380" s="22"/>
      <c r="F380" s="25" t="str">
        <f>IFERROR(VLOOKUP(E811,SETTINGS!A:B,2,0),"No Value")</f>
        <v>No Value</v>
      </c>
      <c r="G380" s="5"/>
      <c r="H380" s="5"/>
      <c r="I380" s="5"/>
    </row>
    <row r="381" ht="15.75" customHeight="1">
      <c r="A381" s="19"/>
      <c r="B381" s="21" t="str">
        <f t="shared" si="2"/>
        <v/>
      </c>
      <c r="C381" s="22"/>
      <c r="D381" s="23"/>
      <c r="E381" s="22"/>
      <c r="F381" s="25" t="str">
        <f>IFERROR(VLOOKUP(E812,SETTINGS!A:B,2,0),"No Value")</f>
        <v>No Value</v>
      </c>
      <c r="G381" s="5"/>
      <c r="H381" s="5"/>
      <c r="I381" s="5"/>
    </row>
    <row r="382" ht="15.75" customHeight="1">
      <c r="A382" s="19"/>
      <c r="B382" s="21" t="str">
        <f t="shared" si="2"/>
        <v/>
      </c>
      <c r="C382" s="22"/>
      <c r="D382" s="23"/>
      <c r="E382" s="22"/>
      <c r="F382" s="25" t="str">
        <f>IFERROR(VLOOKUP(E813,SETTINGS!A:B,2,0),"No Value")</f>
        <v>No Value</v>
      </c>
      <c r="G382" s="5"/>
      <c r="H382" s="5"/>
      <c r="I382" s="5"/>
    </row>
    <row r="383" ht="15.75" customHeight="1">
      <c r="A383" s="19"/>
      <c r="B383" s="21" t="str">
        <f t="shared" si="2"/>
        <v/>
      </c>
      <c r="C383" s="22"/>
      <c r="D383" s="23"/>
      <c r="E383" s="22"/>
      <c r="F383" s="25" t="str">
        <f>IFERROR(VLOOKUP(E814,SETTINGS!A:B,2,0),"No Value")</f>
        <v>No Value</v>
      </c>
      <c r="G383" s="5"/>
      <c r="H383" s="5"/>
      <c r="I383" s="5"/>
    </row>
    <row r="384" ht="15.75" customHeight="1">
      <c r="A384" s="19"/>
      <c r="B384" s="21" t="str">
        <f t="shared" si="2"/>
        <v/>
      </c>
      <c r="C384" s="22"/>
      <c r="D384" s="23"/>
      <c r="E384" s="22"/>
      <c r="F384" s="25" t="str">
        <f>IFERROR(VLOOKUP(E815,SETTINGS!A:B,2,0),"No Value")</f>
        <v>No Value</v>
      </c>
      <c r="G384" s="5"/>
      <c r="H384" s="5"/>
      <c r="I384" s="5"/>
    </row>
    <row r="385" ht="15.75" customHeight="1">
      <c r="A385" s="19"/>
      <c r="B385" s="21" t="str">
        <f t="shared" si="2"/>
        <v/>
      </c>
      <c r="C385" s="22"/>
      <c r="D385" s="23"/>
      <c r="E385" s="22"/>
      <c r="F385" s="25" t="str">
        <f>IFERROR(VLOOKUP(E816,SETTINGS!A:B,2,0),"No Value")</f>
        <v>No Value</v>
      </c>
      <c r="G385" s="5"/>
      <c r="H385" s="5"/>
      <c r="I385" s="5"/>
    </row>
    <row r="386" ht="15.75" customHeight="1">
      <c r="A386" s="19"/>
      <c r="B386" s="21" t="str">
        <f t="shared" si="2"/>
        <v/>
      </c>
      <c r="C386" s="22"/>
      <c r="D386" s="23"/>
      <c r="E386" s="22"/>
      <c r="F386" s="25" t="str">
        <f>IFERROR(VLOOKUP(E817,SETTINGS!A:B,2,0),"No Value")</f>
        <v>No Value</v>
      </c>
      <c r="G386" s="5"/>
      <c r="H386" s="5"/>
      <c r="I386" s="5"/>
    </row>
    <row r="387" ht="15.75" customHeight="1">
      <c r="A387" s="19"/>
      <c r="B387" s="21" t="str">
        <f t="shared" si="2"/>
        <v/>
      </c>
      <c r="C387" s="22"/>
      <c r="D387" s="23"/>
      <c r="E387" s="22"/>
      <c r="F387" s="25" t="str">
        <f>IFERROR(VLOOKUP(E818,SETTINGS!A:B,2,0),"No Value")</f>
        <v>No Value</v>
      </c>
      <c r="G387" s="5"/>
      <c r="H387" s="5"/>
      <c r="I387" s="5"/>
    </row>
    <row r="388" ht="15.75" customHeight="1">
      <c r="A388" s="19"/>
      <c r="B388" s="21" t="str">
        <f t="shared" si="2"/>
        <v/>
      </c>
      <c r="C388" s="22"/>
      <c r="D388" s="23"/>
      <c r="E388" s="22"/>
      <c r="F388" s="25" t="str">
        <f>IFERROR(VLOOKUP(E819,SETTINGS!A:B,2,0),"No Value")</f>
        <v>No Value</v>
      </c>
      <c r="G388" s="5"/>
      <c r="H388" s="5"/>
      <c r="I388" s="5"/>
    </row>
    <row r="389" ht="15.75" customHeight="1">
      <c r="A389" s="19"/>
      <c r="B389" s="21" t="str">
        <f t="shared" si="2"/>
        <v/>
      </c>
      <c r="C389" s="22"/>
      <c r="D389" s="23"/>
      <c r="E389" s="22"/>
      <c r="F389" s="25" t="str">
        <f>IFERROR(VLOOKUP(E820,SETTINGS!A:B,2,0),"No Value")</f>
        <v>No Value</v>
      </c>
      <c r="G389" s="5"/>
      <c r="H389" s="5"/>
      <c r="I389" s="5"/>
    </row>
    <row r="390" ht="15.75" customHeight="1">
      <c r="A390" s="19"/>
      <c r="B390" s="21" t="str">
        <f t="shared" si="2"/>
        <v/>
      </c>
      <c r="C390" s="22"/>
      <c r="D390" s="23"/>
      <c r="E390" s="22"/>
      <c r="F390" s="25" t="str">
        <f>IFERROR(VLOOKUP(E821,SETTINGS!A:B,2,0),"No Value")</f>
        <v>No Value</v>
      </c>
      <c r="G390" s="5"/>
      <c r="H390" s="5"/>
      <c r="I390" s="5"/>
    </row>
    <row r="391" ht="15.75" customHeight="1">
      <c r="A391" s="19"/>
      <c r="B391" s="21" t="str">
        <f t="shared" si="2"/>
        <v/>
      </c>
      <c r="C391" s="22"/>
      <c r="D391" s="23"/>
      <c r="E391" s="22"/>
      <c r="F391" s="25" t="str">
        <f>IFERROR(VLOOKUP(E822,SETTINGS!A:B,2,0),"No Value")</f>
        <v>No Value</v>
      </c>
      <c r="G391" s="5"/>
      <c r="H391" s="5"/>
      <c r="I391" s="5"/>
    </row>
    <row r="392" ht="15.75" customHeight="1">
      <c r="A392" s="19"/>
      <c r="B392" s="21" t="str">
        <f t="shared" si="2"/>
        <v/>
      </c>
      <c r="C392" s="22"/>
      <c r="D392" s="23"/>
      <c r="E392" s="22"/>
      <c r="F392" s="25" t="str">
        <f>IFERROR(VLOOKUP(E823,SETTINGS!A:B,2,0),"No Value")</f>
        <v>No Value</v>
      </c>
      <c r="G392" s="5"/>
      <c r="H392" s="5"/>
      <c r="I392" s="5"/>
    </row>
    <row r="393" ht="15.75" customHeight="1">
      <c r="A393" s="19"/>
      <c r="B393" s="21" t="str">
        <f t="shared" si="2"/>
        <v/>
      </c>
      <c r="C393" s="22"/>
      <c r="D393" s="23"/>
      <c r="E393" s="22"/>
      <c r="F393" s="25" t="str">
        <f>IFERROR(VLOOKUP(E824,SETTINGS!A:B,2,0),"No Value")</f>
        <v>No Value</v>
      </c>
      <c r="G393" s="5"/>
      <c r="H393" s="5"/>
      <c r="I393" s="5"/>
    </row>
    <row r="394" ht="15.75" customHeight="1">
      <c r="A394" s="19"/>
      <c r="B394" s="21" t="str">
        <f t="shared" si="2"/>
        <v/>
      </c>
      <c r="C394" s="22"/>
      <c r="D394" s="23"/>
      <c r="E394" s="22"/>
      <c r="F394" s="25" t="str">
        <f>IFERROR(VLOOKUP(E825,SETTINGS!A:B,2,0),"No Value")</f>
        <v>No Value</v>
      </c>
      <c r="G394" s="5"/>
      <c r="H394" s="5"/>
      <c r="I394" s="5"/>
    </row>
    <row r="395" ht="15.75" customHeight="1">
      <c r="A395" s="19"/>
      <c r="B395" s="21" t="str">
        <f t="shared" si="2"/>
        <v/>
      </c>
      <c r="C395" s="22"/>
      <c r="D395" s="23"/>
      <c r="E395" s="22"/>
      <c r="F395" s="25" t="str">
        <f>IFERROR(VLOOKUP(E826,SETTINGS!A:B,2,0),"No Value")</f>
        <v>No Value</v>
      </c>
      <c r="G395" s="5"/>
      <c r="H395" s="5"/>
      <c r="I395" s="5"/>
    </row>
    <row r="396" ht="15.75" customHeight="1">
      <c r="A396" s="19"/>
      <c r="B396" s="21" t="str">
        <f t="shared" si="2"/>
        <v/>
      </c>
      <c r="C396" s="22"/>
      <c r="D396" s="23"/>
      <c r="E396" s="22"/>
      <c r="F396" s="25" t="str">
        <f>IFERROR(VLOOKUP(E827,SETTINGS!A:B,2,0),"No Value")</f>
        <v>No Value</v>
      </c>
      <c r="G396" s="5"/>
      <c r="H396" s="5"/>
      <c r="I396" s="5"/>
    </row>
    <row r="397" ht="15.75" customHeight="1">
      <c r="A397" s="19"/>
      <c r="B397" s="21" t="str">
        <f t="shared" si="2"/>
        <v/>
      </c>
      <c r="C397" s="22"/>
      <c r="D397" s="23"/>
      <c r="E397" s="22"/>
      <c r="F397" s="25" t="str">
        <f>IFERROR(VLOOKUP(E828,SETTINGS!A:B,2,0),"No Value")</f>
        <v>No Value</v>
      </c>
      <c r="G397" s="5"/>
      <c r="H397" s="5"/>
      <c r="I397" s="5"/>
    </row>
    <row r="398" ht="15.75" customHeight="1">
      <c r="A398" s="19"/>
      <c r="B398" s="21" t="str">
        <f t="shared" si="2"/>
        <v/>
      </c>
      <c r="C398" s="22"/>
      <c r="D398" s="23"/>
      <c r="E398" s="22"/>
      <c r="F398" s="25" t="str">
        <f>IFERROR(VLOOKUP(E829,SETTINGS!A:B,2,0),"No Value")</f>
        <v>No Value</v>
      </c>
      <c r="G398" s="5"/>
      <c r="H398" s="5"/>
      <c r="I398" s="5"/>
    </row>
    <row r="399" ht="15.75" customHeight="1">
      <c r="A399" s="19"/>
      <c r="B399" s="21" t="str">
        <f t="shared" si="2"/>
        <v/>
      </c>
      <c r="C399" s="22"/>
      <c r="D399" s="23"/>
      <c r="E399" s="22"/>
      <c r="F399" s="25" t="str">
        <f>IFERROR(VLOOKUP(E830,SETTINGS!A:B,2,0),"No Value")</f>
        <v>No Value</v>
      </c>
      <c r="G399" s="5"/>
      <c r="H399" s="5"/>
      <c r="I399" s="5"/>
    </row>
    <row r="400" ht="15.75" customHeight="1">
      <c r="A400" s="19"/>
      <c r="B400" s="21" t="str">
        <f t="shared" si="2"/>
        <v/>
      </c>
      <c r="C400" s="22"/>
      <c r="D400" s="23"/>
      <c r="E400" s="22"/>
      <c r="F400" s="25" t="str">
        <f>IFERROR(VLOOKUP(E831,SETTINGS!A:B,2,0),"No Value")</f>
        <v>No Value</v>
      </c>
      <c r="G400" s="5"/>
      <c r="H400" s="5"/>
      <c r="I400" s="5"/>
    </row>
    <row r="401" ht="15.75" customHeight="1">
      <c r="A401" s="19"/>
      <c r="B401" s="21" t="str">
        <f t="shared" si="2"/>
        <v/>
      </c>
      <c r="C401" s="22"/>
      <c r="D401" s="23"/>
      <c r="E401" s="22"/>
      <c r="F401" s="25" t="str">
        <f>IFERROR(VLOOKUP(E832,SETTINGS!A:B,2,0),"No Value")</f>
        <v>No Value</v>
      </c>
      <c r="G401" s="5"/>
      <c r="H401" s="5"/>
      <c r="I401" s="5"/>
    </row>
    <row r="402" ht="15.75" customHeight="1">
      <c r="A402" s="19"/>
      <c r="B402" s="21" t="str">
        <f t="shared" si="2"/>
        <v/>
      </c>
      <c r="C402" s="22"/>
      <c r="D402" s="23"/>
      <c r="E402" s="22"/>
      <c r="F402" s="25" t="str">
        <f>IFERROR(VLOOKUP(E833,SETTINGS!A:B,2,0),"No Value")</f>
        <v>No Value</v>
      </c>
      <c r="G402" s="5"/>
      <c r="H402" s="5"/>
      <c r="I402" s="5"/>
    </row>
    <row r="403" ht="15.75" customHeight="1">
      <c r="A403" s="19"/>
      <c r="B403" s="21" t="str">
        <f t="shared" si="2"/>
        <v/>
      </c>
      <c r="C403" s="22"/>
      <c r="D403" s="23"/>
      <c r="E403" s="22"/>
      <c r="F403" s="25" t="str">
        <f>IFERROR(VLOOKUP(E834,SETTINGS!A:B,2,0),"No Value")</f>
        <v>No Value</v>
      </c>
      <c r="G403" s="5"/>
      <c r="H403" s="5"/>
      <c r="I403" s="5"/>
    </row>
    <row r="404" ht="15.75" customHeight="1">
      <c r="A404" s="19"/>
      <c r="B404" s="21" t="str">
        <f t="shared" si="2"/>
        <v/>
      </c>
      <c r="C404" s="22"/>
      <c r="D404" s="23"/>
      <c r="E404" s="22"/>
      <c r="F404" s="25" t="str">
        <f>IFERROR(VLOOKUP(E835,SETTINGS!A:B,2,0),"No Value")</f>
        <v>No Value</v>
      </c>
      <c r="G404" s="5"/>
      <c r="H404" s="5"/>
      <c r="I404" s="5"/>
    </row>
    <row r="405" ht="15.75" customHeight="1">
      <c r="A405" s="19"/>
      <c r="B405" s="21" t="str">
        <f t="shared" si="2"/>
        <v/>
      </c>
      <c r="C405" s="22"/>
      <c r="D405" s="23"/>
      <c r="E405" s="22"/>
      <c r="F405" s="25" t="str">
        <f>IFERROR(VLOOKUP(E836,SETTINGS!A:B,2,0),"No Value")</f>
        <v>No Value</v>
      </c>
      <c r="G405" s="5"/>
      <c r="H405" s="5"/>
      <c r="I405" s="5"/>
    </row>
    <row r="406" ht="15.75" customHeight="1">
      <c r="A406" s="19"/>
      <c r="B406" s="21" t="str">
        <f t="shared" si="2"/>
        <v/>
      </c>
      <c r="C406" s="22"/>
      <c r="D406" s="23"/>
      <c r="E406" s="22"/>
      <c r="F406" s="25" t="str">
        <f>IFERROR(VLOOKUP(E837,SETTINGS!A:B,2,0),"No Value")</f>
        <v>No Value</v>
      </c>
      <c r="G406" s="5"/>
      <c r="H406" s="5"/>
      <c r="I406" s="5"/>
    </row>
    <row r="407" ht="15.75" customHeight="1">
      <c r="A407" s="19"/>
      <c r="B407" s="21" t="str">
        <f t="shared" si="2"/>
        <v/>
      </c>
      <c r="C407" s="22"/>
      <c r="D407" s="23"/>
      <c r="E407" s="22"/>
      <c r="F407" s="25" t="str">
        <f>IFERROR(VLOOKUP(E838,SETTINGS!A:B,2,0),"No Value")</f>
        <v>No Value</v>
      </c>
      <c r="G407" s="5"/>
      <c r="H407" s="5"/>
      <c r="I407" s="5"/>
    </row>
    <row r="408" ht="15.75" customHeight="1">
      <c r="A408" s="19"/>
      <c r="B408" s="21" t="str">
        <f t="shared" si="2"/>
        <v/>
      </c>
      <c r="C408" s="22"/>
      <c r="D408" s="23"/>
      <c r="E408" s="22"/>
      <c r="F408" s="25" t="str">
        <f>IFERROR(VLOOKUP(E839,SETTINGS!A:B,2,0),"No Value")</f>
        <v>No Value</v>
      </c>
      <c r="G408" s="5"/>
      <c r="H408" s="5"/>
      <c r="I408" s="5"/>
    </row>
    <row r="409" ht="15.75" customHeight="1">
      <c r="A409" s="19"/>
      <c r="B409" s="21" t="str">
        <f t="shared" si="2"/>
        <v/>
      </c>
      <c r="C409" s="22"/>
      <c r="D409" s="23"/>
      <c r="E409" s="22"/>
      <c r="F409" s="25" t="str">
        <f>IFERROR(VLOOKUP(E840,SETTINGS!A:B,2,0),"No Value")</f>
        <v>No Value</v>
      </c>
      <c r="G409" s="5"/>
      <c r="H409" s="5"/>
      <c r="I409" s="5"/>
    </row>
    <row r="410" ht="15.75" customHeight="1">
      <c r="A410" s="19"/>
      <c r="B410" s="21" t="str">
        <f t="shared" si="2"/>
        <v/>
      </c>
      <c r="C410" s="22"/>
      <c r="D410" s="23"/>
      <c r="E410" s="22"/>
      <c r="F410" s="25" t="str">
        <f>IFERROR(VLOOKUP(E841,SETTINGS!A:B,2,0),"No Value")</f>
        <v>No Value</v>
      </c>
      <c r="G410" s="5"/>
      <c r="H410" s="5"/>
      <c r="I410" s="5"/>
    </row>
    <row r="411" ht="15.75" customHeight="1">
      <c r="A411" s="19"/>
      <c r="B411" s="21" t="str">
        <f t="shared" si="2"/>
        <v/>
      </c>
      <c r="C411" s="22"/>
      <c r="D411" s="23"/>
      <c r="E411" s="22"/>
      <c r="F411" s="25" t="str">
        <f>IFERROR(VLOOKUP(E842,SETTINGS!A:B,2,0),"No Value")</f>
        <v>No Value</v>
      </c>
      <c r="G411" s="5"/>
      <c r="H411" s="5"/>
      <c r="I411" s="5"/>
    </row>
    <row r="412" ht="15.75" customHeight="1">
      <c r="A412" s="19"/>
      <c r="B412" s="21" t="str">
        <f t="shared" si="2"/>
        <v/>
      </c>
      <c r="C412" s="22"/>
      <c r="D412" s="23"/>
      <c r="E412" s="22"/>
      <c r="F412" s="25" t="str">
        <f>IFERROR(VLOOKUP(E843,SETTINGS!A:B,2,0),"No Value")</f>
        <v>No Value</v>
      </c>
      <c r="G412" s="5"/>
      <c r="H412" s="5"/>
      <c r="I412" s="5"/>
    </row>
    <row r="413" ht="15.75" customHeight="1">
      <c r="A413" s="19"/>
      <c r="B413" s="21" t="str">
        <f t="shared" si="2"/>
        <v/>
      </c>
      <c r="C413" s="22"/>
      <c r="D413" s="23"/>
      <c r="E413" s="22"/>
      <c r="F413" s="25" t="str">
        <f>IFERROR(VLOOKUP(E844,SETTINGS!A:B,2,0),"No Value")</f>
        <v>No Value</v>
      </c>
      <c r="G413" s="5"/>
      <c r="H413" s="5"/>
      <c r="I413" s="5"/>
    </row>
    <row r="414" ht="15.75" customHeight="1">
      <c r="A414" s="19"/>
      <c r="B414" s="21" t="str">
        <f t="shared" si="2"/>
        <v/>
      </c>
      <c r="C414" s="22"/>
      <c r="D414" s="23"/>
      <c r="E414" s="22"/>
      <c r="F414" s="25" t="str">
        <f>IFERROR(VLOOKUP(E845,SETTINGS!A:B,2,0),"No Value")</f>
        <v>No Value</v>
      </c>
      <c r="G414" s="5"/>
      <c r="H414" s="5"/>
      <c r="I414" s="5"/>
    </row>
    <row r="415" ht="15.75" customHeight="1">
      <c r="A415" s="19"/>
      <c r="B415" s="21" t="str">
        <f t="shared" si="2"/>
        <v/>
      </c>
      <c r="C415" s="22"/>
      <c r="D415" s="23"/>
      <c r="E415" s="22"/>
      <c r="F415" s="25" t="str">
        <f>IFERROR(VLOOKUP(E846,SETTINGS!A:B,2,0),"No Value")</f>
        <v>No Value</v>
      </c>
      <c r="G415" s="5"/>
      <c r="H415" s="5"/>
      <c r="I415" s="5"/>
    </row>
    <row r="416" ht="15.75" customHeight="1">
      <c r="A416" s="19"/>
      <c r="B416" s="21" t="str">
        <f t="shared" si="2"/>
        <v/>
      </c>
      <c r="C416" s="22"/>
      <c r="D416" s="23"/>
      <c r="E416" s="22"/>
      <c r="F416" s="25" t="str">
        <f>IFERROR(VLOOKUP(E847,SETTINGS!A:B,2,0),"No Value")</f>
        <v>No Value</v>
      </c>
      <c r="G416" s="5"/>
      <c r="H416" s="5"/>
      <c r="I416" s="5"/>
    </row>
    <row r="417" ht="15.75" customHeight="1">
      <c r="A417" s="19"/>
      <c r="B417" s="21" t="str">
        <f t="shared" si="2"/>
        <v/>
      </c>
      <c r="C417" s="22"/>
      <c r="D417" s="23"/>
      <c r="E417" s="22"/>
      <c r="F417" s="25" t="str">
        <f>IFERROR(VLOOKUP(E848,SETTINGS!A:B,2,0),"No Value")</f>
        <v>No Value</v>
      </c>
      <c r="G417" s="5"/>
      <c r="H417" s="5"/>
      <c r="I417" s="5"/>
    </row>
    <row r="418" ht="15.75" customHeight="1">
      <c r="A418" s="19"/>
      <c r="B418" s="21" t="str">
        <f t="shared" si="2"/>
        <v/>
      </c>
      <c r="C418" s="22"/>
      <c r="D418" s="23"/>
      <c r="E418" s="22"/>
      <c r="F418" s="25" t="str">
        <f>IFERROR(VLOOKUP(E849,SETTINGS!A:B,2,0),"No Value")</f>
        <v>No Value</v>
      </c>
      <c r="G418" s="5"/>
      <c r="H418" s="5"/>
      <c r="I418" s="5"/>
    </row>
    <row r="419" ht="15.75" customHeight="1">
      <c r="A419" s="19"/>
      <c r="B419" s="21" t="str">
        <f t="shared" si="2"/>
        <v/>
      </c>
      <c r="C419" s="22"/>
      <c r="D419" s="23"/>
      <c r="E419" s="22"/>
      <c r="F419" s="25" t="str">
        <f>IFERROR(VLOOKUP(E850,SETTINGS!A:B,2,0),"No Value")</f>
        <v>No Value</v>
      </c>
      <c r="G419" s="5"/>
      <c r="H419" s="5"/>
      <c r="I419" s="5"/>
    </row>
    <row r="420" ht="15.75" customHeight="1">
      <c r="A420" s="19"/>
      <c r="B420" s="21" t="str">
        <f t="shared" si="2"/>
        <v/>
      </c>
      <c r="C420" s="22"/>
      <c r="D420" s="23"/>
      <c r="E420" s="22"/>
      <c r="F420" s="25" t="str">
        <f>IFERROR(VLOOKUP(E851,SETTINGS!A:B,2,0),"No Value")</f>
        <v>No Value</v>
      </c>
      <c r="G420" s="5"/>
      <c r="H420" s="5"/>
      <c r="I420" s="5"/>
    </row>
    <row r="421" ht="15.75" customHeight="1">
      <c r="A421" s="19"/>
      <c r="B421" s="21" t="str">
        <f t="shared" si="2"/>
        <v/>
      </c>
      <c r="C421" s="22"/>
      <c r="D421" s="23"/>
      <c r="E421" s="22"/>
      <c r="F421" s="25" t="str">
        <f>IFERROR(VLOOKUP(E852,SETTINGS!A:B,2,0),"No Value")</f>
        <v>No Value</v>
      </c>
      <c r="G421" s="5"/>
      <c r="H421" s="5"/>
      <c r="I421" s="5"/>
    </row>
    <row r="422" ht="15.75" customHeight="1">
      <c r="A422" s="19"/>
      <c r="B422" s="21" t="str">
        <f t="shared" si="2"/>
        <v/>
      </c>
      <c r="C422" s="22"/>
      <c r="D422" s="23"/>
      <c r="E422" s="22"/>
      <c r="F422" s="25" t="str">
        <f>IFERROR(VLOOKUP(E853,SETTINGS!A:B,2,0),"No Value")</f>
        <v>No Value</v>
      </c>
      <c r="G422" s="5"/>
      <c r="H422" s="5"/>
      <c r="I422" s="5"/>
    </row>
    <row r="423" ht="15.75" customHeight="1">
      <c r="A423" s="19"/>
      <c r="B423" s="21" t="str">
        <f t="shared" si="2"/>
        <v/>
      </c>
      <c r="C423" s="22"/>
      <c r="D423" s="23"/>
      <c r="E423" s="22"/>
      <c r="F423" s="25" t="str">
        <f>IFERROR(VLOOKUP(E854,SETTINGS!A:B,2,0),"No Value")</f>
        <v>No Value</v>
      </c>
      <c r="G423" s="5"/>
      <c r="H423" s="5"/>
      <c r="I423" s="5"/>
    </row>
    <row r="424" ht="15.75" customHeight="1">
      <c r="A424" s="19"/>
      <c r="B424" s="21" t="str">
        <f t="shared" si="2"/>
        <v/>
      </c>
      <c r="C424" s="22"/>
      <c r="D424" s="23"/>
      <c r="E424" s="22"/>
      <c r="F424" s="25" t="str">
        <f>IFERROR(VLOOKUP(E855,SETTINGS!A:B,2,0),"No Value")</f>
        <v>No Value</v>
      </c>
      <c r="G424" s="5"/>
      <c r="H424" s="5"/>
      <c r="I424" s="5"/>
    </row>
    <row r="425" ht="15.75" customHeight="1">
      <c r="A425" s="19"/>
      <c r="B425" s="21" t="str">
        <f t="shared" si="2"/>
        <v/>
      </c>
      <c r="C425" s="22"/>
      <c r="D425" s="23"/>
      <c r="E425" s="22"/>
      <c r="F425" s="25" t="str">
        <f>IFERROR(VLOOKUP(E856,SETTINGS!A:B,2,0),"No Value")</f>
        <v>No Value</v>
      </c>
      <c r="G425" s="5"/>
      <c r="H425" s="5"/>
      <c r="I425" s="5"/>
    </row>
    <row r="426" ht="15.75" customHeight="1">
      <c r="A426" s="19"/>
      <c r="B426" s="21" t="str">
        <f t="shared" si="2"/>
        <v/>
      </c>
      <c r="C426" s="22"/>
      <c r="D426" s="23"/>
      <c r="E426" s="22"/>
      <c r="F426" s="25" t="str">
        <f>IFERROR(VLOOKUP(E857,SETTINGS!A:B,2,0),"No Value")</f>
        <v>No Value</v>
      </c>
      <c r="G426" s="5"/>
      <c r="H426" s="5"/>
      <c r="I426" s="5"/>
    </row>
    <row r="427" ht="15.75" customHeight="1">
      <c r="A427" s="19"/>
      <c r="B427" s="21" t="str">
        <f t="shared" si="2"/>
        <v/>
      </c>
      <c r="C427" s="22"/>
      <c r="D427" s="23"/>
      <c r="E427" s="22"/>
      <c r="F427" s="25" t="str">
        <f>IFERROR(VLOOKUP(E858,SETTINGS!A:B,2,0),"No Value")</f>
        <v>No Value</v>
      </c>
      <c r="G427" s="5"/>
      <c r="H427" s="5"/>
      <c r="I427" s="5"/>
    </row>
    <row r="428" ht="15.75" customHeight="1">
      <c r="A428" s="19"/>
      <c r="B428" s="21" t="str">
        <f t="shared" si="2"/>
        <v/>
      </c>
      <c r="C428" s="22"/>
      <c r="D428" s="23"/>
      <c r="E428" s="22"/>
      <c r="F428" s="25" t="str">
        <f>IFERROR(VLOOKUP(E859,SETTINGS!A:B,2,0),"No Value")</f>
        <v>No Value</v>
      </c>
      <c r="G428" s="5"/>
      <c r="H428" s="5"/>
      <c r="I428" s="5"/>
    </row>
    <row r="429" ht="15.75" customHeight="1">
      <c r="A429" s="19"/>
      <c r="B429" s="21" t="str">
        <f t="shared" si="2"/>
        <v/>
      </c>
      <c r="C429" s="22"/>
      <c r="D429" s="23"/>
      <c r="E429" s="22"/>
      <c r="F429" s="25" t="str">
        <f>IFERROR(VLOOKUP(E860,SETTINGS!A:B,2,0),"No Value")</f>
        <v>No Value</v>
      </c>
      <c r="G429" s="5"/>
      <c r="H429" s="5"/>
      <c r="I429" s="5"/>
    </row>
    <row r="430" ht="15.75" customHeight="1">
      <c r="A430" s="19"/>
      <c r="B430" s="21" t="str">
        <f t="shared" si="2"/>
        <v/>
      </c>
      <c r="C430" s="22"/>
      <c r="D430" s="23"/>
      <c r="E430" s="22"/>
      <c r="F430" s="25" t="str">
        <f>IFERROR(VLOOKUP(E861,SETTINGS!A:B,2,0),"No Value")</f>
        <v>No Value</v>
      </c>
      <c r="G430" s="5"/>
      <c r="H430" s="5"/>
      <c r="I430" s="5"/>
    </row>
    <row r="431" ht="15.75" customHeight="1">
      <c r="A431" s="19"/>
      <c r="B431" s="21" t="str">
        <f t="shared" si="2"/>
        <v/>
      </c>
      <c r="C431" s="22"/>
      <c r="D431" s="23"/>
      <c r="E431" s="22"/>
      <c r="F431" s="25" t="str">
        <f>IFERROR(VLOOKUP(E862,SETTINGS!A:B,2,0),"No Value")</f>
        <v>No Value</v>
      </c>
      <c r="G431" s="5"/>
      <c r="H431" s="5"/>
      <c r="I431" s="5"/>
    </row>
    <row r="432" ht="15.75" customHeight="1">
      <c r="A432" s="19"/>
      <c r="B432" s="21" t="str">
        <f t="shared" si="2"/>
        <v/>
      </c>
      <c r="C432" s="22"/>
      <c r="D432" s="23"/>
      <c r="E432" s="22"/>
      <c r="F432" s="25" t="str">
        <f>IFERROR(VLOOKUP(E863,SETTINGS!A:B,2,0),"No Value")</f>
        <v>No Value</v>
      </c>
      <c r="G432" s="5"/>
      <c r="H432" s="5"/>
      <c r="I432" s="5"/>
    </row>
    <row r="433" ht="15.75" customHeight="1">
      <c r="A433" s="19"/>
      <c r="B433" s="21" t="str">
        <f t="shared" si="2"/>
        <v/>
      </c>
      <c r="C433" s="22"/>
      <c r="D433" s="23"/>
      <c r="E433" s="22"/>
      <c r="F433" s="25" t="str">
        <f>IFERROR(VLOOKUP(E864,SETTINGS!A:B,2,0),"No Value")</f>
        <v>No Value</v>
      </c>
      <c r="G433" s="5"/>
      <c r="H433" s="5"/>
      <c r="I433" s="5"/>
    </row>
    <row r="434" ht="15.75" customHeight="1">
      <c r="A434" s="19"/>
      <c r="B434" s="21" t="str">
        <f t="shared" si="2"/>
        <v/>
      </c>
      <c r="C434" s="22"/>
      <c r="D434" s="23"/>
      <c r="E434" s="22"/>
      <c r="F434" s="25" t="str">
        <f>IFERROR(VLOOKUP(E865,SETTINGS!A:B,2,0),"No Value")</f>
        <v>No Value</v>
      </c>
      <c r="G434" s="5"/>
      <c r="H434" s="5"/>
      <c r="I434" s="5"/>
    </row>
    <row r="435" ht="15.75" customHeight="1">
      <c r="A435" s="19"/>
      <c r="B435" s="21" t="str">
        <f t="shared" si="2"/>
        <v/>
      </c>
      <c r="C435" s="22"/>
      <c r="D435" s="23"/>
      <c r="E435" s="22"/>
      <c r="F435" s="25" t="str">
        <f>IFERROR(VLOOKUP(E866,SETTINGS!A:B,2,0),"No Value")</f>
        <v>No Value</v>
      </c>
      <c r="G435" s="5"/>
      <c r="H435" s="5"/>
      <c r="I435" s="5"/>
    </row>
    <row r="436" ht="15.75" customHeight="1">
      <c r="A436" s="19"/>
      <c r="B436" s="21" t="str">
        <f t="shared" si="2"/>
        <v/>
      </c>
      <c r="C436" s="22"/>
      <c r="D436" s="23"/>
      <c r="E436" s="22"/>
      <c r="F436" s="25" t="str">
        <f>IFERROR(VLOOKUP(E867,SETTINGS!A:B,2,0),"No Value")</f>
        <v>No Value</v>
      </c>
      <c r="G436" s="5"/>
      <c r="H436" s="5"/>
      <c r="I436" s="5"/>
    </row>
    <row r="437" ht="15.75" customHeight="1">
      <c r="A437" s="19"/>
      <c r="B437" s="21" t="str">
        <f t="shared" si="2"/>
        <v/>
      </c>
      <c r="C437" s="22"/>
      <c r="D437" s="23"/>
      <c r="E437" s="22"/>
      <c r="F437" s="25" t="str">
        <f>IFERROR(VLOOKUP(E868,SETTINGS!A:B,2,0),"No Value")</f>
        <v>No Value</v>
      </c>
      <c r="G437" s="5"/>
      <c r="H437" s="5"/>
      <c r="I437" s="5"/>
    </row>
    <row r="438" ht="15.75" customHeight="1">
      <c r="A438" s="19"/>
      <c r="B438" s="21" t="str">
        <f t="shared" si="2"/>
        <v/>
      </c>
      <c r="C438" s="22"/>
      <c r="D438" s="23"/>
      <c r="E438" s="22"/>
      <c r="F438" s="25" t="str">
        <f>IFERROR(VLOOKUP(E869,SETTINGS!A:B,2,0),"No Value")</f>
        <v>No Value</v>
      </c>
      <c r="G438" s="5"/>
      <c r="H438" s="5"/>
      <c r="I438" s="5"/>
    </row>
    <row r="439" ht="15.75" customHeight="1">
      <c r="A439" s="19"/>
      <c r="B439" s="21" t="str">
        <f t="shared" si="2"/>
        <v/>
      </c>
      <c r="C439" s="22"/>
      <c r="D439" s="23"/>
      <c r="E439" s="22"/>
      <c r="F439" s="25" t="str">
        <f>IFERROR(VLOOKUP(E870,SETTINGS!A:B,2,0),"No Value")</f>
        <v>No Value</v>
      </c>
      <c r="G439" s="5"/>
      <c r="H439" s="5"/>
      <c r="I439" s="5"/>
    </row>
    <row r="440" ht="15.75" customHeight="1">
      <c r="A440" s="19"/>
      <c r="B440" s="21" t="str">
        <f t="shared" si="2"/>
        <v/>
      </c>
      <c r="C440" s="22"/>
      <c r="D440" s="23"/>
      <c r="E440" s="22"/>
      <c r="F440" s="25" t="str">
        <f>IFERROR(VLOOKUP(E871,SETTINGS!A:B,2,0),"No Value")</f>
        <v>No Value</v>
      </c>
      <c r="G440" s="5"/>
      <c r="H440" s="5"/>
      <c r="I440" s="5"/>
    </row>
    <row r="441" ht="15.75" customHeight="1">
      <c r="A441" s="19"/>
      <c r="B441" s="21" t="str">
        <f t="shared" si="2"/>
        <v/>
      </c>
      <c r="C441" s="22"/>
      <c r="D441" s="23"/>
      <c r="E441" s="22"/>
      <c r="F441" s="25" t="str">
        <f>IFERROR(VLOOKUP(E872,SETTINGS!A:B,2,0),"No Value")</f>
        <v>No Value</v>
      </c>
      <c r="G441" s="5"/>
      <c r="H441" s="5"/>
      <c r="I441" s="5"/>
    </row>
    <row r="442" ht="15.75" customHeight="1">
      <c r="A442" s="19"/>
      <c r="B442" s="21" t="str">
        <f t="shared" si="2"/>
        <v/>
      </c>
      <c r="C442" s="22"/>
      <c r="D442" s="23"/>
      <c r="E442" s="22"/>
      <c r="F442" s="25" t="str">
        <f>IFERROR(VLOOKUP(E873,SETTINGS!A:B,2,0),"No Value")</f>
        <v>No Value</v>
      </c>
      <c r="G442" s="5"/>
      <c r="H442" s="5"/>
      <c r="I442" s="5"/>
    </row>
    <row r="443" ht="15.75" customHeight="1">
      <c r="A443" s="19"/>
      <c r="B443" s="21" t="str">
        <f t="shared" si="2"/>
        <v/>
      </c>
      <c r="C443" s="22"/>
      <c r="D443" s="23"/>
      <c r="E443" s="22"/>
      <c r="F443" s="25" t="str">
        <f>IFERROR(VLOOKUP(E874,SETTINGS!A:B,2,0),"No Value")</f>
        <v>No Value</v>
      </c>
      <c r="G443" s="5"/>
      <c r="H443" s="5"/>
      <c r="I443" s="5"/>
    </row>
    <row r="444" ht="15.75" customHeight="1">
      <c r="A444" s="19"/>
      <c r="B444" s="21" t="str">
        <f t="shared" si="2"/>
        <v/>
      </c>
      <c r="C444" s="22"/>
      <c r="D444" s="23"/>
      <c r="E444" s="22"/>
      <c r="F444" s="25" t="str">
        <f>IFERROR(VLOOKUP(E875,SETTINGS!A:B,2,0),"No Value")</f>
        <v>No Value</v>
      </c>
      <c r="G444" s="5"/>
      <c r="H444" s="5"/>
      <c r="I444" s="5"/>
    </row>
    <row r="445" ht="15.75" customHeight="1">
      <c r="A445" s="19"/>
      <c r="B445" s="21" t="str">
        <f t="shared" si="2"/>
        <v/>
      </c>
      <c r="C445" s="22"/>
      <c r="D445" s="23"/>
      <c r="E445" s="22"/>
      <c r="F445" s="25" t="str">
        <f>IFERROR(VLOOKUP(E876,SETTINGS!A:B,2,0),"No Value")</f>
        <v>No Value</v>
      </c>
      <c r="G445" s="5"/>
      <c r="H445" s="5"/>
      <c r="I445" s="5"/>
    </row>
    <row r="446" ht="15.75" customHeight="1">
      <c r="A446" s="19"/>
      <c r="B446" s="21" t="str">
        <f t="shared" si="2"/>
        <v/>
      </c>
      <c r="C446" s="22"/>
      <c r="D446" s="23"/>
      <c r="E446" s="22"/>
      <c r="F446" s="25" t="str">
        <f>IFERROR(VLOOKUP(E877,SETTINGS!A:B,2,0),"No Value")</f>
        <v>No Value</v>
      </c>
      <c r="G446" s="5"/>
      <c r="H446" s="5"/>
      <c r="I446" s="5"/>
    </row>
    <row r="447" ht="15.75" customHeight="1">
      <c r="A447" s="19"/>
      <c r="B447" s="21" t="str">
        <f t="shared" si="2"/>
        <v/>
      </c>
      <c r="C447" s="22"/>
      <c r="D447" s="23"/>
      <c r="E447" s="22"/>
      <c r="F447" s="25" t="str">
        <f>IFERROR(VLOOKUP(E878,SETTINGS!A:B,2,0),"No Value")</f>
        <v>No Value</v>
      </c>
      <c r="G447" s="5"/>
      <c r="H447" s="5"/>
      <c r="I447" s="5"/>
    </row>
    <row r="448" ht="15.75" customHeight="1">
      <c r="A448" s="19"/>
      <c r="B448" s="21" t="str">
        <f t="shared" si="2"/>
        <v/>
      </c>
      <c r="C448" s="22"/>
      <c r="D448" s="23"/>
      <c r="E448" s="22"/>
      <c r="F448" s="25" t="str">
        <f>IFERROR(VLOOKUP(E879,SETTINGS!A:B,2,0),"No Value")</f>
        <v>No Value</v>
      </c>
      <c r="G448" s="5"/>
      <c r="H448" s="5"/>
      <c r="I448" s="5"/>
    </row>
    <row r="449" ht="15.75" customHeight="1">
      <c r="A449" s="19"/>
      <c r="B449" s="21" t="str">
        <f t="shared" si="2"/>
        <v/>
      </c>
      <c r="C449" s="22"/>
      <c r="D449" s="23"/>
      <c r="E449" s="22"/>
      <c r="F449" s="25" t="str">
        <f>IFERROR(VLOOKUP(E880,SETTINGS!A:B,2,0),"No Value")</f>
        <v>No Value</v>
      </c>
      <c r="G449" s="5"/>
      <c r="H449" s="5"/>
      <c r="I449" s="5"/>
    </row>
    <row r="450" ht="15.75" customHeight="1">
      <c r="A450" s="19"/>
      <c r="B450" s="21" t="str">
        <f t="shared" si="2"/>
        <v/>
      </c>
      <c r="C450" s="22"/>
      <c r="D450" s="23"/>
      <c r="E450" s="22"/>
      <c r="F450" s="25" t="str">
        <f>IFERROR(VLOOKUP(E881,SETTINGS!A:B,2,0),"No Value")</f>
        <v>No Value</v>
      </c>
      <c r="G450" s="5"/>
      <c r="H450" s="5"/>
      <c r="I450" s="5"/>
    </row>
    <row r="451" ht="15.75" customHeight="1">
      <c r="A451" s="19"/>
      <c r="B451" s="21" t="str">
        <f t="shared" si="2"/>
        <v/>
      </c>
      <c r="C451" s="22"/>
      <c r="D451" s="23"/>
      <c r="E451" s="22"/>
      <c r="F451" s="25" t="str">
        <f>IFERROR(VLOOKUP(E882,SETTINGS!A:B,2,0),"No Value")</f>
        <v>No Value</v>
      </c>
      <c r="G451" s="5"/>
      <c r="H451" s="5"/>
      <c r="I451" s="5"/>
    </row>
    <row r="452" ht="15.75" customHeight="1">
      <c r="A452" s="19"/>
      <c r="B452" s="21" t="str">
        <f t="shared" si="2"/>
        <v/>
      </c>
      <c r="C452" s="22"/>
      <c r="D452" s="23"/>
      <c r="E452" s="22"/>
      <c r="F452" s="25" t="str">
        <f>IFERROR(VLOOKUP(E883,SETTINGS!A:B,2,0),"No Value")</f>
        <v>No Value</v>
      </c>
      <c r="G452" s="5"/>
      <c r="H452" s="5"/>
      <c r="I452" s="5"/>
    </row>
    <row r="453" ht="15.75" customHeight="1">
      <c r="A453" s="19"/>
      <c r="B453" s="21" t="str">
        <f t="shared" si="2"/>
        <v/>
      </c>
      <c r="C453" s="22"/>
      <c r="D453" s="23"/>
      <c r="E453" s="22"/>
      <c r="F453" s="25" t="str">
        <f>IFERROR(VLOOKUP(E884,SETTINGS!A:B,2,0),"No Value")</f>
        <v>No Value</v>
      </c>
      <c r="G453" s="5"/>
      <c r="H453" s="5"/>
      <c r="I453" s="5"/>
    </row>
    <row r="454" ht="15.75" customHeight="1">
      <c r="A454" s="19"/>
      <c r="B454" s="21" t="str">
        <f t="shared" si="2"/>
        <v/>
      </c>
      <c r="C454" s="22"/>
      <c r="D454" s="23"/>
      <c r="E454" s="22"/>
      <c r="F454" s="25" t="str">
        <f>IFERROR(VLOOKUP(E885,SETTINGS!A:B,2,0),"No Value")</f>
        <v>No Value</v>
      </c>
      <c r="G454" s="5"/>
      <c r="H454" s="5"/>
      <c r="I454" s="5"/>
    </row>
    <row r="455" ht="15.75" customHeight="1">
      <c r="A455" s="19"/>
      <c r="B455" s="21" t="str">
        <f t="shared" si="2"/>
        <v/>
      </c>
      <c r="C455" s="22"/>
      <c r="D455" s="23"/>
      <c r="E455" s="22"/>
      <c r="F455" s="25" t="str">
        <f>IFERROR(VLOOKUP(E886,SETTINGS!A:B,2,0),"No Value")</f>
        <v>No Value</v>
      </c>
      <c r="G455" s="5"/>
      <c r="H455" s="5"/>
      <c r="I455" s="5"/>
    </row>
    <row r="456" ht="15.75" customHeight="1">
      <c r="A456" s="19"/>
      <c r="B456" s="21" t="str">
        <f t="shared" si="2"/>
        <v/>
      </c>
      <c r="C456" s="22"/>
      <c r="D456" s="23"/>
      <c r="E456" s="22"/>
      <c r="F456" s="25" t="str">
        <f>IFERROR(VLOOKUP(E887,SETTINGS!A:B,2,0),"No Value")</f>
        <v>No Value</v>
      </c>
      <c r="G456" s="5"/>
      <c r="H456" s="5"/>
      <c r="I456" s="5"/>
    </row>
    <row r="457" ht="15.75" customHeight="1">
      <c r="A457" s="19"/>
      <c r="B457" s="21" t="str">
        <f t="shared" si="2"/>
        <v/>
      </c>
      <c r="C457" s="22"/>
      <c r="D457" s="23"/>
      <c r="E457" s="22"/>
      <c r="F457" s="25" t="str">
        <f>IFERROR(VLOOKUP(E888,SETTINGS!A:B,2,0),"No Value")</f>
        <v>No Value</v>
      </c>
      <c r="G457" s="5"/>
      <c r="H457" s="5"/>
      <c r="I457" s="5"/>
    </row>
    <row r="458" ht="15.75" customHeight="1">
      <c r="A458" s="19"/>
      <c r="B458" s="21" t="str">
        <f t="shared" si="2"/>
        <v/>
      </c>
      <c r="C458" s="22"/>
      <c r="D458" s="23"/>
      <c r="E458" s="22"/>
      <c r="F458" s="25" t="str">
        <f>IFERROR(VLOOKUP(E889,SETTINGS!A:B,2,0),"No Value")</f>
        <v>No Value</v>
      </c>
      <c r="G458" s="5"/>
      <c r="H458" s="5"/>
      <c r="I458" s="5"/>
    </row>
    <row r="459" ht="15.75" customHeight="1">
      <c r="A459" s="19"/>
      <c r="B459" s="21" t="str">
        <f t="shared" si="2"/>
        <v/>
      </c>
      <c r="C459" s="22"/>
      <c r="D459" s="23"/>
      <c r="E459" s="22"/>
      <c r="F459" s="25" t="str">
        <f>IFERROR(VLOOKUP(E890,SETTINGS!A:B,2,0),"No Value")</f>
        <v>No Value</v>
      </c>
      <c r="G459" s="5"/>
      <c r="H459" s="5"/>
      <c r="I459" s="5"/>
    </row>
    <row r="460" ht="15.75" customHeight="1">
      <c r="A460" s="19"/>
      <c r="B460" s="21" t="str">
        <f t="shared" si="2"/>
        <v/>
      </c>
      <c r="C460" s="22"/>
      <c r="D460" s="23"/>
      <c r="E460" s="22"/>
      <c r="F460" s="25" t="str">
        <f>IFERROR(VLOOKUP(E891,SETTINGS!A:B,2,0),"No Value")</f>
        <v>No Value</v>
      </c>
      <c r="G460" s="5"/>
      <c r="H460" s="5"/>
      <c r="I460" s="5"/>
    </row>
    <row r="461" ht="15.75" customHeight="1">
      <c r="A461" s="19"/>
      <c r="B461" s="21" t="str">
        <f t="shared" si="2"/>
        <v/>
      </c>
      <c r="C461" s="22"/>
      <c r="D461" s="23"/>
      <c r="E461" s="22"/>
      <c r="F461" s="25" t="str">
        <f>IFERROR(VLOOKUP(E892,SETTINGS!A:B,2,0),"No Value")</f>
        <v>No Value</v>
      </c>
      <c r="G461" s="5"/>
      <c r="H461" s="5"/>
      <c r="I461" s="5"/>
    </row>
    <row r="462" ht="15.75" customHeight="1">
      <c r="A462" s="19"/>
      <c r="B462" s="21" t="str">
        <f t="shared" si="2"/>
        <v/>
      </c>
      <c r="C462" s="22"/>
      <c r="D462" s="23"/>
      <c r="E462" s="22"/>
      <c r="F462" s="25" t="str">
        <f>IFERROR(VLOOKUP(E893,SETTINGS!A:B,2,0),"No Value")</f>
        <v>No Value</v>
      </c>
      <c r="G462" s="5"/>
      <c r="H462" s="5"/>
      <c r="I462" s="5"/>
    </row>
    <row r="463" ht="15.75" customHeight="1">
      <c r="A463" s="19"/>
      <c r="B463" s="21" t="str">
        <f t="shared" si="2"/>
        <v/>
      </c>
      <c r="C463" s="22"/>
      <c r="D463" s="23"/>
      <c r="E463" s="22"/>
      <c r="F463" s="25" t="str">
        <f>IFERROR(VLOOKUP(E894,SETTINGS!A:B,2,0),"No Value")</f>
        <v>No Value</v>
      </c>
      <c r="G463" s="5"/>
      <c r="H463" s="5"/>
      <c r="I463" s="5"/>
    </row>
    <row r="464" ht="15.75" customHeight="1">
      <c r="A464" s="19"/>
      <c r="B464" s="21" t="str">
        <f t="shared" si="2"/>
        <v/>
      </c>
      <c r="C464" s="22"/>
      <c r="D464" s="23"/>
      <c r="E464" s="22"/>
      <c r="F464" s="25" t="str">
        <f>IFERROR(VLOOKUP(E895,SETTINGS!A:B,2,0),"No Value")</f>
        <v>No Value</v>
      </c>
      <c r="G464" s="5"/>
      <c r="H464" s="5"/>
      <c r="I464" s="5"/>
    </row>
    <row r="465" ht="15.75" customHeight="1">
      <c r="A465" s="19"/>
      <c r="B465" s="21" t="str">
        <f t="shared" si="2"/>
        <v/>
      </c>
      <c r="C465" s="22"/>
      <c r="D465" s="23"/>
      <c r="E465" s="22"/>
      <c r="F465" s="25" t="str">
        <f>IFERROR(VLOOKUP(E896,SETTINGS!A:B,2,0),"No Value")</f>
        <v>No Value</v>
      </c>
      <c r="G465" s="5"/>
      <c r="H465" s="5"/>
      <c r="I465" s="5"/>
    </row>
    <row r="466" ht="15.75" customHeight="1">
      <c r="A466" s="19"/>
      <c r="B466" s="21" t="str">
        <f t="shared" si="2"/>
        <v/>
      </c>
      <c r="C466" s="22"/>
      <c r="D466" s="23"/>
      <c r="E466" s="22"/>
      <c r="F466" s="25" t="str">
        <f>IFERROR(VLOOKUP(E897,SETTINGS!A:B,2,0),"No Value")</f>
        <v>No Value</v>
      </c>
      <c r="G466" s="5"/>
      <c r="H466" s="5"/>
      <c r="I466" s="5"/>
    </row>
    <row r="467" ht="15.75" customHeight="1">
      <c r="A467" s="19"/>
      <c r="B467" s="21" t="str">
        <f t="shared" si="2"/>
        <v/>
      </c>
      <c r="C467" s="22"/>
      <c r="D467" s="23"/>
      <c r="E467" s="22"/>
      <c r="F467" s="25" t="str">
        <f>IFERROR(VLOOKUP(E898,SETTINGS!A:B,2,0),"No Value")</f>
        <v>No Value</v>
      </c>
      <c r="G467" s="5"/>
      <c r="H467" s="5"/>
      <c r="I467" s="5"/>
    </row>
    <row r="468" ht="15.75" customHeight="1">
      <c r="A468" s="19"/>
      <c r="B468" s="21" t="str">
        <f t="shared" si="2"/>
        <v/>
      </c>
      <c r="C468" s="22"/>
      <c r="D468" s="23"/>
      <c r="E468" s="22"/>
      <c r="F468" s="25" t="str">
        <f>IFERROR(VLOOKUP(E899,SETTINGS!A:B,2,0),"No Value")</f>
        <v>No Value</v>
      </c>
      <c r="G468" s="5"/>
      <c r="H468" s="5"/>
      <c r="I468" s="5"/>
    </row>
    <row r="469" ht="15.75" customHeight="1">
      <c r="A469" s="19"/>
      <c r="B469" s="21" t="str">
        <f t="shared" si="2"/>
        <v/>
      </c>
      <c r="C469" s="22"/>
      <c r="D469" s="23"/>
      <c r="E469" s="22"/>
      <c r="F469" s="25" t="str">
        <f>IFERROR(VLOOKUP(E900,SETTINGS!A:B,2,0),"No Value")</f>
        <v>No Value</v>
      </c>
      <c r="G469" s="5"/>
      <c r="H469" s="5"/>
      <c r="I469" s="5"/>
    </row>
    <row r="470" ht="15.75" customHeight="1">
      <c r="A470" s="19"/>
      <c r="B470" s="21" t="str">
        <f t="shared" si="2"/>
        <v/>
      </c>
      <c r="C470" s="22"/>
      <c r="D470" s="23"/>
      <c r="E470" s="22"/>
      <c r="F470" s="25" t="str">
        <f>IFERROR(VLOOKUP(E901,SETTINGS!A:B,2,0),"No Value")</f>
        <v>No Value</v>
      </c>
      <c r="G470" s="5"/>
      <c r="H470" s="5"/>
      <c r="I470" s="5"/>
    </row>
    <row r="471" ht="15.75" customHeight="1">
      <c r="A471" s="19"/>
      <c r="B471" s="21" t="str">
        <f t="shared" si="2"/>
        <v/>
      </c>
      <c r="C471" s="22"/>
      <c r="D471" s="23"/>
      <c r="E471" s="22"/>
      <c r="F471" s="25" t="str">
        <f>IFERROR(VLOOKUP(E902,SETTINGS!A:B,2,0),"No Value")</f>
        <v>No Value</v>
      </c>
      <c r="G471" s="5"/>
      <c r="H471" s="5"/>
      <c r="I471" s="5"/>
    </row>
    <row r="472" ht="15.75" customHeight="1">
      <c r="A472" s="19"/>
      <c r="B472" s="21" t="str">
        <f t="shared" si="2"/>
        <v/>
      </c>
      <c r="C472" s="22"/>
      <c r="D472" s="23"/>
      <c r="E472" s="22"/>
      <c r="F472" s="25" t="str">
        <f>IFERROR(VLOOKUP(E903,SETTINGS!A:B,2,0),"No Value")</f>
        <v>No Value</v>
      </c>
      <c r="G472" s="5"/>
      <c r="H472" s="5"/>
      <c r="I472" s="5"/>
    </row>
    <row r="473" ht="15.75" customHeight="1">
      <c r="A473" s="19"/>
      <c r="B473" s="21" t="str">
        <f t="shared" si="2"/>
        <v/>
      </c>
      <c r="C473" s="22"/>
      <c r="D473" s="23"/>
      <c r="E473" s="22"/>
      <c r="F473" s="25" t="str">
        <f>IFERROR(VLOOKUP(E904,SETTINGS!A:B,2,0),"No Value")</f>
        <v>No Value</v>
      </c>
      <c r="G473" s="5"/>
      <c r="H473" s="5"/>
      <c r="I473" s="5"/>
    </row>
    <row r="474" ht="15.75" customHeight="1">
      <c r="A474" s="19"/>
      <c r="B474" s="21" t="str">
        <f t="shared" si="2"/>
        <v/>
      </c>
      <c r="C474" s="22"/>
      <c r="D474" s="23"/>
      <c r="E474" s="22"/>
      <c r="F474" s="25" t="str">
        <f>IFERROR(VLOOKUP(E905,SETTINGS!A:B,2,0),"No Value")</f>
        <v>No Value</v>
      </c>
      <c r="G474" s="5"/>
      <c r="H474" s="5"/>
      <c r="I474" s="5"/>
    </row>
    <row r="475" ht="15.75" customHeight="1">
      <c r="A475" s="19"/>
      <c r="B475" s="21" t="str">
        <f t="shared" si="2"/>
        <v/>
      </c>
      <c r="C475" s="22"/>
      <c r="D475" s="23"/>
      <c r="E475" s="22"/>
      <c r="F475" s="25" t="str">
        <f>IFERROR(VLOOKUP(E906,SETTINGS!A:B,2,0),"No Value")</f>
        <v>No Value</v>
      </c>
      <c r="G475" s="5"/>
      <c r="H475" s="5"/>
      <c r="I475" s="5"/>
    </row>
    <row r="476" ht="15.75" customHeight="1">
      <c r="A476" s="19"/>
      <c r="B476" s="21" t="str">
        <f t="shared" si="2"/>
        <v/>
      </c>
      <c r="C476" s="22"/>
      <c r="D476" s="23"/>
      <c r="E476" s="22"/>
      <c r="F476" s="25" t="str">
        <f>IFERROR(VLOOKUP(E907,SETTINGS!A:B,2,0),"No Value")</f>
        <v>No Value</v>
      </c>
      <c r="G476" s="5"/>
      <c r="H476" s="5"/>
      <c r="I476" s="5"/>
    </row>
    <row r="477" ht="15.75" customHeight="1">
      <c r="A477" s="19"/>
      <c r="B477" s="21" t="str">
        <f t="shared" si="2"/>
        <v/>
      </c>
      <c r="C477" s="22"/>
      <c r="D477" s="23"/>
      <c r="E477" s="22"/>
      <c r="F477" s="25" t="str">
        <f>IFERROR(VLOOKUP(E908,SETTINGS!A:B,2,0),"No Value")</f>
        <v>No Value</v>
      </c>
      <c r="G477" s="5"/>
      <c r="H477" s="5"/>
      <c r="I477" s="5"/>
    </row>
    <row r="478" ht="15.75" customHeight="1">
      <c r="A478" s="19"/>
      <c r="B478" s="21" t="str">
        <f t="shared" si="2"/>
        <v/>
      </c>
      <c r="C478" s="22"/>
      <c r="D478" s="23"/>
      <c r="E478" s="22"/>
      <c r="F478" s="25" t="str">
        <f>IFERROR(VLOOKUP(E909,SETTINGS!A:B,2,0),"No Value")</f>
        <v>No Value</v>
      </c>
      <c r="G478" s="5"/>
      <c r="H478" s="5"/>
      <c r="I478" s="5"/>
    </row>
    <row r="479" ht="15.75" customHeight="1">
      <c r="A479" s="19"/>
      <c r="B479" s="21" t="str">
        <f t="shared" si="2"/>
        <v/>
      </c>
      <c r="C479" s="22"/>
      <c r="D479" s="23"/>
      <c r="E479" s="22"/>
      <c r="F479" s="25" t="str">
        <f>IFERROR(VLOOKUP(E910,SETTINGS!A:B,2,0),"No Value")</f>
        <v>No Value</v>
      </c>
      <c r="G479" s="5"/>
      <c r="H479" s="5"/>
      <c r="I479" s="5"/>
    </row>
    <row r="480" ht="15.75" customHeight="1">
      <c r="A480" s="19"/>
      <c r="B480" s="21" t="str">
        <f t="shared" si="2"/>
        <v/>
      </c>
      <c r="C480" s="22"/>
      <c r="D480" s="23"/>
      <c r="E480" s="22"/>
      <c r="F480" s="25" t="str">
        <f>IFERROR(VLOOKUP(E911,SETTINGS!A:B,2,0),"No Value")</f>
        <v>No Value</v>
      </c>
      <c r="G480" s="5"/>
      <c r="H480" s="5"/>
      <c r="I480" s="5"/>
    </row>
    <row r="481" ht="15.75" customHeight="1">
      <c r="A481" s="19"/>
      <c r="B481" s="21" t="str">
        <f t="shared" si="2"/>
        <v/>
      </c>
      <c r="C481" s="22"/>
      <c r="D481" s="23"/>
      <c r="E481" s="22"/>
      <c r="F481" s="25" t="str">
        <f>IFERROR(VLOOKUP(E912,SETTINGS!A:B,2,0),"No Value")</f>
        <v>No Value</v>
      </c>
      <c r="G481" s="5"/>
      <c r="H481" s="5"/>
      <c r="I481" s="5"/>
    </row>
    <row r="482" ht="15.75" customHeight="1">
      <c r="A482" s="19"/>
      <c r="B482" s="21" t="str">
        <f t="shared" si="2"/>
        <v/>
      </c>
      <c r="C482" s="22"/>
      <c r="D482" s="23"/>
      <c r="E482" s="22"/>
      <c r="F482" s="25" t="str">
        <f>IFERROR(VLOOKUP(E913,SETTINGS!A:B,2,0),"No Value")</f>
        <v>No Value</v>
      </c>
      <c r="G482" s="5"/>
      <c r="H482" s="5"/>
      <c r="I482" s="5"/>
    </row>
    <row r="483" ht="15.75" customHeight="1">
      <c r="A483" s="19"/>
      <c r="B483" s="21" t="str">
        <f t="shared" si="2"/>
        <v/>
      </c>
      <c r="C483" s="22"/>
      <c r="D483" s="23"/>
      <c r="E483" s="22"/>
      <c r="F483" s="25" t="str">
        <f>IFERROR(VLOOKUP(E914,SETTINGS!A:B,2,0),"No Value")</f>
        <v>No Value</v>
      </c>
      <c r="G483" s="5"/>
      <c r="H483" s="5"/>
      <c r="I483" s="5"/>
    </row>
    <row r="484" ht="15.75" customHeight="1">
      <c r="A484" s="19"/>
      <c r="B484" s="21" t="str">
        <f t="shared" si="2"/>
        <v/>
      </c>
      <c r="C484" s="22"/>
      <c r="D484" s="23"/>
      <c r="E484" s="22"/>
      <c r="F484" s="25" t="str">
        <f>IFERROR(VLOOKUP(E915,SETTINGS!A:B,2,0),"No Value")</f>
        <v>No Value</v>
      </c>
      <c r="G484" s="5"/>
      <c r="H484" s="5"/>
      <c r="I484" s="5"/>
    </row>
    <row r="485" ht="15.75" customHeight="1">
      <c r="A485" s="19"/>
      <c r="B485" s="21" t="str">
        <f t="shared" si="2"/>
        <v/>
      </c>
      <c r="C485" s="22"/>
      <c r="D485" s="23"/>
      <c r="E485" s="22"/>
      <c r="F485" s="25" t="str">
        <f>IFERROR(VLOOKUP(E916,SETTINGS!A:B,2,0),"No Value")</f>
        <v>No Value</v>
      </c>
      <c r="G485" s="5"/>
      <c r="H485" s="5"/>
      <c r="I485" s="5"/>
    </row>
    <row r="486" ht="15.75" customHeight="1">
      <c r="A486" s="19"/>
      <c r="B486" s="21" t="str">
        <f t="shared" si="2"/>
        <v/>
      </c>
      <c r="C486" s="22"/>
      <c r="D486" s="23"/>
      <c r="E486" s="22"/>
      <c r="F486" s="25" t="str">
        <f>IFERROR(VLOOKUP(E917,SETTINGS!A:B,2,0),"No Value")</f>
        <v>No Value</v>
      </c>
      <c r="G486" s="5"/>
      <c r="H486" s="5"/>
      <c r="I486" s="5"/>
    </row>
    <row r="487" ht="15.0" customHeight="1">
      <c r="A487" s="19"/>
      <c r="B487" s="21" t="str">
        <f t="shared" si="2"/>
        <v/>
      </c>
      <c r="C487" s="22"/>
      <c r="D487" s="23"/>
      <c r="E487" s="22"/>
      <c r="F487" s="25" t="str">
        <f>IFERROR(VLOOKUP(E918,SETTINGS!A:B,2,0),"No Value")</f>
        <v>No Value</v>
      </c>
      <c r="G487" s="5"/>
      <c r="H487" s="5"/>
      <c r="I487" s="5"/>
    </row>
    <row r="488" ht="15.0" customHeight="1">
      <c r="A488" s="19"/>
      <c r="B488" s="21" t="str">
        <f t="shared" si="2"/>
        <v/>
      </c>
      <c r="C488" s="22"/>
      <c r="D488" s="23"/>
      <c r="E488" s="22"/>
      <c r="F488" s="25" t="str">
        <f>IFERROR(VLOOKUP(E919,SETTINGS!A:B,2,0),"No Value")</f>
        <v>No Value</v>
      </c>
      <c r="G488" s="5"/>
      <c r="H488" s="5"/>
      <c r="I488" s="5"/>
    </row>
    <row r="489" ht="15.0" customHeight="1">
      <c r="A489" s="19"/>
      <c r="B489" s="21" t="str">
        <f t="shared" si="2"/>
        <v/>
      </c>
      <c r="C489" s="22"/>
      <c r="D489" s="23"/>
      <c r="E489" s="22"/>
      <c r="F489" s="25" t="str">
        <f>IFERROR(VLOOKUP(E920,SETTINGS!A:B,2,0),"No Value")</f>
        <v>No Value</v>
      </c>
      <c r="G489" s="5"/>
      <c r="H489" s="5"/>
      <c r="I489" s="5"/>
    </row>
    <row r="490" ht="15.0" customHeight="1">
      <c r="A490" s="19"/>
      <c r="B490" s="21" t="str">
        <f t="shared" si="2"/>
        <v/>
      </c>
      <c r="C490" s="22"/>
      <c r="D490" s="23"/>
      <c r="E490" s="22"/>
      <c r="F490" s="25" t="str">
        <f>IFERROR(VLOOKUP(E921,SETTINGS!A:B,2,0),"No Value")</f>
        <v>No Value</v>
      </c>
      <c r="G490" s="5"/>
      <c r="H490" s="5"/>
      <c r="I490" s="5"/>
    </row>
    <row r="491" ht="15.0" customHeight="1">
      <c r="A491" s="19"/>
      <c r="B491" s="21" t="str">
        <f t="shared" si="2"/>
        <v/>
      </c>
      <c r="C491" s="22"/>
      <c r="D491" s="23"/>
      <c r="E491" s="22"/>
      <c r="F491" s="25" t="str">
        <f>IFERROR(VLOOKUP(E922,SETTINGS!A:B,2,0),"No Value")</f>
        <v>No Value</v>
      </c>
      <c r="G491" s="5"/>
      <c r="H491" s="5"/>
      <c r="I491" s="5"/>
    </row>
    <row r="492" ht="15.0" customHeight="1">
      <c r="A492" s="19"/>
      <c r="B492" s="21" t="str">
        <f t="shared" si="2"/>
        <v/>
      </c>
      <c r="C492" s="22"/>
      <c r="D492" s="23"/>
      <c r="E492" s="22"/>
      <c r="F492" s="25" t="str">
        <f>IFERROR(VLOOKUP(E923,SETTINGS!A:B,2,0),"No Value")</f>
        <v>No Value</v>
      </c>
      <c r="G492" s="5"/>
      <c r="H492" s="5"/>
      <c r="I492" s="5"/>
    </row>
    <row r="493" ht="15.0" customHeight="1">
      <c r="A493" s="19"/>
      <c r="B493" s="21" t="str">
        <f t="shared" si="2"/>
        <v/>
      </c>
      <c r="C493" s="22"/>
      <c r="D493" s="23"/>
      <c r="E493" s="22"/>
      <c r="F493" s="25" t="str">
        <f>IFERROR(VLOOKUP(E924,SETTINGS!A:B,2,0),"No Value")</f>
        <v>No Value</v>
      </c>
      <c r="G493" s="5"/>
      <c r="H493" s="5"/>
      <c r="I493" s="5"/>
    </row>
    <row r="494" ht="15.0" customHeight="1">
      <c r="A494" s="19"/>
      <c r="B494" s="21" t="str">
        <f t="shared" si="2"/>
        <v/>
      </c>
      <c r="C494" s="22"/>
      <c r="D494" s="23"/>
      <c r="E494" s="22"/>
      <c r="F494" s="25" t="str">
        <f>IFERROR(VLOOKUP(E925,SETTINGS!A:B,2,0),"No Value")</f>
        <v>No Value</v>
      </c>
      <c r="G494" s="5"/>
      <c r="H494" s="5"/>
      <c r="I494" s="5"/>
    </row>
    <row r="495" ht="15.0" customHeight="1">
      <c r="A495" s="19"/>
      <c r="B495" s="21" t="str">
        <f t="shared" si="2"/>
        <v/>
      </c>
      <c r="C495" s="22"/>
      <c r="D495" s="23"/>
      <c r="E495" s="22"/>
      <c r="F495" s="25" t="str">
        <f>IFERROR(VLOOKUP(E926,SETTINGS!A:B,2,0),"No Value")</f>
        <v>No Value</v>
      </c>
      <c r="G495" s="5"/>
      <c r="H495" s="5"/>
      <c r="I495" s="5"/>
    </row>
    <row r="496" ht="15.0" customHeight="1">
      <c r="A496" s="19"/>
      <c r="B496" s="21" t="str">
        <f t="shared" si="2"/>
        <v/>
      </c>
      <c r="C496" s="22"/>
      <c r="D496" s="23"/>
      <c r="E496" s="22"/>
      <c r="F496" s="25" t="str">
        <f>IFERROR(VLOOKUP(E927,SETTINGS!A:B,2,0),"No Value")</f>
        <v>No Value</v>
      </c>
      <c r="G496" s="5"/>
      <c r="H496" s="5"/>
      <c r="I496" s="5"/>
    </row>
    <row r="497" ht="15.0" customHeight="1">
      <c r="A497" s="19"/>
      <c r="B497" s="21" t="str">
        <f t="shared" si="2"/>
        <v/>
      </c>
      <c r="C497" s="22"/>
      <c r="D497" s="23"/>
      <c r="E497" s="22"/>
      <c r="F497" s="25" t="str">
        <f>IFERROR(VLOOKUP(E928,SETTINGS!A:B,2,0),"No Value")</f>
        <v>No Value</v>
      </c>
      <c r="G497" s="5"/>
      <c r="H497" s="5"/>
      <c r="I497" s="5"/>
    </row>
    <row r="498" ht="15.0" customHeight="1">
      <c r="A498" s="19"/>
      <c r="B498" s="21" t="str">
        <f t="shared" si="2"/>
        <v/>
      </c>
      <c r="C498" s="22"/>
      <c r="D498" s="23"/>
      <c r="E498" s="22"/>
      <c r="F498" s="25" t="str">
        <f>IFERROR(VLOOKUP(E929,SETTINGS!A:B,2,0),"No Value")</f>
        <v>No Value</v>
      </c>
      <c r="G498" s="5"/>
      <c r="H498" s="5"/>
      <c r="I498" s="5"/>
    </row>
    <row r="499" ht="15.0" customHeight="1">
      <c r="A499" s="19"/>
      <c r="B499" s="21" t="str">
        <f t="shared" si="2"/>
        <v/>
      </c>
      <c r="C499" s="22"/>
      <c r="D499" s="23"/>
      <c r="E499" s="22"/>
      <c r="F499" s="25" t="str">
        <f>IFERROR(VLOOKUP(E930,SETTINGS!A:B,2,0),"No Value")</f>
        <v>No Value</v>
      </c>
      <c r="G499" s="5"/>
      <c r="H499" s="5"/>
      <c r="I499" s="5"/>
    </row>
    <row r="500" ht="15.0" customHeight="1">
      <c r="A500" s="19"/>
      <c r="B500" s="21" t="str">
        <f t="shared" si="2"/>
        <v/>
      </c>
      <c r="C500" s="22"/>
      <c r="D500" s="23"/>
      <c r="E500" s="22"/>
      <c r="F500" s="25" t="str">
        <f>IFERROR(VLOOKUP(E931,SETTINGS!A:B,2,0),"No Value")</f>
        <v>No Value</v>
      </c>
      <c r="G500" s="5"/>
      <c r="H500" s="5"/>
      <c r="I500" s="5"/>
    </row>
    <row r="501" ht="15.0" customHeight="1">
      <c r="A501" s="19"/>
      <c r="B501" s="21" t="str">
        <f t="shared" si="2"/>
        <v/>
      </c>
      <c r="C501" s="22"/>
      <c r="D501" s="23"/>
      <c r="E501" s="22"/>
      <c r="F501" s="25" t="str">
        <f>IFERROR(VLOOKUP(E932,SETTINGS!A:B,2,0),"No Value")</f>
        <v>No Value</v>
      </c>
      <c r="G501" s="5"/>
      <c r="H501" s="5"/>
      <c r="I501" s="5"/>
    </row>
    <row r="502" ht="15.75" customHeight="1">
      <c r="A502" s="19"/>
      <c r="B502" s="21" t="str">
        <f t="shared" si="2"/>
        <v/>
      </c>
      <c r="C502" s="22"/>
      <c r="D502" s="23"/>
      <c r="E502" s="22"/>
      <c r="F502" s="25" t="str">
        <f>IFERROR(VLOOKUP(E933,SETTINGS!A:B,2,0),"No Value")</f>
        <v>No Value</v>
      </c>
      <c r="G502" s="5"/>
      <c r="H502" s="5"/>
      <c r="I502" s="5"/>
    </row>
    <row r="503" ht="15.75" customHeight="1">
      <c r="A503" s="19"/>
      <c r="B503" s="21" t="str">
        <f t="shared" si="2"/>
        <v/>
      </c>
      <c r="C503" s="22"/>
      <c r="D503" s="23"/>
      <c r="E503" s="22"/>
      <c r="F503" s="25" t="str">
        <f>IFERROR(VLOOKUP(E934,SETTINGS!A:B,2,0),"No Value")</f>
        <v>No Value</v>
      </c>
      <c r="G503" s="5"/>
      <c r="H503" s="5"/>
      <c r="I503" s="5"/>
    </row>
    <row r="504" ht="15.75" customHeight="1">
      <c r="A504" s="19"/>
      <c r="B504" s="21" t="str">
        <f t="shared" si="2"/>
        <v/>
      </c>
      <c r="C504" s="22"/>
      <c r="D504" s="23"/>
      <c r="E504" s="22"/>
      <c r="F504" s="25" t="str">
        <f>IFERROR(VLOOKUP(E935,SETTINGS!A:B,2,0),"No Value")</f>
        <v>No Value</v>
      </c>
      <c r="G504" s="5"/>
      <c r="H504" s="5"/>
      <c r="I504" s="5"/>
    </row>
    <row r="505" ht="15.75" customHeight="1">
      <c r="A505" s="19"/>
      <c r="B505" s="21" t="str">
        <f t="shared" si="2"/>
        <v/>
      </c>
      <c r="C505" s="22"/>
      <c r="D505" s="23"/>
      <c r="E505" s="22"/>
      <c r="F505" s="25" t="str">
        <f>IFERROR(VLOOKUP(E936,SETTINGS!A:B,2,0),"No Value")</f>
        <v>No Value</v>
      </c>
      <c r="G505" s="5"/>
      <c r="H505" s="5"/>
      <c r="I505" s="5"/>
    </row>
    <row r="506" ht="15.75" customHeight="1">
      <c r="A506" s="19"/>
      <c r="B506" s="21" t="str">
        <f t="shared" si="2"/>
        <v/>
      </c>
      <c r="C506" s="22"/>
      <c r="D506" s="23"/>
      <c r="E506" s="22"/>
      <c r="F506" s="25" t="str">
        <f>IFERROR(VLOOKUP(E937,SETTINGS!A:B,2,0),"No Value")</f>
        <v>No Value</v>
      </c>
      <c r="G506" s="5"/>
      <c r="H506" s="5"/>
      <c r="I506" s="5"/>
    </row>
    <row r="507" ht="15.75" customHeight="1">
      <c r="A507" s="19"/>
      <c r="B507" s="21" t="str">
        <f t="shared" si="2"/>
        <v/>
      </c>
      <c r="C507" s="22"/>
      <c r="D507" s="23"/>
      <c r="E507" s="22"/>
      <c r="F507" s="25" t="str">
        <f>IFERROR(VLOOKUP(E938,SETTINGS!A:B,2,0),"No Value")</f>
        <v>No Value</v>
      </c>
      <c r="G507" s="5"/>
      <c r="H507" s="5"/>
      <c r="I507" s="5"/>
    </row>
    <row r="508" ht="15.75" customHeight="1">
      <c r="A508" s="19"/>
      <c r="B508" s="21" t="str">
        <f t="shared" si="2"/>
        <v/>
      </c>
      <c r="C508" s="22"/>
      <c r="D508" s="23"/>
      <c r="E508" s="22"/>
      <c r="F508" s="25" t="str">
        <f>IFERROR(VLOOKUP(E939,SETTINGS!A:B,2,0),"No Value")</f>
        <v>No Value</v>
      </c>
      <c r="G508" s="5"/>
      <c r="H508" s="5"/>
      <c r="I508" s="5"/>
    </row>
    <row r="509" ht="15.75" customHeight="1">
      <c r="A509" s="19"/>
      <c r="B509" s="21" t="str">
        <f t="shared" si="2"/>
        <v/>
      </c>
      <c r="C509" s="22"/>
      <c r="D509" s="23"/>
      <c r="E509" s="22"/>
      <c r="F509" s="25" t="str">
        <f>IFERROR(VLOOKUP(E940,SETTINGS!A:B,2,0),"No Value")</f>
        <v>No Value</v>
      </c>
      <c r="G509" s="5"/>
      <c r="H509" s="5"/>
      <c r="I509" s="5"/>
    </row>
    <row r="510" ht="15.75" customHeight="1">
      <c r="A510" s="19"/>
      <c r="B510" s="21" t="str">
        <f t="shared" si="2"/>
        <v/>
      </c>
      <c r="C510" s="22"/>
      <c r="D510" s="23"/>
      <c r="E510" s="22"/>
      <c r="F510" s="25" t="str">
        <f>IFERROR(VLOOKUP(E941,SETTINGS!A:B,2,0),"No Value")</f>
        <v>No Value</v>
      </c>
      <c r="G510" s="5"/>
      <c r="H510" s="5"/>
      <c r="I510" s="5"/>
    </row>
    <row r="511" ht="15.75" customHeight="1">
      <c r="A511" s="19"/>
      <c r="B511" s="21" t="str">
        <f t="shared" si="2"/>
        <v/>
      </c>
      <c r="C511" s="22"/>
      <c r="D511" s="23"/>
      <c r="E511" s="22"/>
      <c r="F511" s="25" t="str">
        <f>IFERROR(VLOOKUP(E942,SETTINGS!A:B,2,0),"No Value")</f>
        <v>No Value</v>
      </c>
      <c r="G511" s="5"/>
      <c r="H511" s="5"/>
      <c r="I511" s="5"/>
    </row>
    <row r="512" ht="15.75" customHeight="1">
      <c r="A512" s="19"/>
      <c r="B512" s="21" t="str">
        <f t="shared" si="2"/>
        <v/>
      </c>
      <c r="C512" s="22"/>
      <c r="D512" s="23"/>
      <c r="E512" s="22"/>
      <c r="F512" s="25" t="str">
        <f>IFERROR(VLOOKUP(E943,SETTINGS!A:B,2,0),"No Value")</f>
        <v>No Value</v>
      </c>
      <c r="G512" s="5"/>
      <c r="H512" s="5"/>
      <c r="I512" s="5"/>
    </row>
    <row r="513" ht="15.75" customHeight="1">
      <c r="A513" s="19"/>
      <c r="B513" s="21" t="str">
        <f t="shared" si="2"/>
        <v/>
      </c>
      <c r="C513" s="22"/>
      <c r="D513" s="23"/>
      <c r="E513" s="22"/>
      <c r="F513" s="25" t="str">
        <f>IFERROR(VLOOKUP(E944,SETTINGS!A:B,2,0),"No Value")</f>
        <v>No Value</v>
      </c>
      <c r="G513" s="5"/>
      <c r="H513" s="5"/>
      <c r="I513" s="5"/>
    </row>
    <row r="514" ht="15.75" customHeight="1">
      <c r="A514" s="19"/>
      <c r="B514" s="21" t="str">
        <f t="shared" si="2"/>
        <v/>
      </c>
      <c r="C514" s="22"/>
      <c r="D514" s="23"/>
      <c r="E514" s="22"/>
      <c r="F514" s="25" t="str">
        <f>IFERROR(VLOOKUP(E945,SETTINGS!A:B,2,0),"No Value")</f>
        <v>No Value</v>
      </c>
      <c r="G514" s="5"/>
      <c r="H514" s="5"/>
      <c r="I514" s="5"/>
    </row>
    <row r="515" ht="15.75" customHeight="1">
      <c r="A515" s="19"/>
      <c r="B515" s="21" t="str">
        <f t="shared" si="2"/>
        <v/>
      </c>
      <c r="C515" s="22"/>
      <c r="D515" s="23"/>
      <c r="E515" s="22"/>
      <c r="F515" s="25" t="str">
        <f>IFERROR(VLOOKUP(E946,SETTINGS!A:B,2,0),"No Value")</f>
        <v>No Value</v>
      </c>
      <c r="G515" s="5"/>
      <c r="H515" s="5"/>
      <c r="I515" s="5"/>
    </row>
    <row r="516" ht="15.75" customHeight="1">
      <c r="A516" s="19"/>
      <c r="B516" s="21" t="str">
        <f t="shared" si="2"/>
        <v/>
      </c>
      <c r="C516" s="22"/>
      <c r="D516" s="23"/>
      <c r="E516" s="22"/>
      <c r="F516" s="25" t="str">
        <f>IFERROR(VLOOKUP(E947,SETTINGS!A:B,2,0),"No Value")</f>
        <v>No Value</v>
      </c>
      <c r="G516" s="5"/>
      <c r="H516" s="5"/>
      <c r="I516" s="5"/>
    </row>
    <row r="517" ht="15.75" customHeight="1">
      <c r="A517" s="19"/>
      <c r="B517" s="21" t="str">
        <f t="shared" si="2"/>
        <v/>
      </c>
      <c r="C517" s="22"/>
      <c r="D517" s="23"/>
      <c r="E517" s="22"/>
      <c r="F517" s="25" t="str">
        <f>IFERROR(VLOOKUP(E948,SETTINGS!A:B,2,0),"No Value")</f>
        <v>No Value</v>
      </c>
      <c r="G517" s="5"/>
      <c r="H517" s="5"/>
      <c r="I517" s="5"/>
    </row>
    <row r="518" ht="15.75" customHeight="1">
      <c r="A518" s="19"/>
      <c r="B518" s="21" t="str">
        <f t="shared" si="2"/>
        <v/>
      </c>
      <c r="C518" s="22"/>
      <c r="D518" s="23"/>
      <c r="E518" s="22"/>
      <c r="F518" s="25" t="str">
        <f>IFERROR(VLOOKUP(E949,SETTINGS!A:B,2,0),"No Value")</f>
        <v>No Value</v>
      </c>
      <c r="G518" s="5"/>
      <c r="H518" s="5"/>
      <c r="I518" s="5"/>
    </row>
    <row r="519" ht="15.75" customHeight="1">
      <c r="A519" s="19"/>
      <c r="B519" s="21" t="str">
        <f t="shared" si="2"/>
        <v/>
      </c>
      <c r="C519" s="22"/>
      <c r="D519" s="23"/>
      <c r="E519" s="22"/>
      <c r="F519" s="25" t="str">
        <f>IFERROR(VLOOKUP(E950,SETTINGS!A:B,2,0),"No Value")</f>
        <v>No Value</v>
      </c>
      <c r="G519" s="5"/>
      <c r="H519" s="5"/>
      <c r="I519" s="5"/>
    </row>
    <row r="520" ht="15.75" customHeight="1">
      <c r="A520" s="19"/>
      <c r="B520" s="21" t="str">
        <f t="shared" si="2"/>
        <v/>
      </c>
      <c r="C520" s="22"/>
      <c r="D520" s="23"/>
      <c r="E520" s="22"/>
      <c r="F520" s="25" t="str">
        <f>IFERROR(VLOOKUP(E951,SETTINGS!A:B,2,0),"No Value")</f>
        <v>No Value</v>
      </c>
      <c r="G520" s="5"/>
      <c r="H520" s="5"/>
      <c r="I520" s="5"/>
    </row>
    <row r="521" ht="15.75" customHeight="1">
      <c r="A521" s="19"/>
      <c r="B521" s="21" t="str">
        <f t="shared" si="2"/>
        <v/>
      </c>
      <c r="C521" s="22"/>
      <c r="D521" s="23"/>
      <c r="E521" s="22"/>
      <c r="F521" s="25" t="str">
        <f>IFERROR(VLOOKUP(E952,SETTINGS!A:B,2,0),"No Value")</f>
        <v>No Value</v>
      </c>
      <c r="G521" s="5"/>
      <c r="H521" s="5"/>
      <c r="I521" s="5"/>
    </row>
    <row r="522" ht="15.75" customHeight="1">
      <c r="A522" s="19"/>
      <c r="B522" s="21" t="str">
        <f t="shared" si="2"/>
        <v/>
      </c>
      <c r="C522" s="22"/>
      <c r="D522" s="23"/>
      <c r="E522" s="22"/>
      <c r="F522" s="25" t="str">
        <f>IFERROR(VLOOKUP(E953,SETTINGS!A:B,2,0),"No Value")</f>
        <v>No Value</v>
      </c>
      <c r="G522" s="5"/>
      <c r="H522" s="5"/>
      <c r="I522" s="5"/>
    </row>
    <row r="523" ht="15.75" customHeight="1">
      <c r="A523" s="19"/>
      <c r="B523" s="21" t="str">
        <f t="shared" si="2"/>
        <v/>
      </c>
      <c r="C523" s="22"/>
      <c r="D523" s="23"/>
      <c r="E523" s="22"/>
      <c r="F523" s="25" t="str">
        <f>IFERROR(VLOOKUP(E954,SETTINGS!A:B,2,0),"No Value")</f>
        <v>No Value</v>
      </c>
      <c r="G523" s="5"/>
      <c r="H523" s="5"/>
      <c r="I523" s="5"/>
    </row>
    <row r="524" ht="15.75" customHeight="1">
      <c r="A524" s="19"/>
      <c r="B524" s="21" t="str">
        <f t="shared" si="2"/>
        <v/>
      </c>
      <c r="C524" s="22"/>
      <c r="D524" s="23"/>
      <c r="E524" s="22"/>
      <c r="F524" s="25" t="str">
        <f>IFERROR(VLOOKUP(E955,SETTINGS!A:B,2,0),"No Value")</f>
        <v>No Value</v>
      </c>
      <c r="G524" s="5"/>
      <c r="H524" s="5"/>
      <c r="I524" s="5"/>
    </row>
    <row r="525" ht="15.75" customHeight="1">
      <c r="A525" s="19"/>
      <c r="B525" s="21" t="str">
        <f t="shared" si="2"/>
        <v/>
      </c>
      <c r="C525" s="22"/>
      <c r="D525" s="23"/>
      <c r="E525" s="22"/>
      <c r="F525" s="25" t="str">
        <f>IFERROR(VLOOKUP(E956,SETTINGS!A:B,2,0),"No Value")</f>
        <v>No Value</v>
      </c>
      <c r="G525" s="5"/>
      <c r="H525" s="5"/>
      <c r="I525" s="5"/>
    </row>
    <row r="526" ht="15.75" customHeight="1">
      <c r="A526" s="19"/>
      <c r="B526" s="21" t="str">
        <f t="shared" si="2"/>
        <v/>
      </c>
      <c r="C526" s="22"/>
      <c r="D526" s="23"/>
      <c r="E526" s="22"/>
      <c r="F526" s="25" t="str">
        <f>IFERROR(VLOOKUP(E957,SETTINGS!A:B,2,0),"No Value")</f>
        <v>No Value</v>
      </c>
      <c r="G526" s="5"/>
      <c r="H526" s="5"/>
      <c r="I526" s="5"/>
    </row>
    <row r="527" ht="15.75" customHeight="1">
      <c r="A527" s="19"/>
      <c r="B527" s="21" t="str">
        <f t="shared" si="2"/>
        <v/>
      </c>
      <c r="C527" s="22"/>
      <c r="D527" s="23"/>
      <c r="E527" s="22"/>
      <c r="F527" s="25" t="str">
        <f>IFERROR(VLOOKUP(E958,SETTINGS!A:B,2,0),"No Value")</f>
        <v>No Value</v>
      </c>
      <c r="G527" s="5"/>
      <c r="H527" s="5"/>
      <c r="I527" s="5"/>
    </row>
    <row r="528" ht="15.75" customHeight="1">
      <c r="A528" s="19"/>
      <c r="B528" s="21" t="str">
        <f t="shared" si="2"/>
        <v/>
      </c>
      <c r="C528" s="22"/>
      <c r="D528" s="23"/>
      <c r="E528" s="22"/>
      <c r="F528" s="25" t="str">
        <f>IFERROR(VLOOKUP(E959,SETTINGS!A:B,2,0),"No Value")</f>
        <v>No Value</v>
      </c>
      <c r="G528" s="5"/>
      <c r="H528" s="5"/>
      <c r="I528" s="5"/>
    </row>
    <row r="529" ht="15.75" customHeight="1">
      <c r="A529" s="19"/>
      <c r="B529" s="21" t="str">
        <f t="shared" si="2"/>
        <v/>
      </c>
      <c r="C529" s="22"/>
      <c r="D529" s="23"/>
      <c r="E529" s="22"/>
      <c r="F529" s="25" t="str">
        <f>IFERROR(VLOOKUP(E960,SETTINGS!A:B,2,0),"No Value")</f>
        <v>No Value</v>
      </c>
      <c r="G529" s="5"/>
      <c r="H529" s="5"/>
      <c r="I529" s="5"/>
    </row>
    <row r="530" ht="15.75" customHeight="1">
      <c r="A530" s="19"/>
      <c r="B530" s="21" t="str">
        <f t="shared" si="2"/>
        <v/>
      </c>
      <c r="C530" s="22"/>
      <c r="D530" s="23"/>
      <c r="E530" s="22"/>
      <c r="F530" s="25" t="str">
        <f>IFERROR(VLOOKUP(E961,SETTINGS!A:B,2,0),"No Value")</f>
        <v>No Value</v>
      </c>
      <c r="G530" s="5"/>
      <c r="H530" s="5"/>
      <c r="I530" s="5"/>
    </row>
    <row r="531" ht="15.75" customHeight="1">
      <c r="A531" s="19"/>
      <c r="B531" s="21" t="str">
        <f t="shared" si="2"/>
        <v/>
      </c>
      <c r="C531" s="22"/>
      <c r="D531" s="23"/>
      <c r="E531" s="22"/>
      <c r="F531" s="25" t="str">
        <f>IFERROR(VLOOKUP(E962,SETTINGS!A:B,2,0),"No Value")</f>
        <v>No Value</v>
      </c>
      <c r="G531" s="5"/>
      <c r="H531" s="5"/>
      <c r="I531" s="5"/>
    </row>
    <row r="532" ht="15.75" customHeight="1">
      <c r="A532" s="19"/>
      <c r="B532" s="21" t="str">
        <f t="shared" si="2"/>
        <v/>
      </c>
      <c r="C532" s="22"/>
      <c r="D532" s="23"/>
      <c r="E532" s="22"/>
      <c r="F532" s="25" t="str">
        <f>IFERROR(VLOOKUP(E963,SETTINGS!A:B,2,0),"No Value")</f>
        <v>No Value</v>
      </c>
      <c r="G532" s="5"/>
      <c r="H532" s="5"/>
      <c r="I532" s="5"/>
    </row>
    <row r="533" ht="15.75" customHeight="1">
      <c r="A533" s="19"/>
      <c r="B533" s="21" t="str">
        <f t="shared" si="2"/>
        <v/>
      </c>
      <c r="C533" s="22"/>
      <c r="D533" s="23"/>
      <c r="E533" s="22"/>
      <c r="F533" s="25" t="str">
        <f>IFERROR(VLOOKUP(E964,SETTINGS!A:B,2,0),"No Value")</f>
        <v>No Value</v>
      </c>
      <c r="G533" s="5"/>
      <c r="H533" s="5"/>
      <c r="I533" s="5"/>
    </row>
    <row r="534" ht="15.75" customHeight="1">
      <c r="A534" s="19"/>
      <c r="B534" s="21" t="str">
        <f t="shared" si="2"/>
        <v/>
      </c>
      <c r="C534" s="22"/>
      <c r="D534" s="23"/>
      <c r="E534" s="22"/>
      <c r="F534" s="25" t="str">
        <f>IFERROR(VLOOKUP(E965,SETTINGS!A:B,2,0),"No Value")</f>
        <v>No Value</v>
      </c>
      <c r="G534" s="5"/>
      <c r="H534" s="5"/>
      <c r="I534" s="5"/>
    </row>
    <row r="535" ht="15.75" customHeight="1">
      <c r="A535" s="19"/>
      <c r="B535" s="21" t="str">
        <f t="shared" si="2"/>
        <v/>
      </c>
      <c r="C535" s="22"/>
      <c r="D535" s="23"/>
      <c r="E535" s="22"/>
      <c r="F535" s="25" t="str">
        <f>IFERROR(VLOOKUP(E966,SETTINGS!A:B,2,0),"No Value")</f>
        <v>No Value</v>
      </c>
      <c r="G535" s="5"/>
      <c r="H535" s="5"/>
      <c r="I535" s="5"/>
    </row>
    <row r="536" ht="15.75" customHeight="1">
      <c r="A536" s="19"/>
      <c r="B536" s="21" t="str">
        <f t="shared" si="2"/>
        <v/>
      </c>
      <c r="C536" s="22"/>
      <c r="D536" s="23"/>
      <c r="E536" s="22"/>
      <c r="F536" s="25" t="str">
        <f>IFERROR(VLOOKUP(E967,SETTINGS!A:B,2,0),"No Value")</f>
        <v>No Value</v>
      </c>
      <c r="G536" s="5"/>
      <c r="H536" s="5"/>
      <c r="I536" s="5"/>
    </row>
    <row r="537" ht="15.75" customHeight="1">
      <c r="A537" s="19"/>
      <c r="B537" s="21" t="str">
        <f t="shared" si="2"/>
        <v/>
      </c>
      <c r="C537" s="22"/>
      <c r="D537" s="23"/>
      <c r="E537" s="22"/>
      <c r="F537" s="25" t="str">
        <f>IFERROR(VLOOKUP(E968,SETTINGS!A:B,2,0),"No Value")</f>
        <v>No Value</v>
      </c>
      <c r="G537" s="5"/>
      <c r="H537" s="5"/>
      <c r="I537" s="5"/>
    </row>
    <row r="538" ht="15.75" customHeight="1">
      <c r="A538" s="19"/>
      <c r="B538" s="21" t="str">
        <f t="shared" si="2"/>
        <v/>
      </c>
      <c r="C538" s="22"/>
      <c r="D538" s="23"/>
      <c r="E538" s="22"/>
      <c r="F538" s="25" t="str">
        <f>IFERROR(VLOOKUP(E969,SETTINGS!A:B,2,0),"No Value")</f>
        <v>No Value</v>
      </c>
      <c r="G538" s="5"/>
      <c r="H538" s="5"/>
      <c r="I538" s="5"/>
    </row>
    <row r="539" ht="15.75" customHeight="1">
      <c r="A539" s="19"/>
      <c r="B539" s="21" t="str">
        <f t="shared" si="2"/>
        <v/>
      </c>
      <c r="C539" s="22"/>
      <c r="D539" s="23"/>
      <c r="E539" s="22"/>
      <c r="F539" s="25" t="str">
        <f>IFERROR(VLOOKUP(E970,SETTINGS!A:B,2,0),"No Value")</f>
        <v>No Value</v>
      </c>
      <c r="G539" s="5"/>
      <c r="H539" s="5"/>
      <c r="I539" s="5"/>
    </row>
    <row r="540" ht="15.75" customHeight="1">
      <c r="A540" s="19"/>
      <c r="B540" s="21" t="str">
        <f t="shared" si="2"/>
        <v/>
      </c>
      <c r="C540" s="22"/>
      <c r="D540" s="23"/>
      <c r="E540" s="22"/>
      <c r="F540" s="25" t="str">
        <f>IFERROR(VLOOKUP(E971,SETTINGS!A:B,2,0),"No Value")</f>
        <v>No Value</v>
      </c>
      <c r="G540" s="5"/>
      <c r="H540" s="5"/>
      <c r="I540" s="5"/>
    </row>
    <row r="541" ht="15.75" customHeight="1">
      <c r="A541" s="19"/>
      <c r="B541" s="21" t="str">
        <f t="shared" si="2"/>
        <v/>
      </c>
      <c r="C541" s="22"/>
      <c r="D541" s="23"/>
      <c r="E541" s="22"/>
      <c r="F541" s="25" t="str">
        <f>IFERROR(VLOOKUP(E972,SETTINGS!A:B,2,0),"No Value")</f>
        <v>No Value</v>
      </c>
      <c r="G541" s="5"/>
      <c r="H541" s="5"/>
      <c r="I541" s="5"/>
    </row>
    <row r="542" ht="15.75" customHeight="1">
      <c r="A542" s="19"/>
      <c r="B542" s="21" t="str">
        <f t="shared" si="2"/>
        <v/>
      </c>
      <c r="C542" s="22"/>
      <c r="D542" s="23"/>
      <c r="E542" s="22"/>
      <c r="F542" s="25" t="str">
        <f>IFERROR(VLOOKUP(E973,SETTINGS!A:B,2,0),"No Value")</f>
        <v>No Value</v>
      </c>
      <c r="G542" s="5"/>
      <c r="H542" s="5"/>
      <c r="I542" s="5"/>
    </row>
    <row r="543" ht="15.75" customHeight="1">
      <c r="A543" s="19"/>
      <c r="B543" s="21" t="str">
        <f t="shared" si="2"/>
        <v/>
      </c>
      <c r="C543" s="22"/>
      <c r="D543" s="23"/>
      <c r="E543" s="22"/>
      <c r="F543" s="25" t="str">
        <f>IFERROR(VLOOKUP(E974,SETTINGS!A:B,2,0),"No Value")</f>
        <v>No Value</v>
      </c>
      <c r="G543" s="5"/>
      <c r="H543" s="5"/>
      <c r="I543" s="5"/>
    </row>
    <row r="544" ht="15.75" customHeight="1">
      <c r="A544" s="19"/>
      <c r="B544" s="21" t="str">
        <f t="shared" si="2"/>
        <v/>
      </c>
      <c r="C544" s="22"/>
      <c r="D544" s="23"/>
      <c r="E544" s="22"/>
      <c r="F544" s="25" t="str">
        <f>IFERROR(VLOOKUP(E975,SETTINGS!A:B,2,0),"No Value")</f>
        <v>No Value</v>
      </c>
      <c r="G544" s="5"/>
      <c r="H544" s="5"/>
      <c r="I544" s="5"/>
    </row>
    <row r="545" ht="15.75" customHeight="1">
      <c r="A545" s="19"/>
      <c r="B545" s="21" t="str">
        <f t="shared" si="2"/>
        <v/>
      </c>
      <c r="C545" s="22"/>
      <c r="D545" s="23"/>
      <c r="E545" s="22"/>
      <c r="F545" s="25" t="str">
        <f>IFERROR(VLOOKUP(E976,SETTINGS!A:B,2,0),"No Value")</f>
        <v>No Value</v>
      </c>
      <c r="G545" s="5"/>
      <c r="H545" s="5"/>
      <c r="I545" s="5"/>
    </row>
    <row r="546" ht="15.75" customHeight="1">
      <c r="A546" s="19"/>
      <c r="B546" s="21" t="str">
        <f t="shared" si="2"/>
        <v/>
      </c>
      <c r="C546" s="22"/>
      <c r="D546" s="23"/>
      <c r="E546" s="22"/>
      <c r="F546" s="25" t="str">
        <f>IFERROR(VLOOKUP(E977,SETTINGS!A:B,2,0),"No Value")</f>
        <v>No Value</v>
      </c>
      <c r="G546" s="5"/>
      <c r="H546" s="5"/>
      <c r="I546" s="5"/>
    </row>
    <row r="547" ht="15.75" customHeight="1">
      <c r="A547" s="19"/>
      <c r="B547" s="21" t="str">
        <f t="shared" si="2"/>
        <v/>
      </c>
      <c r="C547" s="22"/>
      <c r="D547" s="23"/>
      <c r="E547" s="22"/>
      <c r="F547" s="25" t="str">
        <f>IFERROR(VLOOKUP(E978,SETTINGS!A:B,2,0),"No Value")</f>
        <v>No Value</v>
      </c>
      <c r="G547" s="5"/>
      <c r="H547" s="5"/>
      <c r="I547" s="5"/>
    </row>
    <row r="548" ht="15.75" customHeight="1">
      <c r="A548" s="19"/>
      <c r="B548" s="21" t="str">
        <f t="shared" si="2"/>
        <v/>
      </c>
      <c r="C548" s="22"/>
      <c r="D548" s="23"/>
      <c r="E548" s="22"/>
      <c r="F548" s="25" t="str">
        <f>IFERROR(VLOOKUP(E979,SETTINGS!A:B,2,0),"No Value")</f>
        <v>No Value</v>
      </c>
      <c r="G548" s="5"/>
      <c r="H548" s="5"/>
      <c r="I548" s="5"/>
    </row>
    <row r="549" ht="15.75" customHeight="1">
      <c r="A549" s="19"/>
      <c r="B549" s="21" t="str">
        <f t="shared" si="2"/>
        <v/>
      </c>
      <c r="C549" s="22"/>
      <c r="D549" s="23"/>
      <c r="E549" s="22"/>
      <c r="F549" s="25" t="str">
        <f>IFERROR(VLOOKUP(E980,SETTINGS!A:B,2,0),"No Value")</f>
        <v>No Value</v>
      </c>
      <c r="G549" s="5"/>
      <c r="H549" s="5"/>
      <c r="I549" s="5"/>
    </row>
    <row r="550" ht="15.75" customHeight="1">
      <c r="A550" s="19"/>
      <c r="B550" s="21" t="str">
        <f t="shared" si="2"/>
        <v/>
      </c>
      <c r="C550" s="22"/>
      <c r="D550" s="23"/>
      <c r="E550" s="22"/>
      <c r="F550" s="25" t="str">
        <f>IFERROR(VLOOKUP(E981,SETTINGS!A:B,2,0),"No Value")</f>
        <v>No Value</v>
      </c>
      <c r="G550" s="5"/>
      <c r="H550" s="5"/>
      <c r="I550" s="5"/>
    </row>
    <row r="551" ht="15.75" customHeight="1">
      <c r="A551" s="19"/>
      <c r="B551" s="21" t="str">
        <f t="shared" si="2"/>
        <v/>
      </c>
      <c r="C551" s="22"/>
      <c r="D551" s="23"/>
      <c r="E551" s="22"/>
      <c r="F551" s="25" t="str">
        <f>IFERROR(VLOOKUP(E982,SETTINGS!A:B,2,0),"No Value")</f>
        <v>No Value</v>
      </c>
      <c r="G551" s="5"/>
      <c r="H551" s="5"/>
      <c r="I551" s="5"/>
    </row>
    <row r="552" ht="15.75" customHeight="1">
      <c r="A552" s="19"/>
      <c r="B552" s="21" t="str">
        <f t="shared" si="2"/>
        <v/>
      </c>
      <c r="C552" s="22"/>
      <c r="D552" s="23"/>
      <c r="E552" s="22"/>
      <c r="F552" s="25" t="str">
        <f>IFERROR(VLOOKUP(E983,SETTINGS!A:B,2,0),"No Value")</f>
        <v>No Value</v>
      </c>
      <c r="G552" s="5"/>
      <c r="H552" s="5"/>
      <c r="I552" s="5"/>
    </row>
    <row r="553" ht="15.75" customHeight="1">
      <c r="A553" s="19"/>
      <c r="B553" s="21" t="str">
        <f t="shared" si="2"/>
        <v/>
      </c>
      <c r="C553" s="22"/>
      <c r="D553" s="23"/>
      <c r="E553" s="22"/>
      <c r="F553" s="25" t="str">
        <f>IFERROR(VLOOKUP(E984,SETTINGS!A:B,2,0),"No Value")</f>
        <v>No Value</v>
      </c>
      <c r="G553" s="5"/>
      <c r="H553" s="5"/>
      <c r="I553" s="5"/>
    </row>
    <row r="554" ht="15.75" customHeight="1">
      <c r="A554" s="19"/>
      <c r="B554" s="21" t="str">
        <f t="shared" si="2"/>
        <v/>
      </c>
      <c r="C554" s="22"/>
      <c r="D554" s="23"/>
      <c r="E554" s="22"/>
      <c r="F554" s="25" t="str">
        <f>IFERROR(VLOOKUP(E985,SETTINGS!A:B,2,0),"No Value")</f>
        <v>No Value</v>
      </c>
      <c r="G554" s="5"/>
      <c r="H554" s="5"/>
      <c r="I554" s="5"/>
    </row>
    <row r="555" ht="15.75" customHeight="1">
      <c r="A555" s="19"/>
      <c r="B555" s="21" t="str">
        <f t="shared" si="2"/>
        <v/>
      </c>
      <c r="C555" s="22"/>
      <c r="D555" s="23"/>
      <c r="E555" s="22"/>
      <c r="F555" s="25" t="str">
        <f>IFERROR(VLOOKUP(E986,SETTINGS!A:B,2,0),"No Value")</f>
        <v>No Value</v>
      </c>
      <c r="G555" s="5"/>
      <c r="H555" s="5"/>
      <c r="I555" s="5"/>
    </row>
    <row r="556" ht="15.75" customHeight="1">
      <c r="A556" s="19"/>
      <c r="B556" s="21" t="str">
        <f t="shared" si="2"/>
        <v/>
      </c>
      <c r="C556" s="22"/>
      <c r="D556" s="23"/>
      <c r="E556" s="22"/>
      <c r="F556" s="25" t="str">
        <f>IFERROR(VLOOKUP(E987,SETTINGS!A:B,2,0),"No Value")</f>
        <v>No Value</v>
      </c>
      <c r="G556" s="5"/>
      <c r="H556" s="5"/>
      <c r="I556" s="5"/>
    </row>
    <row r="557" ht="15.75" customHeight="1">
      <c r="A557" s="19"/>
      <c r="B557" s="21" t="str">
        <f t="shared" si="2"/>
        <v/>
      </c>
      <c r="C557" s="22"/>
      <c r="D557" s="23"/>
      <c r="E557" s="22"/>
      <c r="F557" s="25" t="str">
        <f>IFERROR(VLOOKUP(E988,SETTINGS!A:B,2,0),"No Value")</f>
        <v>No Value</v>
      </c>
      <c r="G557" s="5"/>
      <c r="H557" s="5"/>
      <c r="I557" s="5"/>
    </row>
    <row r="558" ht="15.75" customHeight="1">
      <c r="A558" s="19"/>
      <c r="B558" s="21" t="str">
        <f t="shared" si="2"/>
        <v/>
      </c>
      <c r="C558" s="22"/>
      <c r="D558" s="23"/>
      <c r="E558" s="22"/>
      <c r="F558" s="25" t="str">
        <f>IFERROR(VLOOKUP(E989,SETTINGS!A:B,2,0),"No Value")</f>
        <v>No Value</v>
      </c>
      <c r="G558" s="5"/>
      <c r="H558" s="5"/>
      <c r="I558" s="5"/>
    </row>
    <row r="559" ht="15.75" customHeight="1">
      <c r="A559" s="19"/>
      <c r="B559" s="21" t="str">
        <f t="shared" si="2"/>
        <v/>
      </c>
      <c r="C559" s="22"/>
      <c r="D559" s="23"/>
      <c r="E559" s="22"/>
      <c r="F559" s="25" t="str">
        <f>IFERROR(VLOOKUP(E990,SETTINGS!A:B,2,0),"No Value")</f>
        <v>No Value</v>
      </c>
      <c r="G559" s="5"/>
      <c r="H559" s="5"/>
      <c r="I559" s="5"/>
    </row>
    <row r="560" ht="15.75" customHeight="1">
      <c r="A560" s="19"/>
      <c r="B560" s="21" t="str">
        <f t="shared" si="2"/>
        <v/>
      </c>
      <c r="C560" s="22"/>
      <c r="D560" s="23"/>
      <c r="E560" s="22"/>
      <c r="F560" s="25" t="str">
        <f>IFERROR(VLOOKUP(E991,SETTINGS!A:B,2,0),"No Value")</f>
        <v>No Value</v>
      </c>
      <c r="G560" s="5"/>
      <c r="H560" s="5"/>
      <c r="I560" s="5"/>
    </row>
    <row r="561" ht="15.75" customHeight="1">
      <c r="A561" s="19"/>
      <c r="B561" s="21" t="str">
        <f t="shared" si="2"/>
        <v/>
      </c>
      <c r="C561" s="22"/>
      <c r="D561" s="23"/>
      <c r="E561" s="22"/>
      <c r="F561" s="25" t="str">
        <f>IFERROR(VLOOKUP(E992,SETTINGS!A:B,2,0),"No Value")</f>
        <v>No Value</v>
      </c>
      <c r="G561" s="5"/>
      <c r="H561" s="5"/>
      <c r="I561" s="5"/>
    </row>
    <row r="562" ht="15.75" customHeight="1">
      <c r="A562" s="19"/>
      <c r="B562" s="21" t="str">
        <f t="shared" si="2"/>
        <v/>
      </c>
      <c r="C562" s="22"/>
      <c r="D562" s="23"/>
      <c r="E562" s="22"/>
      <c r="F562" s="25" t="str">
        <f>IFERROR(VLOOKUP(E993,SETTINGS!A:B,2,0),"No Value")</f>
        <v>No Value</v>
      </c>
      <c r="G562" s="5"/>
      <c r="H562" s="5"/>
      <c r="I562" s="5"/>
    </row>
    <row r="563" ht="15.75" customHeight="1">
      <c r="A563" s="19"/>
      <c r="B563" s="21" t="str">
        <f t="shared" si="2"/>
        <v/>
      </c>
      <c r="C563" s="22"/>
      <c r="D563" s="23"/>
      <c r="E563" s="22"/>
      <c r="F563" s="25" t="str">
        <f>IFERROR(VLOOKUP(E994,SETTINGS!A:B,2,0),"No Value")</f>
        <v>No Value</v>
      </c>
      <c r="G563" s="5"/>
      <c r="H563" s="5"/>
      <c r="I563" s="5"/>
    </row>
    <row r="564" ht="15.75" customHeight="1">
      <c r="A564" s="19"/>
      <c r="B564" s="21" t="str">
        <f t="shared" si="2"/>
        <v/>
      </c>
      <c r="C564" s="22"/>
      <c r="D564" s="23"/>
      <c r="E564" s="22"/>
      <c r="F564" s="25" t="str">
        <f>IFERROR(VLOOKUP(E995,SETTINGS!A:B,2,0),"No Value")</f>
        <v>No Value</v>
      </c>
      <c r="G564" s="5"/>
      <c r="H564" s="5"/>
      <c r="I564" s="5"/>
    </row>
    <row r="565" ht="15.75" customHeight="1">
      <c r="A565" s="19"/>
      <c r="B565" s="21" t="str">
        <f t="shared" si="2"/>
        <v/>
      </c>
      <c r="C565" s="22"/>
      <c r="D565" s="23"/>
      <c r="E565" s="22"/>
      <c r="F565" s="25" t="str">
        <f>IFERROR(VLOOKUP(E996,SETTINGS!A:B,2,0),"No Value")</f>
        <v>No Value</v>
      </c>
      <c r="G565" s="5"/>
      <c r="H565" s="5"/>
      <c r="I565" s="5"/>
    </row>
    <row r="566" ht="15.75" customHeight="1">
      <c r="A566" s="19"/>
      <c r="B566" s="21" t="str">
        <f t="shared" si="2"/>
        <v/>
      </c>
      <c r="C566" s="22"/>
      <c r="D566" s="23"/>
      <c r="E566" s="22"/>
      <c r="F566" s="25" t="str">
        <f>IFERROR(VLOOKUP(E997,SETTINGS!A:B,2,0),"No Value")</f>
        <v>No Value</v>
      </c>
      <c r="G566" s="5"/>
      <c r="H566" s="5"/>
      <c r="I566" s="5"/>
    </row>
    <row r="567" ht="15.75" customHeight="1">
      <c r="A567" s="19"/>
      <c r="B567" s="21" t="str">
        <f t="shared" si="2"/>
        <v/>
      </c>
      <c r="C567" s="22"/>
      <c r="D567" s="23"/>
      <c r="E567" s="22"/>
      <c r="F567" s="25" t="str">
        <f>IFERROR(VLOOKUP(E998,SETTINGS!A:B,2,0),"No Value")</f>
        <v>No Value</v>
      </c>
      <c r="G567" s="5"/>
      <c r="H567" s="5"/>
      <c r="I567" s="5"/>
    </row>
    <row r="568" ht="15.75" customHeight="1">
      <c r="A568" s="19"/>
      <c r="B568" s="21" t="str">
        <f t="shared" si="2"/>
        <v/>
      </c>
      <c r="C568" s="22"/>
      <c r="D568" s="23"/>
      <c r="E568" s="22"/>
      <c r="F568" s="25" t="str">
        <f>IFERROR(VLOOKUP(E999,SETTINGS!A:B,2,0),"No Value")</f>
        <v>No Value</v>
      </c>
      <c r="G568" s="5"/>
      <c r="H568" s="5"/>
      <c r="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autoFilter ref="$A$3:$G$999"/>
  <mergeCells count="1">
    <mergeCell ref="A1:G1"/>
  </mergeCells>
  <conditionalFormatting sqref="E2">
    <cfRule type="containsText" dxfId="0" priority="1" operator="containsText" text="Crypto">
      <formula>NOT(ISERROR(SEARCH(("Crypto"),(E2))))</formula>
    </cfRule>
  </conditionalFormatting>
  <conditionalFormatting sqref="E2">
    <cfRule type="containsText" dxfId="1" priority="2" operator="containsText" text="Shares MF">
      <formula>NOT(ISERROR(SEARCH(("Shares MF"),(E2))))</formula>
    </cfRule>
  </conditionalFormatting>
  <conditionalFormatting sqref="A4:C999 D4:D590 D592:D999 E4:G999">
    <cfRule type="expression" dxfId="2" priority="3">
      <formula>$D4&lt;0</formula>
    </cfRule>
  </conditionalFormatting>
  <dataValidations>
    <dataValidation type="custom" allowBlank="1" showDropDown="1" showInputMessage="1" showErrorMessage="1" prompt="Enter a valid date in MM-DD-YYYY format" sqref="A487:A590">
      <formula1>OR(NOT(ISERROR(DATEVALUE(A487))), AND(ISNUMBER(A487), LEFT(CELL("format", A487))="D"))</formula1>
    </dataValidation>
    <dataValidation type="decimal" allowBlank="1" showDropDown="1" showInputMessage="1" showErrorMessage="1" prompt="Enter a valid number" sqref="D487:D491">
      <formula1>-1.0E12</formula1>
      <formula2>1.0E12</formula2>
    </dataValidation>
    <dataValidation type="list" allowBlank="1" sqref="E4:E999">
      <formula1>SETTINGS!$A$3:$A$100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35.0"/>
    <col customWidth="1" min="3" max="3" width="16.0"/>
    <col customWidth="1" min="4" max="4" width="22.0"/>
    <col customWidth="1" min="5" max="5" width="44.14"/>
    <col customWidth="1" min="6" max="6" width="4.57"/>
  </cols>
  <sheetData>
    <row r="1" ht="31.5" customHeight="1">
      <c r="A1" s="1" t="s">
        <v>0</v>
      </c>
      <c r="B1" s="3"/>
      <c r="C1" s="3"/>
      <c r="D1" s="3"/>
      <c r="E1" s="4"/>
      <c r="F1" s="5"/>
      <c r="G1" s="5"/>
    </row>
    <row r="2" ht="15.0" customHeight="1">
      <c r="A2" s="6" t="s">
        <v>3</v>
      </c>
      <c r="B2" s="6" t="s">
        <v>3</v>
      </c>
      <c r="C2" s="6" t="s">
        <v>3</v>
      </c>
      <c r="D2" s="10" t="s">
        <v>4</v>
      </c>
      <c r="E2" s="6" t="s">
        <v>3</v>
      </c>
      <c r="F2" s="5"/>
      <c r="G2" s="5"/>
    </row>
    <row r="3" ht="24.0" customHeight="1">
      <c r="A3" s="12" t="s">
        <v>6</v>
      </c>
      <c r="B3" s="12" t="s">
        <v>9</v>
      </c>
      <c r="C3" s="12" t="s">
        <v>10</v>
      </c>
      <c r="D3" s="12" t="s">
        <v>11</v>
      </c>
      <c r="E3" s="14" t="s">
        <v>13</v>
      </c>
      <c r="F3" s="5"/>
      <c r="G3" s="5"/>
    </row>
    <row r="4" ht="15.75" customHeight="1">
      <c r="A4" s="15">
        <v>45689.0</v>
      </c>
      <c r="B4" s="16" t="s">
        <v>17</v>
      </c>
      <c r="C4" s="18">
        <v>0.0</v>
      </c>
      <c r="D4" s="16" t="s">
        <v>19</v>
      </c>
      <c r="E4" s="11"/>
      <c r="F4" s="5"/>
      <c r="G4" s="5"/>
    </row>
    <row r="5" ht="15.75" customHeight="1">
      <c r="A5" s="15">
        <v>45717.0</v>
      </c>
      <c r="B5" s="16" t="s">
        <v>17</v>
      </c>
      <c r="C5" s="18">
        <v>21929.0</v>
      </c>
      <c r="D5" s="16" t="s">
        <v>19</v>
      </c>
      <c r="E5" s="11"/>
      <c r="F5" s="5"/>
      <c r="G5" s="5"/>
    </row>
    <row r="6" ht="15.75" customHeight="1">
      <c r="A6" s="15">
        <v>45717.0</v>
      </c>
      <c r="B6" s="16" t="s">
        <v>21</v>
      </c>
      <c r="C6" s="18">
        <v>-7000.0</v>
      </c>
      <c r="D6" s="16" t="s">
        <v>19</v>
      </c>
      <c r="E6" s="11"/>
      <c r="F6" s="5"/>
      <c r="G6" s="5"/>
    </row>
    <row r="7" ht="15.75" customHeight="1">
      <c r="A7" s="15">
        <v>45717.0</v>
      </c>
      <c r="B7" s="16" t="s">
        <v>24</v>
      </c>
      <c r="C7" s="18">
        <v>7000.0</v>
      </c>
      <c r="D7" s="16" t="s">
        <v>25</v>
      </c>
      <c r="E7" s="11"/>
      <c r="F7" s="5"/>
      <c r="G7" s="5"/>
    </row>
    <row r="8" ht="15.75" customHeight="1">
      <c r="A8" s="15">
        <v>45748.0</v>
      </c>
      <c r="B8" s="16" t="s">
        <v>17</v>
      </c>
      <c r="C8" s="18">
        <v>22029.0</v>
      </c>
      <c r="D8" s="16" t="s">
        <v>19</v>
      </c>
      <c r="E8" s="11"/>
      <c r="F8" s="5"/>
      <c r="G8" s="5"/>
    </row>
    <row r="9" ht="15.75" customHeight="1">
      <c r="A9" s="15">
        <v>45748.0</v>
      </c>
      <c r="B9" s="16" t="s">
        <v>21</v>
      </c>
      <c r="C9" s="18">
        <v>-8000.0</v>
      </c>
      <c r="D9" s="16" t="s">
        <v>19</v>
      </c>
      <c r="E9" s="11"/>
      <c r="F9" s="5"/>
      <c r="G9" s="5"/>
    </row>
    <row r="10" ht="15.75" customHeight="1">
      <c r="A10" s="15">
        <v>45748.0</v>
      </c>
      <c r="B10" s="16" t="s">
        <v>24</v>
      </c>
      <c r="C10" s="18">
        <v>8000.0</v>
      </c>
      <c r="D10" s="16" t="s">
        <v>25</v>
      </c>
      <c r="E10" s="11"/>
      <c r="F10" s="5"/>
      <c r="G10" s="5"/>
    </row>
    <row r="11" ht="15.75" customHeight="1">
      <c r="A11" s="15">
        <v>45778.0</v>
      </c>
      <c r="B11" s="16" t="s">
        <v>28</v>
      </c>
      <c r="C11" s="18">
        <v>22029.0</v>
      </c>
      <c r="D11" s="16" t="s">
        <v>19</v>
      </c>
      <c r="E11" s="11"/>
      <c r="F11" s="5"/>
      <c r="G11" s="5"/>
    </row>
    <row r="12" ht="15.75" customHeight="1">
      <c r="A12" s="15">
        <v>45778.0</v>
      </c>
      <c r="B12" s="16" t="s">
        <v>21</v>
      </c>
      <c r="C12" s="18">
        <v>-11014.0</v>
      </c>
      <c r="D12" s="16" t="s">
        <v>19</v>
      </c>
      <c r="E12" s="11"/>
      <c r="F12" s="5"/>
      <c r="G12" s="5"/>
    </row>
    <row r="13" ht="15.75" customHeight="1">
      <c r="A13" s="15">
        <v>45778.0</v>
      </c>
      <c r="B13" s="16" t="s">
        <v>29</v>
      </c>
      <c r="C13" s="18">
        <v>11014.0</v>
      </c>
      <c r="D13" s="16" t="s">
        <v>25</v>
      </c>
      <c r="E13" s="11"/>
      <c r="F13" s="5"/>
      <c r="G13" s="5"/>
    </row>
    <row r="14" ht="15.75" customHeight="1">
      <c r="A14" s="15">
        <v>45793.0</v>
      </c>
      <c r="B14" s="16" t="s">
        <v>30</v>
      </c>
      <c r="C14" s="18">
        <v>2000.0</v>
      </c>
      <c r="D14" s="16" t="s">
        <v>31</v>
      </c>
      <c r="E14" s="11"/>
      <c r="F14" s="5"/>
      <c r="G14" s="5"/>
    </row>
    <row r="15" ht="15.75" customHeight="1">
      <c r="A15" s="15">
        <v>45795.0</v>
      </c>
      <c r="B15" s="16" t="s">
        <v>30</v>
      </c>
      <c r="C15" s="18">
        <v>2000.0</v>
      </c>
      <c r="D15" s="16" t="s">
        <v>31</v>
      </c>
      <c r="E15" s="11"/>
      <c r="F15" s="5"/>
      <c r="G15" s="5"/>
    </row>
    <row r="16" ht="15.75" customHeight="1">
      <c r="A16" s="15">
        <v>45809.0</v>
      </c>
      <c r="B16" s="16" t="s">
        <v>28</v>
      </c>
      <c r="C16" s="18">
        <v>24446.0</v>
      </c>
      <c r="D16" s="16" t="s">
        <v>19</v>
      </c>
      <c r="E16" s="11"/>
      <c r="F16" s="5"/>
      <c r="G16" s="5"/>
    </row>
    <row r="17" ht="15.75" customHeight="1">
      <c r="A17" s="15">
        <v>45809.0</v>
      </c>
      <c r="B17" s="16" t="s">
        <v>21</v>
      </c>
      <c r="C17" s="18">
        <v>-12223.0</v>
      </c>
      <c r="D17" s="16" t="s">
        <v>19</v>
      </c>
      <c r="E17" s="11"/>
      <c r="F17" s="5"/>
      <c r="G17" s="5"/>
    </row>
    <row r="18" ht="15.75" customHeight="1">
      <c r="A18" s="15">
        <v>45809.0</v>
      </c>
      <c r="B18" s="16" t="s">
        <v>29</v>
      </c>
      <c r="C18" s="18">
        <v>12223.0</v>
      </c>
      <c r="D18" s="16" t="s">
        <v>25</v>
      </c>
      <c r="E18" s="11"/>
      <c r="F18" s="5"/>
      <c r="G18" s="5"/>
    </row>
    <row r="19" ht="15.75" customHeight="1">
      <c r="A19" s="15">
        <v>45839.0</v>
      </c>
      <c r="B19" s="16" t="s">
        <v>28</v>
      </c>
      <c r="C19" s="18">
        <v>19315.0</v>
      </c>
      <c r="D19" s="16" t="s">
        <v>19</v>
      </c>
      <c r="E19" s="11"/>
      <c r="F19" s="5"/>
      <c r="G19" s="5"/>
    </row>
    <row r="20" ht="15.75" customHeight="1">
      <c r="A20" s="15">
        <v>45839.0</v>
      </c>
      <c r="B20" s="16" t="s">
        <v>21</v>
      </c>
      <c r="C20" s="18">
        <v>-11589.0</v>
      </c>
      <c r="D20" s="16" t="s">
        <v>19</v>
      </c>
      <c r="E20" s="11"/>
      <c r="F20" s="5"/>
      <c r="G20" s="5"/>
    </row>
    <row r="21" ht="15.75" customHeight="1">
      <c r="A21" s="15">
        <v>45839.0</v>
      </c>
      <c r="B21" s="16" t="s">
        <v>29</v>
      </c>
      <c r="C21" s="18">
        <v>11589.0</v>
      </c>
      <c r="D21" s="16" t="s">
        <v>25</v>
      </c>
      <c r="E21" s="11"/>
      <c r="F21" s="5"/>
      <c r="G21" s="5"/>
    </row>
    <row r="22" ht="15.75" customHeight="1">
      <c r="A22" s="15"/>
      <c r="B22" s="16"/>
      <c r="C22" s="18"/>
      <c r="D22" s="16"/>
      <c r="E22" s="11"/>
      <c r="F22" s="5"/>
      <c r="G22" s="5"/>
    </row>
    <row r="23" ht="15.75" customHeight="1">
      <c r="A23" s="15"/>
      <c r="B23" s="16"/>
      <c r="C23" s="18"/>
      <c r="D23" s="16"/>
      <c r="E23" s="11"/>
      <c r="F23" s="5"/>
      <c r="G23" s="5"/>
    </row>
    <row r="24" ht="15.75" customHeight="1">
      <c r="A24" s="15"/>
      <c r="B24" s="16"/>
      <c r="C24" s="18"/>
      <c r="D24" s="16"/>
      <c r="E24" s="11"/>
      <c r="F24" s="5"/>
      <c r="G24" s="5"/>
    </row>
    <row r="25" ht="15.75" customHeight="1">
      <c r="A25" s="15"/>
      <c r="B25" s="16"/>
      <c r="C25" s="18"/>
      <c r="D25" s="16"/>
      <c r="E25" s="11"/>
      <c r="F25" s="5"/>
      <c r="G25" s="5"/>
    </row>
    <row r="26" ht="15.75" customHeight="1">
      <c r="A26" s="15"/>
      <c r="B26" s="16"/>
      <c r="C26" s="18"/>
      <c r="D26" s="16"/>
      <c r="E26" s="11"/>
      <c r="F26" s="5"/>
      <c r="G26" s="5"/>
    </row>
    <row r="27" ht="15.75" customHeight="1">
      <c r="A27" s="15"/>
      <c r="B27" s="16"/>
      <c r="C27" s="18"/>
      <c r="D27" s="16"/>
      <c r="E27" s="11"/>
      <c r="F27" s="5"/>
      <c r="G27" s="5"/>
    </row>
    <row r="28" ht="15.75" customHeight="1">
      <c r="A28" s="15"/>
      <c r="B28" s="16"/>
      <c r="C28" s="18"/>
      <c r="D28" s="16"/>
      <c r="E28" s="11"/>
      <c r="F28" s="5"/>
      <c r="G28" s="5"/>
    </row>
    <row r="29" ht="15.75" customHeight="1">
      <c r="A29" s="15"/>
      <c r="B29" s="16"/>
      <c r="C29" s="18"/>
      <c r="D29" s="16"/>
      <c r="E29" s="11"/>
      <c r="F29" s="5"/>
      <c r="G29" s="5"/>
    </row>
    <row r="30" ht="15.75" customHeight="1">
      <c r="A30" s="15"/>
      <c r="B30" s="16"/>
      <c r="C30" s="18"/>
      <c r="D30" s="16"/>
      <c r="E30" s="11"/>
      <c r="F30" s="5"/>
      <c r="G30" s="5"/>
    </row>
    <row r="31" ht="15.75" customHeight="1">
      <c r="A31" s="15"/>
      <c r="B31" s="16"/>
      <c r="C31" s="18"/>
      <c r="D31" s="16"/>
      <c r="E31" s="11"/>
      <c r="F31" s="5"/>
      <c r="G31" s="5"/>
    </row>
    <row r="32" ht="15.75" customHeight="1">
      <c r="A32" s="15"/>
      <c r="B32" s="16"/>
      <c r="C32" s="18"/>
      <c r="D32" s="16"/>
      <c r="E32" s="11"/>
      <c r="F32" s="5"/>
      <c r="G32" s="5"/>
    </row>
    <row r="33" ht="15.75" customHeight="1">
      <c r="A33" s="15"/>
      <c r="B33" s="16"/>
      <c r="C33" s="18"/>
      <c r="D33" s="16"/>
      <c r="E33" s="11"/>
      <c r="F33" s="5"/>
      <c r="G33" s="5"/>
    </row>
    <row r="34" ht="15.75" customHeight="1">
      <c r="A34" s="15"/>
      <c r="B34" s="16"/>
      <c r="C34" s="18"/>
      <c r="D34" s="16"/>
      <c r="E34" s="11"/>
      <c r="F34" s="5"/>
      <c r="G34" s="5"/>
    </row>
    <row r="35" ht="15.75" customHeight="1">
      <c r="A35" s="15"/>
      <c r="B35" s="16"/>
      <c r="C35" s="18"/>
      <c r="D35" s="16"/>
      <c r="E35" s="11"/>
      <c r="F35" s="5"/>
      <c r="G35" s="5"/>
    </row>
    <row r="36" ht="15.75" customHeight="1">
      <c r="A36" s="15"/>
      <c r="B36" s="16"/>
      <c r="C36" s="18"/>
      <c r="D36" s="16"/>
      <c r="E36" s="11"/>
      <c r="F36" s="5"/>
      <c r="G36" s="5"/>
    </row>
    <row r="37" ht="15.75" customHeight="1">
      <c r="A37" s="15"/>
      <c r="B37" s="16"/>
      <c r="C37" s="18"/>
      <c r="D37" s="16"/>
      <c r="E37" s="11"/>
      <c r="F37" s="5"/>
      <c r="G37" s="5"/>
    </row>
    <row r="38" ht="15.75" customHeight="1">
      <c r="A38" s="15"/>
      <c r="B38" s="16"/>
      <c r="C38" s="18"/>
      <c r="D38" s="16"/>
      <c r="E38" s="11"/>
      <c r="F38" s="5"/>
      <c r="G38" s="5"/>
    </row>
    <row r="39" ht="15.75" customHeight="1">
      <c r="A39" s="15"/>
      <c r="B39" s="16"/>
      <c r="C39" s="18"/>
      <c r="D39" s="16"/>
      <c r="E39" s="11"/>
      <c r="F39" s="5"/>
      <c r="G39" s="5"/>
    </row>
    <row r="40" ht="15.75" customHeight="1">
      <c r="A40" s="15"/>
      <c r="B40" s="16"/>
      <c r="C40" s="18"/>
      <c r="D40" s="16"/>
      <c r="E40" s="11"/>
      <c r="F40" s="5"/>
      <c r="G40" s="5"/>
    </row>
    <row r="41" ht="15.75" customHeight="1">
      <c r="A41" s="15"/>
      <c r="B41" s="16"/>
      <c r="C41" s="18"/>
      <c r="D41" s="16"/>
      <c r="E41" s="11"/>
      <c r="F41" s="5"/>
      <c r="G41" s="5"/>
    </row>
    <row r="42" ht="15.75" customHeight="1">
      <c r="A42" s="15"/>
      <c r="B42" s="16"/>
      <c r="C42" s="18"/>
      <c r="D42" s="16"/>
      <c r="E42" s="11"/>
      <c r="F42" s="5"/>
      <c r="G42" s="5"/>
    </row>
    <row r="43" ht="15.75" customHeight="1">
      <c r="A43" s="15"/>
      <c r="B43" s="16"/>
      <c r="C43" s="18"/>
      <c r="D43" s="16"/>
      <c r="E43" s="11"/>
      <c r="F43" s="5"/>
      <c r="G43" s="5"/>
    </row>
    <row r="44" ht="15.75" customHeight="1">
      <c r="A44" s="15"/>
      <c r="B44" s="16"/>
      <c r="C44" s="18"/>
      <c r="D44" s="16"/>
      <c r="E44" s="11"/>
      <c r="F44" s="5"/>
      <c r="G44" s="5"/>
    </row>
    <row r="45" ht="15.75" customHeight="1">
      <c r="A45" s="15"/>
      <c r="B45" s="16"/>
      <c r="C45" s="18"/>
      <c r="D45" s="16"/>
      <c r="E45" s="11"/>
      <c r="F45" s="5"/>
      <c r="G45" s="5"/>
    </row>
    <row r="46" ht="15.75" customHeight="1">
      <c r="A46" s="15"/>
      <c r="B46" s="16"/>
      <c r="C46" s="18"/>
      <c r="D46" s="16"/>
      <c r="E46" s="11"/>
      <c r="F46" s="5"/>
      <c r="G46" s="5"/>
    </row>
    <row r="47" ht="15.75" customHeight="1">
      <c r="A47" s="15"/>
      <c r="B47" s="16"/>
      <c r="C47" s="18"/>
      <c r="D47" s="16"/>
      <c r="E47" s="11"/>
      <c r="F47" s="5"/>
      <c r="G47" s="5"/>
    </row>
    <row r="48" ht="15.75" customHeight="1">
      <c r="A48" s="15"/>
      <c r="B48" s="16"/>
      <c r="C48" s="18"/>
      <c r="D48" s="16"/>
      <c r="E48" s="11"/>
      <c r="F48" s="5"/>
      <c r="G48" s="5"/>
    </row>
    <row r="49" ht="15.75" customHeight="1">
      <c r="A49" s="15"/>
      <c r="B49" s="16"/>
      <c r="C49" s="18"/>
      <c r="D49" s="16"/>
      <c r="E49" s="11"/>
      <c r="F49" s="5"/>
      <c r="G49" s="5"/>
    </row>
    <row r="50" ht="15.75" customHeight="1">
      <c r="A50" s="15"/>
      <c r="B50" s="16"/>
      <c r="C50" s="18"/>
      <c r="D50" s="16"/>
      <c r="E50" s="11"/>
      <c r="F50" s="5"/>
      <c r="G50" s="5"/>
    </row>
    <row r="51" ht="15.75" customHeight="1">
      <c r="A51" s="15"/>
      <c r="B51" s="16"/>
      <c r="C51" s="18"/>
      <c r="D51" s="16"/>
      <c r="E51" s="11"/>
      <c r="F51" s="5"/>
      <c r="G51" s="5"/>
    </row>
    <row r="52" ht="15.75" customHeight="1">
      <c r="A52" s="15"/>
      <c r="B52" s="16"/>
      <c r="C52" s="18"/>
      <c r="D52" s="16"/>
      <c r="E52" s="11"/>
      <c r="F52" s="5"/>
      <c r="G52" s="5"/>
    </row>
    <row r="53" ht="15.75" customHeight="1">
      <c r="A53" s="15"/>
      <c r="B53" s="16"/>
      <c r="C53" s="18"/>
      <c r="D53" s="16"/>
      <c r="E53" s="11"/>
      <c r="F53" s="5"/>
      <c r="G53" s="5"/>
    </row>
    <row r="54" ht="15.75" customHeight="1">
      <c r="A54" s="15"/>
      <c r="B54" s="16"/>
      <c r="C54" s="18"/>
      <c r="D54" s="16"/>
      <c r="E54" s="11"/>
      <c r="F54" s="5"/>
      <c r="G54" s="5"/>
    </row>
    <row r="55" ht="15.0" customHeight="1">
      <c r="A55" s="15"/>
      <c r="B55" s="16"/>
      <c r="C55" s="18"/>
      <c r="D55" s="16"/>
      <c r="E55" s="11"/>
      <c r="F55" s="5"/>
      <c r="G55" s="5"/>
    </row>
    <row r="56" ht="15.0" customHeight="1">
      <c r="A56" s="15"/>
      <c r="B56" s="16"/>
      <c r="C56" s="18"/>
      <c r="D56" s="16"/>
      <c r="E56" s="11"/>
      <c r="F56" s="5"/>
      <c r="G56" s="5"/>
    </row>
    <row r="57" ht="15.0" customHeight="1">
      <c r="A57" s="15"/>
      <c r="B57" s="16"/>
      <c r="C57" s="18"/>
      <c r="D57" s="16"/>
      <c r="E57" s="11"/>
      <c r="F57" s="5"/>
      <c r="G57" s="5"/>
    </row>
    <row r="58" ht="15.0" customHeight="1">
      <c r="A58" s="15"/>
      <c r="B58" s="16"/>
      <c r="C58" s="18"/>
      <c r="D58" s="16"/>
      <c r="E58" s="11"/>
      <c r="F58" s="5"/>
      <c r="G58" s="5"/>
    </row>
    <row r="59" ht="15.0" customHeight="1">
      <c r="A59" s="15"/>
      <c r="B59" s="16"/>
      <c r="C59" s="18"/>
      <c r="D59" s="16"/>
      <c r="E59" s="11"/>
      <c r="F59" s="5"/>
      <c r="G59" s="5"/>
    </row>
    <row r="60" ht="15.0" customHeight="1">
      <c r="A60" s="15"/>
      <c r="B60" s="16"/>
      <c r="C60" s="18"/>
      <c r="D60" s="16"/>
      <c r="E60" s="11"/>
      <c r="F60" s="5"/>
      <c r="G60" s="5"/>
    </row>
    <row r="61" ht="15.0" customHeight="1">
      <c r="A61" s="15"/>
      <c r="B61" s="16"/>
      <c r="C61" s="18"/>
      <c r="D61" s="16"/>
      <c r="E61" s="11"/>
      <c r="F61" s="5"/>
      <c r="G61" s="5"/>
    </row>
    <row r="62" ht="15.0" customHeight="1">
      <c r="A62" s="15"/>
      <c r="B62" s="16"/>
      <c r="C62" s="18"/>
      <c r="D62" s="16"/>
      <c r="E62" s="11"/>
      <c r="F62" s="5"/>
      <c r="G62" s="5"/>
    </row>
    <row r="63" ht="15.0" customHeight="1">
      <c r="A63" s="15"/>
      <c r="B63" s="16"/>
      <c r="C63" s="18"/>
      <c r="D63" s="16"/>
      <c r="E63" s="11"/>
      <c r="F63" s="5"/>
      <c r="G63" s="5"/>
    </row>
    <row r="64" ht="15.0" customHeight="1">
      <c r="A64" s="15"/>
      <c r="B64" s="16"/>
      <c r="C64" s="18"/>
      <c r="D64" s="16"/>
      <c r="E64" s="11"/>
      <c r="F64" s="5"/>
      <c r="G64" s="5"/>
    </row>
    <row r="65" ht="15.0" customHeight="1">
      <c r="A65" s="15"/>
      <c r="B65" s="16"/>
      <c r="C65" s="18"/>
      <c r="D65" s="16"/>
      <c r="E65" s="11"/>
      <c r="F65" s="5"/>
      <c r="G65" s="5"/>
    </row>
    <row r="66" ht="15.0" customHeight="1">
      <c r="A66" s="15"/>
      <c r="B66" s="16"/>
      <c r="C66" s="18"/>
      <c r="D66" s="16"/>
      <c r="E66" s="11"/>
      <c r="F66" s="5"/>
      <c r="G66" s="5"/>
    </row>
    <row r="67" ht="15.0" customHeight="1">
      <c r="A67" s="15"/>
      <c r="B67" s="16"/>
      <c r="C67" s="18"/>
      <c r="D67" s="16"/>
      <c r="E67" s="11"/>
      <c r="F67" s="5"/>
      <c r="G67" s="5"/>
    </row>
    <row r="68" ht="15.0" customHeight="1">
      <c r="A68" s="15"/>
      <c r="B68" s="16"/>
      <c r="C68" s="18"/>
      <c r="D68" s="16"/>
      <c r="E68" s="11"/>
      <c r="F68" s="5"/>
      <c r="G68" s="5"/>
    </row>
    <row r="69" ht="15.0" customHeight="1">
      <c r="A69" s="15"/>
      <c r="B69" s="16"/>
      <c r="C69" s="18"/>
      <c r="D69" s="16"/>
      <c r="E69" s="11"/>
      <c r="F69" s="5"/>
      <c r="G69" s="5"/>
    </row>
    <row r="70" ht="15.0" customHeight="1">
      <c r="A70" s="15"/>
      <c r="B70" s="16"/>
      <c r="C70" s="18"/>
      <c r="D70" s="16"/>
      <c r="E70" s="11"/>
      <c r="F70" s="5"/>
      <c r="G70" s="5"/>
    </row>
    <row r="71" ht="15.0" customHeight="1">
      <c r="A71" s="15"/>
      <c r="B71" s="16"/>
      <c r="C71" s="18"/>
      <c r="D71" s="16"/>
      <c r="E71" s="11"/>
      <c r="F71" s="5"/>
      <c r="G71" s="5"/>
    </row>
    <row r="72" ht="15.0" customHeight="1">
      <c r="A72" s="15"/>
      <c r="B72" s="16"/>
      <c r="C72" s="18"/>
      <c r="D72" s="16"/>
      <c r="E72" s="11"/>
      <c r="F72" s="5"/>
      <c r="G72" s="5"/>
    </row>
    <row r="73" ht="15.0" customHeight="1">
      <c r="A73" s="15"/>
      <c r="B73" s="16"/>
      <c r="C73" s="18"/>
      <c r="D73" s="16"/>
      <c r="E73" s="11"/>
      <c r="F73" s="5"/>
      <c r="G73" s="5"/>
    </row>
    <row r="74" ht="15.0" customHeight="1">
      <c r="A74" s="15"/>
      <c r="B74" s="16"/>
      <c r="C74" s="18"/>
      <c r="D74" s="16"/>
      <c r="E74" s="11"/>
      <c r="F74" s="5"/>
      <c r="G74" s="5"/>
    </row>
    <row r="75" ht="15.0" customHeight="1">
      <c r="A75" s="15"/>
      <c r="B75" s="16"/>
      <c r="C75" s="18"/>
      <c r="D75" s="16"/>
      <c r="E75" s="11"/>
      <c r="F75" s="5"/>
      <c r="G75" s="5"/>
    </row>
    <row r="76" ht="15.0" customHeight="1">
      <c r="A76" s="15"/>
      <c r="B76" s="16"/>
      <c r="C76" s="18"/>
      <c r="D76" s="16"/>
      <c r="E76" s="11"/>
      <c r="F76" s="5"/>
      <c r="G76" s="5"/>
    </row>
    <row r="77" ht="15.0" customHeight="1">
      <c r="A77" s="15"/>
      <c r="B77" s="16"/>
      <c r="C77" s="18"/>
      <c r="D77" s="16"/>
      <c r="E77" s="11"/>
      <c r="F77" s="5"/>
      <c r="G77" s="5"/>
    </row>
    <row r="78" ht="15.0" customHeight="1">
      <c r="A78" s="15"/>
      <c r="B78" s="16"/>
      <c r="C78" s="18"/>
      <c r="D78" s="16"/>
      <c r="E78" s="11"/>
      <c r="F78" s="5"/>
      <c r="G78" s="5"/>
    </row>
    <row r="79" ht="15.0" customHeight="1">
      <c r="A79" s="15"/>
      <c r="B79" s="16"/>
      <c r="C79" s="18"/>
      <c r="D79" s="16"/>
      <c r="E79" s="11"/>
      <c r="F79" s="5"/>
      <c r="G79" s="5"/>
    </row>
    <row r="80" ht="15.0" customHeight="1">
      <c r="A80" s="15"/>
      <c r="B80" s="16"/>
      <c r="C80" s="18"/>
      <c r="D80" s="16"/>
      <c r="E80" s="11"/>
      <c r="F80" s="5"/>
      <c r="G80" s="5"/>
    </row>
    <row r="81" ht="15.0" customHeight="1">
      <c r="A81" s="15"/>
      <c r="B81" s="16"/>
      <c r="C81" s="18"/>
      <c r="D81" s="16"/>
      <c r="E81" s="11"/>
      <c r="F81" s="5"/>
      <c r="G81" s="5"/>
    </row>
    <row r="82" ht="15.0" customHeight="1">
      <c r="A82" s="15"/>
      <c r="B82" s="16"/>
      <c r="C82" s="18"/>
      <c r="D82" s="16"/>
      <c r="E82" s="11"/>
      <c r="F82" s="5"/>
      <c r="G82" s="5"/>
    </row>
    <row r="83" ht="15.0" customHeight="1">
      <c r="A83" s="15"/>
      <c r="B83" s="16"/>
      <c r="C83" s="18"/>
      <c r="D83" s="16"/>
      <c r="E83" s="11"/>
      <c r="F83" s="5"/>
      <c r="G83" s="5"/>
    </row>
    <row r="84" ht="15.0" customHeight="1">
      <c r="A84" s="15"/>
      <c r="B84" s="16"/>
      <c r="C84" s="18"/>
      <c r="D84" s="16"/>
      <c r="E84" s="11"/>
      <c r="F84" s="5"/>
      <c r="G84" s="5"/>
    </row>
    <row r="85" ht="15.0" customHeight="1">
      <c r="A85" s="15"/>
      <c r="B85" s="16"/>
      <c r="C85" s="18"/>
      <c r="D85" s="16"/>
      <c r="E85" s="11"/>
      <c r="F85" s="5"/>
      <c r="G85" s="5"/>
    </row>
    <row r="86" ht="15.0" customHeight="1">
      <c r="A86" s="15"/>
      <c r="B86" s="16"/>
      <c r="C86" s="18"/>
      <c r="D86" s="16"/>
      <c r="E86" s="11"/>
      <c r="F86" s="5"/>
      <c r="G86" s="5"/>
    </row>
    <row r="87" ht="15.0" customHeight="1">
      <c r="A87" s="15"/>
      <c r="B87" s="16"/>
      <c r="C87" s="18"/>
      <c r="D87" s="16"/>
      <c r="E87" s="11"/>
      <c r="F87" s="5"/>
      <c r="G87" s="5"/>
    </row>
    <row r="88" ht="15.0" customHeight="1">
      <c r="A88" s="15"/>
      <c r="B88" s="16"/>
      <c r="C88" s="18"/>
      <c r="D88" s="16"/>
      <c r="E88" s="11"/>
      <c r="F88" s="5"/>
      <c r="G88" s="5"/>
    </row>
    <row r="89" ht="15.0" customHeight="1">
      <c r="A89" s="15"/>
      <c r="B89" s="16"/>
      <c r="C89" s="18"/>
      <c r="D89" s="16"/>
      <c r="E89" s="11"/>
      <c r="F89" s="5"/>
      <c r="G89" s="5"/>
    </row>
    <row r="90" ht="15.0" customHeight="1">
      <c r="A90" s="15"/>
      <c r="B90" s="16"/>
      <c r="C90" s="18"/>
      <c r="D90" s="16"/>
      <c r="E90" s="11"/>
      <c r="F90" s="5"/>
      <c r="G90" s="5"/>
    </row>
    <row r="91" ht="15.0" customHeight="1">
      <c r="A91" s="15"/>
      <c r="B91" s="16"/>
      <c r="C91" s="18"/>
      <c r="D91" s="16"/>
      <c r="E91" s="11"/>
      <c r="F91" s="5"/>
      <c r="G91" s="5"/>
    </row>
    <row r="92" ht="15.0" customHeight="1">
      <c r="A92" s="15"/>
      <c r="B92" s="16"/>
      <c r="C92" s="18"/>
      <c r="D92" s="16"/>
      <c r="E92" s="11"/>
      <c r="F92" s="5"/>
      <c r="G92" s="5"/>
    </row>
    <row r="93" ht="15.0" customHeight="1">
      <c r="A93" s="15"/>
      <c r="B93" s="16"/>
      <c r="C93" s="18"/>
      <c r="D93" s="16"/>
      <c r="E93" s="11"/>
      <c r="F93" s="5"/>
      <c r="G93" s="5"/>
    </row>
    <row r="94" ht="15.0" customHeight="1">
      <c r="A94" s="15"/>
      <c r="B94" s="16"/>
      <c r="C94" s="18"/>
      <c r="D94" s="16"/>
      <c r="E94" s="11"/>
      <c r="F94" s="5"/>
      <c r="G94" s="5"/>
    </row>
    <row r="95" ht="15.0" customHeight="1">
      <c r="A95" s="15"/>
      <c r="B95" s="16"/>
      <c r="C95" s="18"/>
      <c r="D95" s="16"/>
      <c r="E95" s="11"/>
      <c r="F95" s="5"/>
      <c r="G95" s="5"/>
    </row>
    <row r="96" ht="15.0" customHeight="1">
      <c r="A96" s="15"/>
      <c r="B96" s="16"/>
      <c r="C96" s="18"/>
      <c r="D96" s="16"/>
      <c r="E96" s="11"/>
      <c r="F96" s="5"/>
      <c r="G96" s="5"/>
    </row>
    <row r="97" ht="15.0" customHeight="1">
      <c r="A97" s="15"/>
      <c r="B97" s="16"/>
      <c r="C97" s="18"/>
      <c r="D97" s="16"/>
      <c r="E97" s="11"/>
      <c r="F97" s="5"/>
      <c r="G97" s="5"/>
    </row>
    <row r="98" ht="15.0" customHeight="1">
      <c r="A98" s="15"/>
      <c r="B98" s="16"/>
      <c r="C98" s="18"/>
      <c r="D98" s="16"/>
      <c r="E98" s="11"/>
      <c r="F98" s="5"/>
      <c r="G98" s="5"/>
    </row>
    <row r="99" ht="15.0" customHeight="1">
      <c r="A99" s="15"/>
      <c r="B99" s="16"/>
      <c r="C99" s="18"/>
      <c r="D99" s="16"/>
      <c r="E99" s="11"/>
      <c r="F99" s="5"/>
      <c r="G99" s="5"/>
    </row>
    <row r="100" ht="15.0" customHeight="1">
      <c r="A100" s="15"/>
      <c r="B100" s="16"/>
      <c r="C100" s="18"/>
      <c r="D100" s="16"/>
      <c r="E100" s="11"/>
      <c r="F100" s="5"/>
      <c r="G100" s="5"/>
    </row>
    <row r="101" ht="15.0" customHeight="1">
      <c r="A101" s="15"/>
      <c r="B101" s="16"/>
      <c r="C101" s="18"/>
      <c r="D101" s="16"/>
      <c r="E101" s="11"/>
      <c r="F101" s="5"/>
      <c r="G101" s="5"/>
    </row>
    <row r="102" ht="15.0" customHeight="1">
      <c r="A102" s="15"/>
      <c r="B102" s="16"/>
      <c r="C102" s="18"/>
      <c r="D102" s="16"/>
      <c r="E102" s="11"/>
      <c r="F102" s="5"/>
      <c r="G102" s="5"/>
    </row>
    <row r="103" ht="15.0" customHeight="1">
      <c r="A103" s="15"/>
      <c r="B103" s="16"/>
      <c r="C103" s="18"/>
      <c r="D103" s="16"/>
      <c r="E103" s="11"/>
      <c r="F103" s="5"/>
      <c r="G103" s="5"/>
    </row>
    <row r="104" ht="15.0" customHeight="1">
      <c r="A104" s="15"/>
      <c r="B104" s="16"/>
      <c r="C104" s="18"/>
      <c r="D104" s="16"/>
      <c r="E104" s="11"/>
      <c r="F104" s="5"/>
      <c r="G104" s="5"/>
    </row>
    <row r="105" ht="15.0" customHeight="1">
      <c r="A105" s="15"/>
      <c r="B105" s="16"/>
      <c r="C105" s="18"/>
      <c r="D105" s="16"/>
      <c r="E105" s="11"/>
      <c r="F105" s="5"/>
      <c r="G105" s="5"/>
    </row>
    <row r="106" ht="15.0" customHeight="1">
      <c r="A106" s="15"/>
      <c r="B106" s="16"/>
      <c r="C106" s="18"/>
      <c r="D106" s="16"/>
      <c r="E106" s="11"/>
      <c r="F106" s="5"/>
      <c r="G106" s="5"/>
    </row>
    <row r="107" ht="15.0" customHeight="1">
      <c r="A107" s="15"/>
      <c r="B107" s="16"/>
      <c r="C107" s="18"/>
      <c r="D107" s="16"/>
      <c r="E107" s="11"/>
      <c r="F107" s="5"/>
      <c r="G107" s="5"/>
    </row>
    <row r="108" ht="15.0" customHeight="1">
      <c r="A108" s="15"/>
      <c r="B108" s="16"/>
      <c r="C108" s="18"/>
      <c r="D108" s="16"/>
      <c r="E108" s="11"/>
      <c r="F108" s="5"/>
      <c r="G108" s="5"/>
    </row>
    <row r="109" ht="15.0" customHeight="1">
      <c r="A109" s="15"/>
      <c r="B109" s="16"/>
      <c r="C109" s="18"/>
      <c r="D109" s="16"/>
      <c r="E109" s="11"/>
      <c r="F109" s="5"/>
      <c r="G109" s="5"/>
    </row>
    <row r="110" ht="15.0" customHeight="1">
      <c r="A110" s="15"/>
      <c r="B110" s="16"/>
      <c r="C110" s="18"/>
      <c r="D110" s="16"/>
      <c r="E110" s="11"/>
      <c r="F110" s="5"/>
      <c r="G110" s="5"/>
    </row>
    <row r="111" ht="15.0" customHeight="1">
      <c r="A111" s="15"/>
      <c r="B111" s="16"/>
      <c r="C111" s="18"/>
      <c r="D111" s="16"/>
      <c r="E111" s="11"/>
      <c r="F111" s="5"/>
      <c r="G111" s="5"/>
    </row>
    <row r="112" ht="15.0" customHeight="1">
      <c r="A112" s="15"/>
      <c r="B112" s="16"/>
      <c r="C112" s="18"/>
      <c r="D112" s="16"/>
      <c r="E112" s="11"/>
      <c r="F112" s="5"/>
      <c r="G112" s="5"/>
    </row>
    <row r="113" ht="15.0" customHeight="1">
      <c r="A113" s="15"/>
      <c r="B113" s="16"/>
      <c r="C113" s="18"/>
      <c r="D113" s="16"/>
      <c r="E113" s="11"/>
      <c r="F113" s="5"/>
      <c r="G113" s="5"/>
    </row>
    <row r="114" ht="15.0" customHeight="1">
      <c r="A114" s="15"/>
      <c r="B114" s="16"/>
      <c r="C114" s="18"/>
      <c r="D114" s="16"/>
      <c r="E114" s="11"/>
      <c r="F114" s="5"/>
      <c r="G114" s="5"/>
    </row>
    <row r="115" ht="15.0" customHeight="1">
      <c r="A115" s="15"/>
      <c r="B115" s="16"/>
      <c r="C115" s="18"/>
      <c r="D115" s="16"/>
      <c r="E115" s="11"/>
      <c r="F115" s="5"/>
      <c r="G115" s="5"/>
    </row>
    <row r="116" ht="15.0" customHeight="1">
      <c r="A116" s="15"/>
      <c r="B116" s="16"/>
      <c r="C116" s="18"/>
      <c r="D116" s="16"/>
      <c r="E116" s="11"/>
      <c r="F116" s="5"/>
      <c r="G116" s="5"/>
    </row>
    <row r="117" ht="15.0" customHeight="1">
      <c r="A117" s="15"/>
      <c r="B117" s="16"/>
      <c r="C117" s="18"/>
      <c r="D117" s="16"/>
      <c r="E117" s="11"/>
      <c r="F117" s="5"/>
      <c r="G117" s="5"/>
    </row>
    <row r="118" ht="15.0" customHeight="1">
      <c r="A118" s="15"/>
      <c r="B118" s="16"/>
      <c r="C118" s="18"/>
      <c r="D118" s="16"/>
      <c r="E118" s="11"/>
      <c r="F118" s="5"/>
      <c r="G118" s="5"/>
    </row>
    <row r="119" ht="15.0" customHeight="1">
      <c r="A119" s="15"/>
      <c r="B119" s="16"/>
      <c r="C119" s="18"/>
      <c r="D119" s="16"/>
      <c r="E119" s="11"/>
      <c r="F119" s="5"/>
      <c r="G119" s="5"/>
    </row>
    <row r="120" ht="15.0" customHeight="1">
      <c r="A120" s="15"/>
      <c r="B120" s="16"/>
      <c r="C120" s="18"/>
      <c r="D120" s="16"/>
      <c r="E120" s="11"/>
      <c r="F120" s="5"/>
      <c r="G120" s="5"/>
    </row>
    <row r="121" ht="15.0" customHeight="1">
      <c r="A121" s="15"/>
      <c r="B121" s="16"/>
      <c r="C121" s="18"/>
      <c r="D121" s="16"/>
      <c r="E121" s="11"/>
      <c r="F121" s="5"/>
      <c r="G121" s="5"/>
    </row>
    <row r="122" ht="15.0" customHeight="1">
      <c r="A122" s="15"/>
      <c r="B122" s="16"/>
      <c r="C122" s="18"/>
      <c r="D122" s="16"/>
      <c r="E122" s="11"/>
      <c r="F122" s="5"/>
      <c r="G122" s="5"/>
    </row>
    <row r="123" ht="15.0" customHeight="1">
      <c r="A123" s="15"/>
      <c r="B123" s="16"/>
      <c r="C123" s="18"/>
      <c r="D123" s="16"/>
      <c r="E123" s="11"/>
      <c r="F123" s="5"/>
      <c r="G123" s="5"/>
    </row>
    <row r="124" ht="15.0" customHeight="1">
      <c r="A124" s="15"/>
      <c r="B124" s="16"/>
      <c r="C124" s="18"/>
      <c r="D124" s="16"/>
      <c r="E124" s="11"/>
      <c r="F124" s="5"/>
      <c r="G124" s="5"/>
    </row>
    <row r="125" ht="15.0" customHeight="1">
      <c r="A125" s="15"/>
      <c r="B125" s="16"/>
      <c r="C125" s="18"/>
      <c r="D125" s="16"/>
      <c r="E125" s="11"/>
      <c r="F125" s="5"/>
      <c r="G125" s="5"/>
    </row>
    <row r="126" ht="15.0" customHeight="1">
      <c r="A126" s="15"/>
      <c r="B126" s="16"/>
      <c r="C126" s="18"/>
      <c r="D126" s="16"/>
      <c r="E126" s="11"/>
      <c r="F126" s="5"/>
      <c r="G126" s="5"/>
    </row>
    <row r="127" ht="15.0" customHeight="1">
      <c r="A127" s="15"/>
      <c r="B127" s="16"/>
      <c r="C127" s="18"/>
      <c r="D127" s="16"/>
      <c r="E127" s="11"/>
      <c r="F127" s="5"/>
      <c r="G127" s="5"/>
    </row>
    <row r="128" ht="15.0" customHeight="1">
      <c r="A128" s="15"/>
      <c r="B128" s="16"/>
      <c r="C128" s="18"/>
      <c r="D128" s="16"/>
      <c r="E128" s="11"/>
      <c r="F128" s="5"/>
      <c r="G128" s="5"/>
    </row>
    <row r="129" ht="15.0" customHeight="1">
      <c r="A129" s="15"/>
      <c r="B129" s="16"/>
      <c r="C129" s="18"/>
      <c r="D129" s="16"/>
      <c r="E129" s="11"/>
      <c r="F129" s="5"/>
      <c r="G129" s="5"/>
    </row>
    <row r="130" ht="15.0" customHeight="1">
      <c r="A130" s="15"/>
      <c r="B130" s="16"/>
      <c r="C130" s="18"/>
      <c r="D130" s="16"/>
      <c r="E130" s="11"/>
      <c r="F130" s="5"/>
      <c r="G130" s="5"/>
    </row>
    <row r="131" ht="15.0" customHeight="1">
      <c r="A131" s="15"/>
      <c r="B131" s="16"/>
      <c r="C131" s="18"/>
      <c r="D131" s="16"/>
      <c r="E131" s="11"/>
      <c r="F131" s="5"/>
      <c r="G131" s="5"/>
    </row>
    <row r="132" ht="15.0" customHeight="1">
      <c r="A132" s="15"/>
      <c r="B132" s="16"/>
      <c r="C132" s="18"/>
      <c r="D132" s="16"/>
      <c r="E132" s="11"/>
      <c r="F132" s="5"/>
      <c r="G132" s="5"/>
    </row>
    <row r="133" ht="15.0" customHeight="1">
      <c r="A133" s="15"/>
      <c r="B133" s="16"/>
      <c r="C133" s="18"/>
      <c r="D133" s="16"/>
      <c r="E133" s="11"/>
      <c r="F133" s="5"/>
      <c r="G133" s="5"/>
    </row>
    <row r="134" ht="15.0" customHeight="1">
      <c r="A134" s="15"/>
      <c r="B134" s="16"/>
      <c r="C134" s="18"/>
      <c r="D134" s="16"/>
      <c r="E134" s="11"/>
      <c r="F134" s="5"/>
      <c r="G134" s="5"/>
    </row>
    <row r="135" ht="15.0" customHeight="1">
      <c r="A135" s="15"/>
      <c r="B135" s="16"/>
      <c r="C135" s="18"/>
      <c r="D135" s="16"/>
      <c r="E135" s="11"/>
      <c r="F135" s="5"/>
      <c r="G135" s="5"/>
    </row>
    <row r="136" ht="15.0" customHeight="1">
      <c r="A136" s="15"/>
      <c r="B136" s="16"/>
      <c r="C136" s="18"/>
      <c r="D136" s="16"/>
      <c r="E136" s="11"/>
      <c r="F136" s="5"/>
      <c r="G136" s="5"/>
    </row>
    <row r="137" ht="15.0" customHeight="1">
      <c r="A137" s="15"/>
      <c r="B137" s="16"/>
      <c r="C137" s="18"/>
      <c r="D137" s="16"/>
      <c r="E137" s="11"/>
      <c r="F137" s="5"/>
      <c r="G137" s="5"/>
    </row>
    <row r="138" ht="15.0" customHeight="1">
      <c r="A138" s="15"/>
      <c r="B138" s="16"/>
      <c r="C138" s="18"/>
      <c r="D138" s="16"/>
      <c r="E138" s="11"/>
      <c r="F138" s="5"/>
      <c r="G138" s="5"/>
    </row>
    <row r="139" ht="15.0" customHeight="1">
      <c r="A139" s="15"/>
      <c r="B139" s="16"/>
      <c r="C139" s="18"/>
      <c r="D139" s="16"/>
      <c r="E139" s="11"/>
      <c r="F139" s="5"/>
      <c r="G139" s="5"/>
    </row>
    <row r="140" ht="15.0" customHeight="1">
      <c r="A140" s="15"/>
      <c r="B140" s="16"/>
      <c r="C140" s="18"/>
      <c r="D140" s="16"/>
      <c r="E140" s="11"/>
      <c r="F140" s="5"/>
      <c r="G140" s="5"/>
    </row>
    <row r="141" ht="15.0" customHeight="1">
      <c r="A141" s="15"/>
      <c r="B141" s="16"/>
      <c r="C141" s="18"/>
      <c r="D141" s="16"/>
      <c r="E141" s="11"/>
      <c r="F141" s="5"/>
      <c r="G141" s="5"/>
    </row>
    <row r="142" ht="15.0" customHeight="1">
      <c r="A142" s="15"/>
      <c r="B142" s="16"/>
      <c r="C142" s="18"/>
      <c r="D142" s="16"/>
      <c r="E142" s="11"/>
      <c r="F142" s="5"/>
      <c r="G142" s="5"/>
    </row>
    <row r="143" ht="15.0" customHeight="1">
      <c r="A143" s="15"/>
      <c r="B143" s="16"/>
      <c r="C143" s="18"/>
      <c r="D143" s="16"/>
      <c r="E143" s="11"/>
      <c r="F143" s="5"/>
      <c r="G143" s="5"/>
    </row>
    <row r="144" ht="15.0" customHeight="1">
      <c r="A144" s="15"/>
      <c r="B144" s="16"/>
      <c r="C144" s="18"/>
      <c r="D144" s="16"/>
      <c r="E144" s="11"/>
      <c r="F144" s="5"/>
      <c r="G144" s="5"/>
    </row>
    <row r="145" ht="15.0" customHeight="1">
      <c r="A145" s="15"/>
      <c r="B145" s="16"/>
      <c r="C145" s="18"/>
      <c r="D145" s="16"/>
      <c r="E145" s="11"/>
      <c r="F145" s="5"/>
      <c r="G145" s="5"/>
    </row>
    <row r="146" ht="15.0" customHeight="1">
      <c r="A146" s="15"/>
      <c r="B146" s="16"/>
      <c r="C146" s="18"/>
      <c r="D146" s="16"/>
      <c r="E146" s="11"/>
      <c r="F146" s="5"/>
      <c r="G146" s="5"/>
    </row>
    <row r="147" ht="15.0" customHeight="1">
      <c r="A147" s="15"/>
      <c r="B147" s="16"/>
      <c r="C147" s="18"/>
      <c r="D147" s="16"/>
      <c r="E147" s="11"/>
      <c r="F147" s="5"/>
      <c r="G147" s="5"/>
    </row>
    <row r="148" ht="15.0" customHeight="1">
      <c r="A148" s="15"/>
      <c r="B148" s="16"/>
      <c r="C148" s="18"/>
      <c r="D148" s="16"/>
      <c r="E148" s="11"/>
      <c r="F148" s="5"/>
      <c r="G148" s="5"/>
    </row>
    <row r="149" ht="15.0" customHeight="1">
      <c r="A149" s="15"/>
      <c r="B149" s="16"/>
      <c r="C149" s="18"/>
      <c r="D149" s="16"/>
      <c r="E149" s="11"/>
      <c r="F149" s="5"/>
      <c r="G149" s="5"/>
    </row>
    <row r="150" ht="15.0" customHeight="1">
      <c r="A150" s="15"/>
      <c r="B150" s="16"/>
      <c r="C150" s="18"/>
      <c r="D150" s="16"/>
      <c r="E150" s="11"/>
      <c r="F150" s="5"/>
      <c r="G150" s="5"/>
    </row>
    <row r="151" ht="15.0" customHeight="1">
      <c r="A151" s="15"/>
      <c r="B151" s="16"/>
      <c r="C151" s="18"/>
      <c r="D151" s="16"/>
      <c r="E151" s="11"/>
      <c r="F151" s="5"/>
      <c r="G151" s="5"/>
    </row>
    <row r="152" ht="15.0" customHeight="1">
      <c r="A152" s="15"/>
      <c r="B152" s="16"/>
      <c r="C152" s="18"/>
      <c r="D152" s="16"/>
      <c r="E152" s="11"/>
      <c r="F152" s="5"/>
      <c r="G152" s="5"/>
    </row>
    <row r="153" ht="15.0" customHeight="1">
      <c r="A153" s="15"/>
      <c r="B153" s="16"/>
      <c r="C153" s="18"/>
      <c r="D153" s="16"/>
      <c r="E153" s="11"/>
      <c r="F153" s="5"/>
      <c r="G153" s="5"/>
    </row>
    <row r="154" ht="15.0" customHeight="1">
      <c r="A154" s="15"/>
      <c r="B154" s="16"/>
      <c r="C154" s="18"/>
      <c r="D154" s="16"/>
      <c r="E154" s="11"/>
      <c r="F154" s="5"/>
      <c r="G154" s="5"/>
    </row>
    <row r="155" ht="15.0" customHeight="1">
      <c r="A155" s="15"/>
      <c r="B155" s="16"/>
      <c r="C155" s="18"/>
      <c r="D155" s="16"/>
      <c r="E155" s="11"/>
      <c r="F155" s="5"/>
      <c r="G155" s="5"/>
    </row>
    <row r="156" ht="15.0" customHeight="1">
      <c r="A156" s="15"/>
      <c r="B156" s="16"/>
      <c r="C156" s="18"/>
      <c r="D156" s="16"/>
      <c r="E156" s="11"/>
      <c r="F156" s="5"/>
      <c r="G156" s="5"/>
    </row>
    <row r="157" ht="15.0" customHeight="1">
      <c r="A157" s="15"/>
      <c r="B157" s="16"/>
      <c r="C157" s="18"/>
      <c r="D157" s="16"/>
      <c r="E157" s="11"/>
      <c r="F157" s="5"/>
      <c r="G157" s="5"/>
    </row>
    <row r="158" ht="15.0" customHeight="1">
      <c r="A158" s="15"/>
      <c r="B158" s="16"/>
      <c r="C158" s="18"/>
      <c r="D158" s="16"/>
      <c r="E158" s="11"/>
      <c r="F158" s="5"/>
      <c r="G158" s="5"/>
    </row>
    <row r="159" ht="15.0" customHeight="1">
      <c r="A159" s="15"/>
      <c r="B159" s="16"/>
      <c r="C159" s="18"/>
      <c r="D159" s="16"/>
      <c r="E159" s="11"/>
      <c r="F159" s="5"/>
      <c r="G159" s="5"/>
    </row>
    <row r="160" ht="15.0" customHeight="1">
      <c r="A160" s="15"/>
      <c r="B160" s="16"/>
      <c r="C160" s="18"/>
      <c r="D160" s="16"/>
      <c r="E160" s="5"/>
      <c r="F160" s="5"/>
      <c r="G160" s="5"/>
    </row>
    <row r="161" ht="15.0" customHeight="1">
      <c r="A161" s="15"/>
      <c r="B161" s="16"/>
      <c r="C161" s="18"/>
      <c r="D161" s="16"/>
      <c r="E161" s="5"/>
      <c r="F161" s="5"/>
      <c r="G161" s="5"/>
    </row>
    <row r="162" ht="15.0" customHeight="1">
      <c r="A162" s="15"/>
      <c r="B162" s="16"/>
      <c r="C162" s="18"/>
      <c r="D162" s="16"/>
      <c r="E162" s="5"/>
      <c r="F162" s="5"/>
      <c r="G162" s="5"/>
    </row>
    <row r="163" ht="15.0" customHeight="1">
      <c r="A163" s="15"/>
      <c r="B163" s="16"/>
      <c r="C163" s="18"/>
      <c r="D163" s="16"/>
      <c r="E163" s="5"/>
      <c r="F163" s="5"/>
      <c r="G163" s="5"/>
    </row>
    <row r="164" ht="15.0" customHeight="1">
      <c r="A164" s="15"/>
      <c r="B164" s="16"/>
      <c r="C164" s="18"/>
      <c r="D164" s="16"/>
      <c r="E164" s="5"/>
      <c r="F164" s="5"/>
      <c r="G164" s="5"/>
    </row>
    <row r="165" ht="15.0" customHeight="1">
      <c r="A165" s="15"/>
      <c r="B165" s="16"/>
      <c r="C165" s="18"/>
      <c r="D165" s="16"/>
      <c r="E165" s="5"/>
      <c r="F165" s="5"/>
      <c r="G165" s="5"/>
    </row>
    <row r="166" ht="15.0" customHeight="1">
      <c r="A166" s="15"/>
      <c r="B166" s="16"/>
      <c r="C166" s="18"/>
      <c r="D166" s="16"/>
      <c r="E166" s="5"/>
      <c r="F166" s="5"/>
      <c r="G166" s="5"/>
    </row>
    <row r="167" ht="15.0" customHeight="1">
      <c r="A167" s="15"/>
      <c r="B167" s="16"/>
      <c r="C167" s="18"/>
      <c r="D167" s="16"/>
      <c r="E167" s="5"/>
      <c r="F167" s="5"/>
      <c r="G167" s="5"/>
    </row>
    <row r="168" ht="15.0" customHeight="1">
      <c r="A168" s="15"/>
      <c r="B168" s="16"/>
      <c r="C168" s="18"/>
      <c r="D168" s="16"/>
      <c r="E168" s="5"/>
      <c r="F168" s="5"/>
      <c r="G168" s="5"/>
    </row>
    <row r="169" ht="15.0" customHeight="1">
      <c r="A169" s="15"/>
      <c r="B169" s="16"/>
      <c r="C169" s="18"/>
      <c r="D169" s="16"/>
      <c r="E169" s="5"/>
      <c r="F169" s="5"/>
      <c r="G169" s="5"/>
    </row>
    <row r="170" ht="15.0" customHeight="1">
      <c r="A170" s="15"/>
      <c r="B170" s="16"/>
      <c r="C170" s="18"/>
      <c r="D170" s="16"/>
      <c r="E170" s="5"/>
      <c r="F170" s="5"/>
      <c r="G170" s="5"/>
    </row>
    <row r="171" ht="15.0" customHeight="1">
      <c r="A171" s="15"/>
      <c r="B171" s="16"/>
      <c r="C171" s="18"/>
      <c r="D171" s="16"/>
      <c r="E171" s="5"/>
      <c r="F171" s="5"/>
      <c r="G171" s="5"/>
    </row>
    <row r="172" ht="15.0" customHeight="1">
      <c r="A172" s="15"/>
      <c r="B172" s="16"/>
      <c r="C172" s="18"/>
      <c r="D172" s="16"/>
      <c r="E172" s="5"/>
      <c r="F172" s="5"/>
      <c r="G172" s="5"/>
    </row>
    <row r="173" ht="15.0" customHeight="1">
      <c r="A173" s="15"/>
      <c r="B173" s="16"/>
      <c r="C173" s="18"/>
      <c r="D173" s="16"/>
      <c r="E173" s="5"/>
      <c r="F173" s="5"/>
      <c r="G173" s="5"/>
    </row>
    <row r="174" ht="15.0" customHeight="1">
      <c r="A174" s="15"/>
      <c r="B174" s="16"/>
      <c r="C174" s="18"/>
      <c r="D174" s="16"/>
      <c r="E174" s="5"/>
      <c r="F174" s="5"/>
      <c r="G174" s="5"/>
    </row>
    <row r="175" ht="15.0" customHeight="1">
      <c r="A175" s="15"/>
      <c r="B175" s="16"/>
      <c r="C175" s="18"/>
      <c r="D175" s="16"/>
      <c r="E175" s="5"/>
      <c r="F175" s="5"/>
      <c r="G175" s="5"/>
    </row>
    <row r="176" ht="15.0" customHeight="1">
      <c r="A176" s="15"/>
      <c r="B176" s="16"/>
      <c r="C176" s="18"/>
      <c r="D176" s="16"/>
      <c r="E176" s="5"/>
      <c r="F176" s="5"/>
      <c r="G176" s="5"/>
    </row>
    <row r="177" ht="15.0" customHeight="1">
      <c r="A177" s="15"/>
      <c r="B177" s="16"/>
      <c r="C177" s="18"/>
      <c r="D177" s="16"/>
      <c r="E177" s="5"/>
      <c r="F177" s="5"/>
      <c r="G177" s="5"/>
    </row>
    <row r="178" ht="15.0" customHeight="1">
      <c r="A178" s="15"/>
      <c r="B178" s="16"/>
      <c r="C178" s="18"/>
      <c r="D178" s="16"/>
      <c r="E178" s="5"/>
      <c r="F178" s="5"/>
      <c r="G178" s="5"/>
    </row>
    <row r="179" ht="15.0" customHeight="1">
      <c r="A179" s="15"/>
      <c r="B179" s="16"/>
      <c r="C179" s="18"/>
      <c r="D179" s="16"/>
      <c r="E179" s="5"/>
      <c r="F179" s="5"/>
      <c r="G179" s="5"/>
    </row>
    <row r="180" ht="15.0" customHeight="1">
      <c r="A180" s="15"/>
      <c r="B180" s="16"/>
      <c r="C180" s="18"/>
      <c r="D180" s="16"/>
      <c r="E180" s="5"/>
      <c r="F180" s="5"/>
      <c r="G180" s="5"/>
    </row>
    <row r="181" ht="15.0" customHeight="1">
      <c r="A181" s="15"/>
      <c r="B181" s="16"/>
      <c r="C181" s="18"/>
      <c r="D181" s="16"/>
      <c r="E181" s="5"/>
      <c r="F181" s="5"/>
      <c r="G181" s="5"/>
    </row>
    <row r="182" ht="15.0" customHeight="1">
      <c r="A182" s="15"/>
      <c r="B182" s="16"/>
      <c r="C182" s="18"/>
      <c r="D182" s="16"/>
      <c r="E182" s="5"/>
      <c r="F182" s="5"/>
      <c r="G182" s="5"/>
    </row>
    <row r="183" ht="15.0" customHeight="1">
      <c r="A183" s="15"/>
      <c r="B183" s="16"/>
      <c r="C183" s="18"/>
      <c r="D183" s="16"/>
      <c r="E183" s="5"/>
      <c r="F183" s="5"/>
      <c r="G183" s="5"/>
    </row>
    <row r="184" ht="15.0" customHeight="1">
      <c r="A184" s="15"/>
      <c r="B184" s="16"/>
      <c r="C184" s="18"/>
      <c r="D184" s="16"/>
      <c r="E184" s="5"/>
      <c r="F184" s="5"/>
      <c r="G184" s="5"/>
    </row>
    <row r="185" ht="15.0" customHeight="1">
      <c r="A185" s="15"/>
      <c r="B185" s="16"/>
      <c r="C185" s="18"/>
      <c r="D185" s="16"/>
      <c r="E185" s="5"/>
      <c r="F185" s="5"/>
      <c r="G185" s="5"/>
    </row>
    <row r="186" ht="15.0" customHeight="1">
      <c r="A186" s="15"/>
      <c r="B186" s="16"/>
      <c r="C186" s="18"/>
      <c r="D186" s="16"/>
      <c r="E186" s="5"/>
      <c r="F186" s="5"/>
      <c r="G186" s="5"/>
    </row>
    <row r="187" ht="15.0" customHeight="1">
      <c r="A187" s="15"/>
      <c r="B187" s="16"/>
      <c r="C187" s="18"/>
      <c r="D187" s="16"/>
      <c r="E187" s="5"/>
      <c r="F187" s="5"/>
      <c r="G187" s="5"/>
    </row>
    <row r="188" ht="15.0" customHeight="1">
      <c r="A188" s="15"/>
      <c r="B188" s="16"/>
      <c r="C188" s="18"/>
      <c r="D188" s="16"/>
      <c r="E188" s="5"/>
      <c r="F188" s="5"/>
      <c r="G188" s="5"/>
    </row>
    <row r="189" ht="15.0" customHeight="1">
      <c r="A189" s="15"/>
      <c r="B189" s="16"/>
      <c r="C189" s="18"/>
      <c r="D189" s="16"/>
      <c r="E189" s="5"/>
      <c r="F189" s="5"/>
      <c r="G189" s="5"/>
    </row>
    <row r="190" ht="15.0" customHeight="1">
      <c r="A190" s="15"/>
      <c r="B190" s="16"/>
      <c r="C190" s="18"/>
      <c r="D190" s="16"/>
      <c r="E190" s="5"/>
      <c r="F190" s="5"/>
      <c r="G190" s="5"/>
    </row>
    <row r="191" ht="15.0" customHeight="1">
      <c r="A191" s="15"/>
      <c r="B191" s="16"/>
      <c r="C191" s="18"/>
      <c r="D191" s="16"/>
      <c r="E191" s="5"/>
      <c r="F191" s="5"/>
      <c r="G191" s="5"/>
    </row>
    <row r="192" ht="15.0" customHeight="1">
      <c r="A192" s="15"/>
      <c r="B192" s="16"/>
      <c r="C192" s="18"/>
      <c r="D192" s="16"/>
      <c r="E192" s="5"/>
      <c r="F192" s="5"/>
      <c r="G192" s="5"/>
    </row>
    <row r="193" ht="15.0" customHeight="1">
      <c r="A193" s="15"/>
      <c r="B193" s="16"/>
      <c r="C193" s="18"/>
      <c r="D193" s="16"/>
      <c r="E193" s="5"/>
      <c r="F193" s="5"/>
      <c r="G193" s="5"/>
    </row>
    <row r="194" ht="15.0" customHeight="1">
      <c r="A194" s="15"/>
      <c r="B194" s="16"/>
      <c r="C194" s="18"/>
      <c r="D194" s="16"/>
      <c r="E194" s="5"/>
      <c r="F194" s="5"/>
      <c r="G194" s="5"/>
    </row>
    <row r="195" ht="15.0" customHeight="1">
      <c r="A195" s="15"/>
      <c r="B195" s="16"/>
      <c r="C195" s="18"/>
      <c r="D195" s="16"/>
      <c r="E195" s="5"/>
      <c r="F195" s="5"/>
      <c r="G195" s="5"/>
    </row>
    <row r="196" ht="15.0" customHeight="1">
      <c r="A196" s="15"/>
      <c r="B196" s="16"/>
      <c r="C196" s="18"/>
      <c r="D196" s="16"/>
      <c r="E196" s="5"/>
      <c r="F196" s="5"/>
      <c r="G196" s="5"/>
    </row>
    <row r="197" ht="15.0" customHeight="1">
      <c r="A197" s="15"/>
      <c r="B197" s="16"/>
      <c r="C197" s="18"/>
      <c r="D197" s="16"/>
      <c r="E197" s="5"/>
      <c r="F197" s="5"/>
      <c r="G197" s="5"/>
    </row>
    <row r="198" ht="15.0" customHeight="1">
      <c r="A198" s="15"/>
      <c r="B198" s="16"/>
      <c r="C198" s="18"/>
      <c r="D198" s="16"/>
      <c r="E198" s="5"/>
      <c r="F198" s="5"/>
      <c r="G198" s="5"/>
    </row>
    <row r="199" ht="15.0" customHeight="1">
      <c r="A199" s="15"/>
      <c r="B199" s="16"/>
      <c r="C199" s="18"/>
      <c r="D199" s="16"/>
      <c r="E199" s="5"/>
      <c r="F199" s="5"/>
      <c r="G199" s="5"/>
    </row>
    <row r="200" ht="15.0" customHeight="1">
      <c r="A200" s="15"/>
      <c r="B200" s="16"/>
      <c r="C200" s="18"/>
      <c r="D200" s="16"/>
      <c r="E200" s="5"/>
      <c r="F200" s="5"/>
      <c r="G200" s="5"/>
    </row>
    <row r="201" ht="15.0" customHeight="1">
      <c r="A201" s="15"/>
      <c r="B201" s="16"/>
      <c r="C201" s="18"/>
      <c r="D201" s="16"/>
      <c r="E201" s="5"/>
      <c r="F201" s="5"/>
      <c r="G201" s="5"/>
    </row>
    <row r="202" ht="15.75" customHeight="1">
      <c r="A202" s="15"/>
      <c r="B202" s="16"/>
      <c r="C202" s="18"/>
      <c r="D202" s="16"/>
      <c r="E202" s="5"/>
      <c r="F202" s="5"/>
      <c r="G202" s="5"/>
    </row>
    <row r="203" ht="15.75" customHeight="1">
      <c r="A203" s="15"/>
      <c r="B203" s="16"/>
      <c r="C203" s="18"/>
      <c r="D203" s="16"/>
      <c r="E203" s="5"/>
      <c r="F203" s="5"/>
      <c r="G203" s="5"/>
    </row>
    <row r="204" ht="15.75" customHeight="1">
      <c r="A204" s="15"/>
      <c r="B204" s="16"/>
      <c r="C204" s="18"/>
      <c r="D204" s="16"/>
      <c r="E204" s="5"/>
      <c r="F204" s="5"/>
      <c r="G204" s="5"/>
    </row>
    <row r="205" ht="15.75" customHeight="1">
      <c r="A205" s="15"/>
      <c r="B205" s="16"/>
      <c r="C205" s="18"/>
      <c r="D205" s="16"/>
      <c r="E205" s="5"/>
      <c r="F205" s="5"/>
      <c r="G205" s="5"/>
    </row>
    <row r="206" ht="15.75" customHeight="1">
      <c r="A206" s="15"/>
      <c r="B206" s="16"/>
      <c r="C206" s="18"/>
      <c r="D206" s="16"/>
      <c r="E206" s="5"/>
      <c r="F206" s="5"/>
      <c r="G206" s="5"/>
    </row>
    <row r="207" ht="15.75" customHeight="1">
      <c r="A207" s="15"/>
      <c r="B207" s="16"/>
      <c r="C207" s="18"/>
      <c r="D207" s="16"/>
      <c r="E207" s="5"/>
      <c r="F207" s="5"/>
      <c r="G207" s="5"/>
    </row>
    <row r="208" ht="15.75" customHeight="1">
      <c r="A208" s="15"/>
      <c r="B208" s="16"/>
      <c r="C208" s="18"/>
      <c r="D208" s="16"/>
      <c r="E208" s="5"/>
      <c r="F208" s="5"/>
      <c r="G208" s="5"/>
    </row>
    <row r="209" ht="15.75" customHeight="1">
      <c r="A209" s="15"/>
      <c r="B209" s="16"/>
      <c r="C209" s="18"/>
      <c r="D209" s="16"/>
      <c r="E209" s="5"/>
      <c r="F209" s="5"/>
      <c r="G209" s="5"/>
    </row>
    <row r="210" ht="15.75" customHeight="1">
      <c r="A210" s="15"/>
      <c r="B210" s="16"/>
      <c r="C210" s="18"/>
      <c r="D210" s="16"/>
      <c r="E210" s="5"/>
      <c r="F210" s="5"/>
      <c r="G210" s="5"/>
    </row>
    <row r="211" ht="15.75" customHeight="1">
      <c r="A211" s="15"/>
      <c r="B211" s="16"/>
      <c r="C211" s="18"/>
      <c r="D211" s="16"/>
      <c r="E211" s="5"/>
      <c r="F211" s="5"/>
      <c r="G211" s="5"/>
    </row>
    <row r="212" ht="15.75" customHeight="1">
      <c r="A212" s="15"/>
      <c r="B212" s="16"/>
      <c r="C212" s="18"/>
      <c r="D212" s="16"/>
      <c r="E212" s="5"/>
      <c r="F212" s="5"/>
      <c r="G212" s="5"/>
    </row>
    <row r="213" ht="15.75" customHeight="1">
      <c r="A213" s="15"/>
      <c r="B213" s="16"/>
      <c r="C213" s="18"/>
      <c r="D213" s="16"/>
      <c r="E213" s="5"/>
      <c r="F213" s="5"/>
      <c r="G213" s="5"/>
    </row>
    <row r="214" ht="15.75" customHeight="1">
      <c r="A214" s="15"/>
      <c r="B214" s="16"/>
      <c r="C214" s="18"/>
      <c r="D214" s="16"/>
      <c r="E214" s="5"/>
      <c r="F214" s="5"/>
      <c r="G214" s="5"/>
    </row>
    <row r="215" ht="15.75" customHeight="1">
      <c r="A215" s="15"/>
      <c r="B215" s="16"/>
      <c r="C215" s="18"/>
      <c r="D215" s="16"/>
      <c r="E215" s="5"/>
      <c r="F215" s="5"/>
      <c r="G215" s="5"/>
    </row>
    <row r="216" ht="15.75" customHeight="1">
      <c r="A216" s="15"/>
      <c r="B216" s="16"/>
      <c r="C216" s="18"/>
      <c r="D216" s="16"/>
      <c r="E216" s="5"/>
      <c r="F216" s="5"/>
      <c r="G216" s="5"/>
    </row>
    <row r="217" ht="15.75" customHeight="1">
      <c r="A217" s="15"/>
      <c r="B217" s="16"/>
      <c r="C217" s="18"/>
      <c r="D217" s="16"/>
      <c r="E217" s="5"/>
      <c r="F217" s="5"/>
      <c r="G217" s="5"/>
    </row>
    <row r="218" ht="15.75" customHeight="1">
      <c r="A218" s="15"/>
      <c r="B218" s="16"/>
      <c r="C218" s="18"/>
      <c r="D218" s="16"/>
      <c r="E218" s="5"/>
      <c r="F218" s="5"/>
      <c r="G218" s="5"/>
    </row>
    <row r="219" ht="15.75" customHeight="1">
      <c r="A219" s="15"/>
      <c r="B219" s="16"/>
      <c r="C219" s="18"/>
      <c r="D219" s="16"/>
      <c r="E219" s="5"/>
      <c r="F219" s="5"/>
      <c r="G219" s="5"/>
    </row>
    <row r="220" ht="15.75" customHeight="1">
      <c r="A220" s="15"/>
      <c r="B220" s="16"/>
      <c r="C220" s="18"/>
      <c r="D220" s="16"/>
      <c r="E220" s="5"/>
      <c r="F220" s="5"/>
      <c r="G220" s="5"/>
    </row>
    <row r="221" ht="15.75" customHeight="1">
      <c r="A221" s="15"/>
      <c r="B221" s="16"/>
      <c r="C221" s="18"/>
      <c r="D221" s="16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  <row r="1001" ht="15.75" customHeight="1">
      <c r="A1001" s="5"/>
      <c r="B1001" s="5"/>
      <c r="C1001" s="5"/>
      <c r="D1001" s="5"/>
      <c r="E1001" s="5"/>
      <c r="F1001" s="5"/>
      <c r="G1001" s="5"/>
    </row>
  </sheetData>
  <autoFilter ref="$A$3:$E$1001"/>
  <mergeCells count="1">
    <mergeCell ref="A1:E1"/>
  </mergeCells>
  <conditionalFormatting sqref="D2">
    <cfRule type="containsText" dxfId="0" priority="1" operator="containsText" text="Crypto">
      <formula>NOT(ISERROR(SEARCH(("Crypto"),(D2))))</formula>
    </cfRule>
  </conditionalFormatting>
  <conditionalFormatting sqref="D2">
    <cfRule type="containsText" dxfId="1" priority="2" operator="containsText" text="Shares MF">
      <formula>NOT(ISERROR(SEARCH(("Shares MF"),(D2))))</formula>
    </cfRule>
  </conditionalFormatting>
  <conditionalFormatting sqref="A4:E1001">
    <cfRule type="expression" dxfId="2" priority="3">
      <formula>$C4&lt;0</formula>
    </cfRule>
  </conditionalFormatting>
  <dataValidations>
    <dataValidation type="list" allowBlank="1" sqref="D4:D1000">
      <formula1>SETTINGS!$C$3:$C$100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D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35.0"/>
    <col customWidth="1" min="3" max="3" width="16.0"/>
    <col customWidth="1" min="4" max="4" width="24.0"/>
    <col customWidth="1" min="5" max="5" width="40.0"/>
    <col customWidth="1" min="6" max="6" width="5.43"/>
    <col customWidth="1" min="7" max="7" width="18.0"/>
    <col customWidth="1" min="8" max="8" width="16.0"/>
  </cols>
  <sheetData>
    <row r="1" ht="31.5" customHeight="1">
      <c r="A1" s="7" t="s">
        <v>2</v>
      </c>
      <c r="B1" s="3"/>
      <c r="C1" s="3"/>
      <c r="D1" s="3"/>
      <c r="E1" s="4"/>
      <c r="F1" s="9"/>
      <c r="G1" s="5"/>
      <c r="H1" s="5"/>
      <c r="I1" s="5"/>
      <c r="J1" s="5"/>
    </row>
    <row r="2" ht="13.5" customHeight="1">
      <c r="A2" s="6" t="s">
        <v>3</v>
      </c>
      <c r="B2" s="6" t="s">
        <v>3</v>
      </c>
      <c r="C2" s="6" t="s">
        <v>3</v>
      </c>
      <c r="D2" s="10" t="s">
        <v>4</v>
      </c>
      <c r="E2" s="6" t="s">
        <v>3</v>
      </c>
      <c r="F2" s="11"/>
      <c r="G2" s="13"/>
      <c r="H2" s="13"/>
      <c r="I2" s="5"/>
      <c r="J2" s="5"/>
    </row>
    <row r="3" ht="24.0" customHeight="1">
      <c r="A3" s="12" t="s">
        <v>6</v>
      </c>
      <c r="B3" s="12" t="s">
        <v>14</v>
      </c>
      <c r="C3" s="12" t="s">
        <v>10</v>
      </c>
      <c r="D3" s="12" t="s">
        <v>15</v>
      </c>
      <c r="E3" s="14" t="s">
        <v>13</v>
      </c>
      <c r="F3" s="11"/>
      <c r="G3" s="17" t="s">
        <v>16</v>
      </c>
      <c r="H3" s="4"/>
      <c r="I3" s="5"/>
      <c r="J3" s="5"/>
    </row>
    <row r="4" ht="15.75" customHeight="1">
      <c r="A4" s="15">
        <v>45716.0</v>
      </c>
      <c r="B4" s="16" t="s">
        <v>18</v>
      </c>
      <c r="C4" s="18">
        <v>61682.97</v>
      </c>
      <c r="D4" s="16" t="s">
        <v>20</v>
      </c>
      <c r="E4" s="16"/>
      <c r="F4" s="11"/>
      <c r="G4" s="5"/>
      <c r="H4" s="5"/>
      <c r="I4" s="5"/>
      <c r="J4" s="5"/>
    </row>
    <row r="5" ht="15.0" customHeight="1">
      <c r="A5" s="15">
        <v>45716.0</v>
      </c>
      <c r="B5" s="16" t="s">
        <v>22</v>
      </c>
      <c r="C5" s="18">
        <v>150000.0</v>
      </c>
      <c r="D5" s="16" t="s">
        <v>22</v>
      </c>
      <c r="E5" s="16"/>
      <c r="F5" s="11"/>
      <c r="G5" s="20" t="s">
        <v>23</v>
      </c>
      <c r="H5" s="24">
        <f>SUMIF(D:D,"Personal SBI (Saving)",C:C)</f>
        <v>117580.84</v>
      </c>
      <c r="I5" s="5"/>
      <c r="J5" s="5"/>
    </row>
    <row r="6" ht="15.0" customHeight="1">
      <c r="A6" s="15">
        <v>45717.0</v>
      </c>
      <c r="B6" s="16" t="s">
        <v>17</v>
      </c>
      <c r="C6" s="18">
        <v>14929.0</v>
      </c>
      <c r="D6" s="16" t="s">
        <v>20</v>
      </c>
      <c r="E6" s="16"/>
      <c r="F6" s="11"/>
      <c r="G6" s="26" t="s">
        <v>22</v>
      </c>
      <c r="H6" s="27">
        <f>SUMIF(D:D,"SBI FD",C:C)</f>
        <v>150000</v>
      </c>
      <c r="I6" s="5"/>
      <c r="J6" s="5"/>
    </row>
    <row r="7" ht="15.0" customHeight="1">
      <c r="A7" s="15">
        <v>45748.0</v>
      </c>
      <c r="B7" s="16" t="s">
        <v>17</v>
      </c>
      <c r="C7" s="18">
        <v>14029.0</v>
      </c>
      <c r="D7" s="16" t="s">
        <v>20</v>
      </c>
      <c r="E7" s="16"/>
      <c r="F7" s="11"/>
      <c r="G7" s="28" t="s">
        <v>36</v>
      </c>
      <c r="H7" s="29">
        <f>SUMIF(D:D,"EPFO",C:C)</f>
        <v>0</v>
      </c>
      <c r="I7" s="5"/>
      <c r="J7" s="5"/>
    </row>
    <row r="8" ht="15.0" customHeight="1">
      <c r="A8" s="15">
        <v>45748.0</v>
      </c>
      <c r="B8" s="16" t="s">
        <v>39</v>
      </c>
      <c r="C8" s="18">
        <v>337.869999999995</v>
      </c>
      <c r="D8" s="16" t="s">
        <v>20</v>
      </c>
      <c r="E8" s="16"/>
      <c r="F8" s="11"/>
      <c r="G8" s="30" t="s">
        <v>40</v>
      </c>
      <c r="H8" s="31">
        <f>SUMIF(D:D,"Personal SBI (Saving)",C:C)+SUMIF(D:D,"SBI FD",C:C)+SUMIF(D:D,"EPFO",C:C)</f>
        <v>267580.84</v>
      </c>
      <c r="I8" s="5"/>
      <c r="J8" s="5"/>
    </row>
    <row r="9" ht="15.75" customHeight="1">
      <c r="A9" s="15">
        <v>45776.0</v>
      </c>
      <c r="B9" s="16" t="s">
        <v>45</v>
      </c>
      <c r="C9" s="18">
        <v>-20000.0</v>
      </c>
      <c r="D9" s="16" t="s">
        <v>20</v>
      </c>
      <c r="E9" s="16"/>
      <c r="F9" s="11"/>
      <c r="G9" s="5"/>
      <c r="H9" s="5"/>
      <c r="I9" s="5"/>
      <c r="J9" s="5"/>
    </row>
    <row r="10" ht="15.75" customHeight="1">
      <c r="A10" s="15">
        <v>45778.0</v>
      </c>
      <c r="B10" s="16" t="s">
        <v>17</v>
      </c>
      <c r="C10" s="18">
        <v>11015.0</v>
      </c>
      <c r="D10" s="16" t="s">
        <v>20</v>
      </c>
      <c r="E10" s="16"/>
      <c r="F10" s="11"/>
      <c r="G10" s="5"/>
      <c r="H10" s="5"/>
      <c r="I10" s="5"/>
      <c r="J10" s="5"/>
    </row>
    <row r="11" ht="15.75" customHeight="1">
      <c r="A11" s="15">
        <v>45795.0</v>
      </c>
      <c r="B11" s="16" t="s">
        <v>48</v>
      </c>
      <c r="C11" s="18">
        <v>15000.0</v>
      </c>
      <c r="D11" s="16" t="s">
        <v>20</v>
      </c>
      <c r="E11" s="16"/>
      <c r="F11" s="11"/>
      <c r="G11" s="5"/>
      <c r="H11" s="5"/>
      <c r="I11" s="5"/>
      <c r="J11" s="5"/>
    </row>
    <row r="12" ht="15.75" customHeight="1">
      <c r="A12" s="15">
        <v>45809.0</v>
      </c>
      <c r="B12" s="16" t="s">
        <v>17</v>
      </c>
      <c r="C12" s="18">
        <v>12223.0</v>
      </c>
      <c r="D12" s="16" t="s">
        <v>20</v>
      </c>
      <c r="E12" s="16"/>
      <c r="F12" s="11"/>
      <c r="G12" s="5"/>
      <c r="H12" s="5"/>
      <c r="I12" s="5"/>
      <c r="J12" s="5"/>
    </row>
    <row r="13" ht="15.75" customHeight="1">
      <c r="A13" s="15">
        <v>45839.0</v>
      </c>
      <c r="B13" s="16" t="s">
        <v>17</v>
      </c>
      <c r="C13" s="18">
        <v>7726.0</v>
      </c>
      <c r="D13" s="16" t="s">
        <v>20</v>
      </c>
      <c r="E13" s="16"/>
      <c r="F13" s="11"/>
      <c r="G13" s="5"/>
      <c r="H13" s="5"/>
      <c r="I13" s="5"/>
      <c r="J13" s="5"/>
    </row>
    <row r="14" ht="15.75" customHeight="1">
      <c r="A14" s="15">
        <v>45839.0</v>
      </c>
      <c r="B14" s="16" t="s">
        <v>39</v>
      </c>
      <c r="C14" s="18">
        <v>638.0</v>
      </c>
      <c r="D14" s="16" t="s">
        <v>20</v>
      </c>
      <c r="E14" s="16"/>
      <c r="F14" s="11"/>
      <c r="G14" s="5"/>
      <c r="H14" s="5"/>
      <c r="I14" s="5"/>
      <c r="J14" s="5"/>
    </row>
    <row r="15" ht="15.75" customHeight="1">
      <c r="A15" s="15"/>
      <c r="B15" s="16"/>
      <c r="C15" s="18"/>
      <c r="D15" s="16"/>
      <c r="E15" s="16"/>
      <c r="F15" s="11"/>
      <c r="G15" s="5"/>
      <c r="H15" s="5"/>
      <c r="I15" s="5"/>
      <c r="J15" s="5"/>
    </row>
    <row r="16" ht="15.75" customHeight="1">
      <c r="A16" s="15"/>
      <c r="B16" s="16"/>
      <c r="C16" s="18"/>
      <c r="D16" s="16"/>
      <c r="E16" s="16"/>
      <c r="F16" s="11"/>
      <c r="G16" s="5"/>
      <c r="H16" s="5"/>
      <c r="I16" s="5"/>
      <c r="J16" s="5"/>
    </row>
    <row r="17" ht="15.75" customHeight="1">
      <c r="A17" s="15"/>
      <c r="B17" s="16"/>
      <c r="C17" s="18"/>
      <c r="D17" s="16"/>
      <c r="E17" s="16"/>
      <c r="F17" s="11"/>
      <c r="G17" s="5"/>
      <c r="H17" s="5"/>
      <c r="I17" s="5"/>
      <c r="J17" s="5"/>
    </row>
    <row r="18" ht="15.75" customHeight="1">
      <c r="A18" s="15"/>
      <c r="B18" s="16"/>
      <c r="C18" s="18"/>
      <c r="D18" s="16"/>
      <c r="E18" s="16"/>
      <c r="F18" s="11"/>
      <c r="G18" s="5"/>
      <c r="H18" s="5"/>
      <c r="I18" s="5"/>
      <c r="J18" s="5"/>
    </row>
    <row r="19" ht="15.75" customHeight="1">
      <c r="A19" s="15"/>
      <c r="B19" s="16"/>
      <c r="C19" s="18"/>
      <c r="D19" s="16"/>
      <c r="E19" s="16"/>
      <c r="F19" s="11"/>
      <c r="G19" s="5"/>
      <c r="H19" s="5"/>
      <c r="I19" s="5"/>
      <c r="J19" s="5"/>
    </row>
    <row r="20" ht="15.75" customHeight="1">
      <c r="A20" s="15"/>
      <c r="B20" s="16"/>
      <c r="C20" s="18"/>
      <c r="D20" s="16"/>
      <c r="E20" s="16"/>
      <c r="F20" s="11"/>
      <c r="G20" s="5"/>
      <c r="H20" s="5"/>
      <c r="I20" s="5"/>
      <c r="J20" s="5"/>
    </row>
    <row r="21" ht="15.75" customHeight="1">
      <c r="A21" s="15"/>
      <c r="B21" s="16"/>
      <c r="C21" s="18"/>
      <c r="D21" s="16"/>
      <c r="E21" s="16"/>
      <c r="F21" s="11"/>
      <c r="G21" s="5"/>
      <c r="H21" s="5"/>
      <c r="I21" s="5"/>
      <c r="J21" s="5"/>
    </row>
    <row r="22" ht="15.75" customHeight="1">
      <c r="A22" s="15"/>
      <c r="B22" s="16"/>
      <c r="C22" s="18"/>
      <c r="D22" s="16"/>
      <c r="E22" s="16"/>
      <c r="F22" s="11"/>
      <c r="G22" s="5"/>
      <c r="H22" s="5"/>
      <c r="I22" s="5"/>
      <c r="J22" s="5"/>
    </row>
    <row r="23" ht="15.75" customHeight="1">
      <c r="A23" s="15"/>
      <c r="B23" s="16"/>
      <c r="C23" s="18"/>
      <c r="D23" s="16"/>
      <c r="E23" s="16"/>
      <c r="F23" s="11"/>
      <c r="G23" s="5"/>
      <c r="H23" s="5"/>
      <c r="I23" s="5"/>
      <c r="J23" s="5"/>
    </row>
    <row r="24" ht="15.75" customHeight="1">
      <c r="A24" s="15"/>
      <c r="B24" s="16"/>
      <c r="C24" s="18"/>
      <c r="D24" s="16"/>
      <c r="E24" s="16"/>
      <c r="F24" s="11"/>
      <c r="G24" s="5"/>
      <c r="H24" s="5"/>
      <c r="I24" s="5"/>
      <c r="J24" s="5"/>
    </row>
    <row r="25" ht="15.75" customHeight="1">
      <c r="A25" s="15"/>
      <c r="B25" s="16"/>
      <c r="C25" s="18"/>
      <c r="D25" s="16"/>
      <c r="E25" s="16"/>
      <c r="F25" s="11"/>
      <c r="G25" s="5"/>
      <c r="H25" s="5"/>
      <c r="I25" s="5"/>
      <c r="J25" s="5"/>
    </row>
    <row r="26" ht="15.75" customHeight="1">
      <c r="A26" s="15"/>
      <c r="B26" s="16"/>
      <c r="C26" s="18"/>
      <c r="D26" s="16"/>
      <c r="E26" s="16"/>
      <c r="F26" s="11"/>
      <c r="G26" s="5"/>
      <c r="H26" s="5"/>
      <c r="I26" s="5"/>
      <c r="J26" s="5"/>
    </row>
    <row r="27" ht="15.75" customHeight="1">
      <c r="A27" s="15"/>
      <c r="B27" s="16"/>
      <c r="C27" s="18"/>
      <c r="D27" s="16"/>
      <c r="E27" s="16"/>
      <c r="F27" s="11"/>
      <c r="G27" s="5"/>
      <c r="H27" s="5"/>
      <c r="I27" s="5"/>
      <c r="J27" s="5"/>
    </row>
    <row r="28" ht="15.75" customHeight="1">
      <c r="A28" s="15"/>
      <c r="B28" s="16"/>
      <c r="C28" s="18"/>
      <c r="D28" s="16"/>
      <c r="E28" s="16"/>
      <c r="F28" s="11"/>
      <c r="G28" s="5"/>
      <c r="H28" s="5"/>
      <c r="I28" s="5"/>
      <c r="J28" s="5"/>
    </row>
    <row r="29" ht="15.75" customHeight="1">
      <c r="A29" s="15"/>
      <c r="B29" s="16"/>
      <c r="C29" s="18"/>
      <c r="D29" s="16"/>
      <c r="E29" s="16"/>
      <c r="F29" s="11"/>
      <c r="G29" s="5"/>
      <c r="H29" s="5"/>
      <c r="I29" s="5"/>
      <c r="J29" s="5"/>
    </row>
    <row r="30" ht="15.75" customHeight="1">
      <c r="A30" s="15"/>
      <c r="B30" s="16"/>
      <c r="C30" s="18"/>
      <c r="D30" s="16"/>
      <c r="E30" s="16"/>
      <c r="F30" s="11"/>
      <c r="G30" s="5"/>
      <c r="H30" s="5"/>
      <c r="I30" s="5"/>
      <c r="J30" s="5"/>
    </row>
    <row r="31" ht="15.75" customHeight="1">
      <c r="A31" s="15"/>
      <c r="B31" s="16"/>
      <c r="C31" s="18"/>
      <c r="D31" s="16"/>
      <c r="E31" s="16"/>
      <c r="F31" s="11"/>
      <c r="G31" s="5"/>
      <c r="H31" s="5"/>
      <c r="I31" s="5"/>
      <c r="J31" s="5"/>
    </row>
    <row r="32" ht="15.0" customHeight="1">
      <c r="A32" s="15"/>
      <c r="B32" s="16"/>
      <c r="C32" s="18"/>
      <c r="D32" s="16"/>
      <c r="E32" s="16"/>
      <c r="F32" s="11"/>
      <c r="G32" s="5"/>
      <c r="H32" s="5"/>
      <c r="I32" s="5"/>
      <c r="J32" s="5"/>
    </row>
    <row r="33" ht="15.0" customHeight="1">
      <c r="A33" s="15"/>
      <c r="B33" s="16"/>
      <c r="C33" s="18"/>
      <c r="D33" s="16"/>
      <c r="E33" s="16"/>
      <c r="F33" s="11"/>
      <c r="G33" s="5"/>
      <c r="H33" s="5"/>
      <c r="I33" s="5"/>
      <c r="J33" s="5"/>
    </row>
    <row r="34" ht="15.0" customHeight="1">
      <c r="A34" s="15"/>
      <c r="B34" s="16"/>
      <c r="C34" s="18"/>
      <c r="D34" s="16"/>
      <c r="E34" s="16"/>
      <c r="F34" s="11"/>
      <c r="G34" s="5"/>
      <c r="H34" s="5"/>
      <c r="I34" s="5"/>
      <c r="J34" s="5"/>
    </row>
    <row r="35" ht="15.0" customHeight="1">
      <c r="A35" s="15"/>
      <c r="B35" s="16"/>
      <c r="C35" s="18"/>
      <c r="D35" s="16"/>
      <c r="E35" s="16"/>
      <c r="F35" s="11"/>
      <c r="G35" s="5"/>
      <c r="H35" s="5"/>
      <c r="I35" s="5"/>
      <c r="J35" s="5"/>
    </row>
    <row r="36" ht="15.0" customHeight="1">
      <c r="A36" s="15"/>
      <c r="B36" s="16"/>
      <c r="C36" s="18"/>
      <c r="D36" s="16"/>
      <c r="E36" s="16"/>
      <c r="F36" s="11"/>
      <c r="G36" s="5"/>
      <c r="H36" s="5"/>
      <c r="I36" s="5"/>
      <c r="J36" s="5"/>
    </row>
    <row r="37" ht="15.0" customHeight="1">
      <c r="A37" s="15"/>
      <c r="B37" s="16"/>
      <c r="C37" s="18"/>
      <c r="D37" s="16"/>
      <c r="E37" s="16"/>
      <c r="F37" s="11"/>
      <c r="G37" s="5"/>
      <c r="H37" s="5"/>
      <c r="I37" s="5"/>
      <c r="J37" s="5"/>
    </row>
    <row r="38" ht="15.0" customHeight="1">
      <c r="A38" s="15"/>
      <c r="B38" s="16"/>
      <c r="C38" s="18"/>
      <c r="D38" s="16"/>
      <c r="E38" s="16"/>
      <c r="F38" s="11"/>
      <c r="G38" s="5"/>
      <c r="H38" s="5"/>
      <c r="I38" s="5"/>
      <c r="J38" s="5"/>
    </row>
    <row r="39" ht="15.0" customHeight="1">
      <c r="A39" s="15"/>
      <c r="B39" s="16"/>
      <c r="C39" s="18"/>
      <c r="D39" s="16"/>
      <c r="E39" s="16"/>
      <c r="F39" s="11"/>
      <c r="G39" s="5"/>
      <c r="H39" s="5"/>
      <c r="I39" s="5"/>
      <c r="J39" s="5"/>
    </row>
    <row r="40" ht="15.0" customHeight="1">
      <c r="A40" s="15"/>
      <c r="B40" s="16"/>
      <c r="C40" s="18"/>
      <c r="D40" s="16"/>
      <c r="E40" s="16"/>
      <c r="F40" s="11"/>
      <c r="G40" s="5"/>
      <c r="H40" s="5"/>
      <c r="I40" s="5"/>
      <c r="J40" s="5"/>
    </row>
    <row r="41" ht="15.0" customHeight="1">
      <c r="A41" s="15"/>
      <c r="B41" s="16"/>
      <c r="C41" s="18"/>
      <c r="D41" s="16"/>
      <c r="E41" s="16"/>
      <c r="F41" s="11"/>
      <c r="G41" s="5"/>
      <c r="H41" s="5"/>
      <c r="I41" s="5"/>
      <c r="J41" s="5"/>
    </row>
    <row r="42" ht="15.0" customHeight="1">
      <c r="A42" s="15"/>
      <c r="B42" s="16"/>
      <c r="C42" s="18"/>
      <c r="D42" s="16"/>
      <c r="E42" s="16"/>
      <c r="F42" s="11"/>
      <c r="G42" s="5"/>
      <c r="H42" s="5"/>
      <c r="I42" s="5"/>
      <c r="J42" s="5"/>
    </row>
    <row r="43" ht="15.0" customHeight="1">
      <c r="A43" s="15"/>
      <c r="B43" s="16"/>
      <c r="C43" s="18"/>
      <c r="D43" s="16"/>
      <c r="E43" s="16"/>
      <c r="F43" s="11"/>
      <c r="G43" s="5"/>
      <c r="H43" s="5"/>
      <c r="I43" s="5"/>
      <c r="J43" s="5"/>
    </row>
    <row r="44" ht="15.0" customHeight="1">
      <c r="A44" s="15"/>
      <c r="B44" s="16"/>
      <c r="C44" s="18"/>
      <c r="D44" s="16"/>
      <c r="E44" s="16"/>
      <c r="F44" s="11"/>
      <c r="G44" s="5"/>
      <c r="H44" s="5"/>
      <c r="I44" s="5"/>
      <c r="J44" s="5"/>
    </row>
    <row r="45" ht="15.0" customHeight="1">
      <c r="A45" s="15"/>
      <c r="B45" s="16"/>
      <c r="C45" s="18"/>
      <c r="D45" s="16"/>
      <c r="E45" s="16"/>
      <c r="F45" s="11"/>
      <c r="G45" s="5"/>
      <c r="H45" s="5"/>
      <c r="I45" s="5"/>
      <c r="J45" s="5"/>
    </row>
    <row r="46" ht="15.0" customHeight="1">
      <c r="A46" s="15"/>
      <c r="B46" s="16"/>
      <c r="C46" s="18"/>
      <c r="D46" s="16"/>
      <c r="E46" s="16"/>
      <c r="F46" s="11"/>
      <c r="G46" s="5"/>
      <c r="H46" s="5"/>
      <c r="I46" s="5"/>
      <c r="J46" s="5"/>
    </row>
    <row r="47" ht="15.0" customHeight="1">
      <c r="A47" s="15"/>
      <c r="B47" s="16"/>
      <c r="C47" s="18"/>
      <c r="D47" s="16"/>
      <c r="E47" s="16"/>
      <c r="F47" s="11"/>
      <c r="G47" s="5"/>
      <c r="H47" s="5"/>
      <c r="I47" s="5"/>
      <c r="J47" s="5"/>
    </row>
    <row r="48" ht="15.0" customHeight="1">
      <c r="A48" s="15"/>
      <c r="B48" s="16"/>
      <c r="C48" s="18"/>
      <c r="D48" s="16"/>
      <c r="E48" s="16"/>
      <c r="F48" s="11"/>
      <c r="G48" s="5"/>
      <c r="H48" s="5"/>
      <c r="I48" s="5"/>
      <c r="J48" s="5"/>
    </row>
    <row r="49" ht="15.0" customHeight="1">
      <c r="A49" s="15"/>
      <c r="B49" s="16"/>
      <c r="C49" s="18"/>
      <c r="D49" s="16"/>
      <c r="E49" s="16"/>
      <c r="F49" s="11"/>
      <c r="G49" s="5"/>
      <c r="H49" s="5"/>
      <c r="I49" s="5"/>
      <c r="J49" s="5"/>
    </row>
    <row r="50" ht="15.0" customHeight="1">
      <c r="A50" s="15"/>
      <c r="B50" s="16"/>
      <c r="C50" s="18"/>
      <c r="D50" s="16"/>
      <c r="E50" s="16"/>
      <c r="F50" s="11"/>
      <c r="G50" s="5"/>
      <c r="H50" s="5"/>
      <c r="I50" s="5"/>
      <c r="J50" s="5"/>
    </row>
    <row r="51" ht="15.0" customHeight="1">
      <c r="A51" s="15"/>
      <c r="B51" s="16"/>
      <c r="C51" s="18"/>
      <c r="D51" s="16"/>
      <c r="E51" s="16"/>
      <c r="F51" s="11"/>
      <c r="G51" s="5"/>
      <c r="H51" s="5"/>
      <c r="I51" s="5"/>
      <c r="J51" s="5"/>
    </row>
    <row r="52" ht="15.0" customHeight="1">
      <c r="A52" s="15"/>
      <c r="B52" s="16"/>
      <c r="C52" s="18"/>
      <c r="D52" s="16"/>
      <c r="E52" s="16"/>
      <c r="F52" s="11"/>
      <c r="G52" s="5"/>
      <c r="H52" s="5"/>
      <c r="I52" s="5"/>
      <c r="J52" s="5"/>
    </row>
    <row r="53" ht="15.0" customHeight="1">
      <c r="A53" s="15"/>
      <c r="B53" s="16"/>
      <c r="C53" s="18"/>
      <c r="D53" s="16"/>
      <c r="E53" s="16"/>
      <c r="F53" s="11"/>
      <c r="G53" s="5"/>
      <c r="H53" s="5"/>
      <c r="I53" s="5"/>
      <c r="J53" s="5"/>
    </row>
    <row r="54" ht="15.0" customHeight="1">
      <c r="A54" s="15"/>
      <c r="B54" s="16"/>
      <c r="C54" s="18"/>
      <c r="D54" s="16"/>
      <c r="E54" s="16"/>
      <c r="F54" s="11"/>
      <c r="G54" s="5"/>
      <c r="H54" s="5"/>
      <c r="I54" s="5"/>
      <c r="J54" s="5"/>
    </row>
    <row r="55" ht="15.0" customHeight="1">
      <c r="A55" s="15"/>
      <c r="B55" s="16"/>
      <c r="C55" s="18"/>
      <c r="D55" s="16"/>
      <c r="E55" s="16"/>
      <c r="F55" s="11"/>
      <c r="G55" s="5"/>
      <c r="H55" s="5"/>
      <c r="I55" s="5"/>
      <c r="J55" s="5"/>
    </row>
    <row r="56" ht="15.0" customHeight="1">
      <c r="A56" s="15"/>
      <c r="B56" s="16"/>
      <c r="C56" s="18"/>
      <c r="D56" s="16"/>
      <c r="E56" s="16"/>
      <c r="F56" s="11"/>
      <c r="G56" s="5"/>
      <c r="H56" s="5"/>
      <c r="I56" s="5"/>
      <c r="J56" s="5"/>
    </row>
    <row r="57" ht="15.0" customHeight="1">
      <c r="A57" s="15"/>
      <c r="B57" s="16"/>
      <c r="C57" s="18"/>
      <c r="D57" s="16"/>
      <c r="E57" s="16"/>
      <c r="F57" s="11"/>
      <c r="G57" s="5"/>
      <c r="H57" s="5"/>
      <c r="I57" s="5"/>
      <c r="J57" s="5"/>
    </row>
    <row r="58" ht="15.0" customHeight="1">
      <c r="A58" s="15"/>
      <c r="B58" s="16"/>
      <c r="C58" s="18"/>
      <c r="D58" s="16"/>
      <c r="E58" s="16"/>
      <c r="F58" s="11"/>
      <c r="G58" s="5"/>
      <c r="H58" s="5"/>
      <c r="I58" s="5"/>
      <c r="J58" s="5"/>
    </row>
    <row r="59" ht="15.0" customHeight="1">
      <c r="A59" s="15"/>
      <c r="B59" s="16"/>
      <c r="C59" s="18"/>
      <c r="D59" s="16"/>
      <c r="E59" s="16"/>
      <c r="F59" s="11"/>
      <c r="G59" s="5"/>
      <c r="H59" s="5"/>
      <c r="I59" s="5"/>
      <c r="J59" s="5"/>
    </row>
    <row r="60" ht="15.0" customHeight="1">
      <c r="A60" s="15"/>
      <c r="B60" s="16"/>
      <c r="C60" s="18"/>
      <c r="D60" s="16"/>
      <c r="E60" s="16"/>
      <c r="F60" s="11"/>
      <c r="G60" s="5"/>
      <c r="H60" s="5"/>
      <c r="I60" s="5"/>
      <c r="J60" s="5"/>
    </row>
    <row r="61" ht="15.0" customHeight="1">
      <c r="A61" s="15"/>
      <c r="B61" s="16"/>
      <c r="C61" s="18"/>
      <c r="D61" s="16"/>
      <c r="E61" s="16"/>
      <c r="F61" s="11"/>
      <c r="G61" s="5"/>
      <c r="H61" s="5"/>
      <c r="I61" s="5"/>
      <c r="J61" s="5"/>
    </row>
    <row r="62" ht="15.0" customHeight="1">
      <c r="A62" s="15"/>
      <c r="B62" s="16"/>
      <c r="C62" s="18"/>
      <c r="D62" s="16"/>
      <c r="E62" s="16"/>
      <c r="F62" s="11"/>
      <c r="G62" s="5"/>
      <c r="H62" s="5"/>
      <c r="I62" s="5"/>
      <c r="J62" s="5"/>
    </row>
    <row r="63" ht="15.0" customHeight="1">
      <c r="A63" s="15"/>
      <c r="B63" s="16"/>
      <c r="C63" s="18"/>
      <c r="D63" s="16"/>
      <c r="E63" s="16"/>
      <c r="F63" s="11"/>
      <c r="G63" s="5"/>
      <c r="H63" s="5"/>
      <c r="I63" s="5"/>
      <c r="J63" s="5"/>
    </row>
    <row r="64" ht="15.0" customHeight="1">
      <c r="A64" s="15"/>
      <c r="B64" s="16"/>
      <c r="C64" s="18"/>
      <c r="D64" s="16"/>
      <c r="E64" s="16"/>
      <c r="F64" s="11"/>
      <c r="G64" s="5"/>
      <c r="H64" s="5"/>
      <c r="I64" s="5"/>
      <c r="J64" s="5"/>
    </row>
    <row r="65" ht="15.0" customHeight="1">
      <c r="A65" s="15"/>
      <c r="B65" s="16"/>
      <c r="C65" s="18"/>
      <c r="D65" s="16"/>
      <c r="E65" s="16"/>
      <c r="F65" s="11"/>
      <c r="G65" s="5"/>
      <c r="H65" s="5"/>
      <c r="I65" s="5"/>
      <c r="J65" s="5"/>
    </row>
    <row r="66" ht="15.0" customHeight="1">
      <c r="A66" s="15"/>
      <c r="B66" s="16"/>
      <c r="C66" s="18"/>
      <c r="D66" s="16"/>
      <c r="E66" s="16"/>
      <c r="F66" s="11"/>
      <c r="G66" s="5"/>
      <c r="H66" s="5"/>
      <c r="I66" s="5"/>
      <c r="J66" s="5"/>
    </row>
    <row r="67" ht="15.0" customHeight="1">
      <c r="A67" s="15"/>
      <c r="B67" s="16"/>
      <c r="C67" s="18"/>
      <c r="D67" s="16"/>
      <c r="E67" s="16"/>
      <c r="F67" s="11"/>
      <c r="G67" s="5"/>
      <c r="H67" s="5"/>
      <c r="I67" s="5"/>
      <c r="J67" s="5"/>
    </row>
    <row r="68" ht="15.0" customHeight="1">
      <c r="A68" s="15"/>
      <c r="B68" s="16"/>
      <c r="C68" s="18"/>
      <c r="D68" s="16"/>
      <c r="E68" s="16"/>
      <c r="F68" s="11"/>
      <c r="G68" s="5"/>
      <c r="H68" s="5"/>
      <c r="I68" s="5"/>
      <c r="J68" s="5"/>
    </row>
    <row r="69" ht="15.0" customHeight="1">
      <c r="A69" s="15"/>
      <c r="B69" s="16"/>
      <c r="C69" s="18"/>
      <c r="D69" s="16"/>
      <c r="E69" s="16"/>
      <c r="F69" s="11"/>
      <c r="G69" s="5"/>
      <c r="H69" s="5"/>
      <c r="I69" s="5"/>
      <c r="J69" s="5"/>
    </row>
    <row r="70" ht="15.0" customHeight="1">
      <c r="A70" s="15"/>
      <c r="B70" s="16"/>
      <c r="C70" s="18"/>
      <c r="D70" s="16"/>
      <c r="E70" s="16"/>
      <c r="F70" s="11"/>
      <c r="G70" s="5"/>
      <c r="H70" s="5"/>
      <c r="I70" s="5"/>
      <c r="J70" s="5"/>
    </row>
    <row r="71" ht="15.0" customHeight="1">
      <c r="A71" s="15"/>
      <c r="B71" s="16"/>
      <c r="C71" s="18"/>
      <c r="D71" s="16"/>
      <c r="E71" s="16"/>
      <c r="F71" s="11"/>
      <c r="G71" s="5"/>
      <c r="H71" s="5"/>
      <c r="I71" s="5"/>
      <c r="J71" s="5"/>
    </row>
    <row r="72" ht="15.0" customHeight="1">
      <c r="A72" s="15"/>
      <c r="B72" s="16"/>
      <c r="C72" s="18"/>
      <c r="D72" s="16"/>
      <c r="E72" s="16"/>
      <c r="F72" s="11"/>
      <c r="G72" s="5"/>
      <c r="H72" s="5"/>
      <c r="I72" s="5"/>
      <c r="J72" s="5"/>
    </row>
    <row r="73" ht="15.0" customHeight="1">
      <c r="A73" s="15"/>
      <c r="B73" s="16"/>
      <c r="C73" s="18"/>
      <c r="D73" s="16"/>
      <c r="E73" s="16"/>
      <c r="F73" s="11"/>
      <c r="G73" s="5"/>
      <c r="H73" s="5"/>
      <c r="I73" s="5"/>
      <c r="J73" s="5"/>
    </row>
    <row r="74" ht="15.0" customHeight="1">
      <c r="A74" s="15"/>
      <c r="B74" s="16"/>
      <c r="C74" s="18"/>
      <c r="D74" s="16"/>
      <c r="E74" s="16"/>
      <c r="F74" s="11"/>
      <c r="G74" s="5"/>
      <c r="H74" s="5"/>
      <c r="I74" s="5"/>
      <c r="J74" s="5"/>
    </row>
    <row r="75" ht="15.0" customHeight="1">
      <c r="A75" s="15"/>
      <c r="B75" s="16"/>
      <c r="C75" s="18"/>
      <c r="D75" s="16"/>
      <c r="E75" s="16"/>
      <c r="F75" s="11"/>
      <c r="G75" s="5"/>
      <c r="H75" s="5"/>
      <c r="I75" s="5"/>
      <c r="J75" s="5"/>
    </row>
    <row r="76" ht="15.0" customHeight="1">
      <c r="A76" s="15"/>
      <c r="B76" s="16"/>
      <c r="C76" s="18"/>
      <c r="D76" s="16"/>
      <c r="E76" s="16"/>
      <c r="F76" s="11"/>
      <c r="G76" s="5"/>
      <c r="H76" s="5"/>
      <c r="I76" s="5"/>
      <c r="J76" s="5"/>
    </row>
    <row r="77" ht="15.0" customHeight="1">
      <c r="A77" s="15"/>
      <c r="B77" s="16"/>
      <c r="C77" s="18"/>
      <c r="D77" s="16"/>
      <c r="E77" s="16"/>
      <c r="F77" s="5"/>
      <c r="G77" s="5"/>
      <c r="H77" s="5"/>
      <c r="I77" s="5"/>
      <c r="J77" s="5"/>
    </row>
    <row r="78" ht="15.0" customHeight="1">
      <c r="A78" s="15"/>
      <c r="B78" s="16"/>
      <c r="C78" s="18"/>
      <c r="D78" s="16"/>
      <c r="E78" s="16"/>
      <c r="F78" s="5"/>
      <c r="G78" s="5"/>
      <c r="H78" s="5"/>
      <c r="I78" s="5"/>
      <c r="J78" s="5"/>
    </row>
    <row r="79" ht="15.0" customHeight="1">
      <c r="A79" s="15"/>
      <c r="B79" s="16"/>
      <c r="C79" s="18"/>
      <c r="D79" s="16"/>
      <c r="E79" s="16"/>
      <c r="F79" s="5"/>
      <c r="G79" s="5"/>
      <c r="H79" s="5"/>
      <c r="I79" s="5"/>
      <c r="J79" s="5"/>
    </row>
    <row r="80" ht="15.0" customHeight="1">
      <c r="A80" s="15"/>
      <c r="B80" s="16"/>
      <c r="C80" s="18"/>
      <c r="D80" s="16"/>
      <c r="E80" s="16"/>
      <c r="F80" s="5"/>
      <c r="G80" s="5"/>
      <c r="H80" s="5"/>
      <c r="I80" s="5"/>
      <c r="J80" s="5"/>
    </row>
    <row r="81" ht="15.0" customHeight="1">
      <c r="A81" s="15"/>
      <c r="B81" s="16"/>
      <c r="C81" s="18"/>
      <c r="D81" s="16"/>
      <c r="E81" s="16"/>
      <c r="F81" s="5"/>
      <c r="G81" s="5"/>
      <c r="H81" s="5"/>
      <c r="I81" s="5"/>
      <c r="J81" s="5"/>
    </row>
    <row r="82" ht="15.0" customHeight="1">
      <c r="A82" s="15"/>
      <c r="B82" s="16"/>
      <c r="C82" s="18"/>
      <c r="D82" s="16"/>
      <c r="E82" s="16"/>
      <c r="F82" s="5"/>
      <c r="G82" s="5"/>
      <c r="H82" s="5"/>
      <c r="I82" s="5"/>
      <c r="J82" s="5"/>
    </row>
    <row r="83" ht="15.0" customHeight="1">
      <c r="A83" s="15"/>
      <c r="B83" s="16"/>
      <c r="C83" s="18"/>
      <c r="D83" s="16"/>
      <c r="E83" s="16"/>
      <c r="F83" s="5"/>
      <c r="G83" s="5"/>
      <c r="H83" s="5"/>
      <c r="I83" s="5"/>
      <c r="J83" s="5"/>
    </row>
    <row r="84" ht="15.0" customHeight="1">
      <c r="A84" s="15"/>
      <c r="B84" s="16"/>
      <c r="C84" s="18"/>
      <c r="D84" s="16"/>
      <c r="E84" s="16"/>
      <c r="F84" s="5"/>
      <c r="G84" s="5"/>
      <c r="H84" s="5"/>
      <c r="I84" s="5"/>
      <c r="J84" s="5"/>
    </row>
    <row r="85" ht="15.0" customHeight="1">
      <c r="A85" s="15"/>
      <c r="B85" s="16"/>
      <c r="C85" s="18"/>
      <c r="D85" s="16"/>
      <c r="E85" s="16"/>
      <c r="F85" s="5"/>
      <c r="G85" s="5"/>
      <c r="H85" s="5"/>
      <c r="I85" s="5"/>
      <c r="J85" s="5"/>
    </row>
    <row r="86" ht="15.0" customHeight="1">
      <c r="A86" s="15"/>
      <c r="B86" s="16"/>
      <c r="C86" s="18"/>
      <c r="D86" s="16"/>
      <c r="E86" s="16"/>
      <c r="F86" s="5"/>
      <c r="G86" s="5"/>
      <c r="H86" s="5"/>
      <c r="I86" s="5"/>
      <c r="J86" s="5"/>
    </row>
    <row r="87" ht="15.0" customHeight="1">
      <c r="A87" s="15"/>
      <c r="B87" s="16"/>
      <c r="C87" s="18"/>
      <c r="D87" s="16"/>
      <c r="E87" s="16"/>
      <c r="F87" s="5"/>
      <c r="G87" s="5"/>
      <c r="H87" s="5"/>
      <c r="I87" s="5"/>
      <c r="J87" s="5"/>
    </row>
    <row r="88" ht="15.0" customHeight="1">
      <c r="A88" s="15"/>
      <c r="B88" s="16"/>
      <c r="C88" s="18"/>
      <c r="D88" s="16"/>
      <c r="E88" s="16"/>
      <c r="F88" s="5"/>
      <c r="G88" s="5"/>
      <c r="H88" s="5"/>
      <c r="I88" s="5"/>
      <c r="J88" s="5"/>
    </row>
    <row r="89" ht="15.0" customHeight="1">
      <c r="A89" s="15"/>
      <c r="B89" s="16"/>
      <c r="C89" s="18"/>
      <c r="D89" s="16"/>
      <c r="E89" s="16"/>
      <c r="F89" s="5"/>
      <c r="G89" s="5"/>
      <c r="H89" s="5"/>
      <c r="I89" s="5"/>
      <c r="J89" s="5"/>
    </row>
    <row r="90" ht="15.0" customHeight="1">
      <c r="A90" s="15"/>
      <c r="B90" s="16"/>
      <c r="C90" s="18"/>
      <c r="D90" s="16"/>
      <c r="E90" s="16"/>
      <c r="F90" s="5"/>
      <c r="G90" s="5"/>
      <c r="H90" s="5"/>
      <c r="I90" s="5"/>
      <c r="J90" s="5"/>
    </row>
    <row r="91" ht="15.0" customHeight="1">
      <c r="A91" s="15"/>
      <c r="B91" s="16"/>
      <c r="C91" s="18"/>
      <c r="D91" s="16"/>
      <c r="E91" s="16"/>
      <c r="F91" s="5"/>
      <c r="G91" s="5"/>
      <c r="H91" s="5"/>
      <c r="I91" s="5"/>
      <c r="J91" s="5"/>
    </row>
    <row r="92" ht="15.0" customHeight="1">
      <c r="A92" s="15"/>
      <c r="B92" s="16"/>
      <c r="C92" s="18"/>
      <c r="D92" s="16"/>
      <c r="E92" s="16"/>
      <c r="F92" s="5"/>
      <c r="G92" s="5"/>
      <c r="H92" s="5"/>
      <c r="I92" s="5"/>
      <c r="J92" s="5"/>
    </row>
    <row r="93" ht="15.0" customHeight="1">
      <c r="A93" s="15"/>
      <c r="B93" s="16"/>
      <c r="C93" s="18"/>
      <c r="D93" s="16"/>
      <c r="E93" s="16"/>
      <c r="F93" s="5"/>
      <c r="G93" s="5"/>
      <c r="H93" s="5"/>
      <c r="I93" s="5"/>
      <c r="J93" s="5"/>
    </row>
    <row r="94" ht="15.0" customHeight="1">
      <c r="A94" s="15"/>
      <c r="B94" s="16"/>
      <c r="C94" s="18"/>
      <c r="D94" s="16"/>
      <c r="E94" s="16"/>
      <c r="F94" s="5"/>
      <c r="G94" s="5"/>
      <c r="H94" s="5"/>
      <c r="I94" s="5"/>
      <c r="J94" s="5"/>
    </row>
    <row r="95" ht="15.0" customHeight="1">
      <c r="A95" s="15"/>
      <c r="B95" s="16"/>
      <c r="C95" s="18"/>
      <c r="D95" s="16"/>
      <c r="E95" s="16"/>
      <c r="F95" s="5"/>
      <c r="G95" s="5"/>
      <c r="H95" s="5"/>
      <c r="I95" s="5"/>
      <c r="J95" s="5"/>
    </row>
    <row r="96" ht="15.0" customHeight="1">
      <c r="A96" s="15"/>
      <c r="B96" s="16"/>
      <c r="C96" s="18"/>
      <c r="D96" s="16"/>
      <c r="E96" s="16"/>
      <c r="F96" s="5"/>
      <c r="G96" s="5"/>
      <c r="H96" s="5"/>
      <c r="I96" s="5"/>
      <c r="J96" s="5"/>
    </row>
    <row r="97" ht="15.0" customHeight="1">
      <c r="A97" s="15"/>
      <c r="B97" s="16"/>
      <c r="C97" s="18"/>
      <c r="D97" s="16"/>
      <c r="E97" s="16"/>
      <c r="F97" s="5"/>
      <c r="G97" s="5"/>
      <c r="H97" s="5"/>
      <c r="I97" s="5"/>
      <c r="J97" s="5"/>
    </row>
    <row r="98" ht="15.0" customHeight="1">
      <c r="A98" s="15"/>
      <c r="B98" s="16"/>
      <c r="C98" s="18"/>
      <c r="D98" s="16"/>
      <c r="E98" s="16"/>
      <c r="F98" s="5"/>
      <c r="G98" s="5"/>
      <c r="H98" s="5"/>
      <c r="I98" s="5"/>
      <c r="J98" s="5"/>
    </row>
    <row r="99" ht="15.75" customHeight="1">
      <c r="A99" s="15"/>
      <c r="B99" s="16"/>
      <c r="C99" s="18"/>
      <c r="D99" s="16"/>
      <c r="E99" s="16"/>
      <c r="F99" s="5"/>
      <c r="G99" s="5"/>
      <c r="H99" s="5"/>
      <c r="I99" s="5"/>
      <c r="J99" s="5"/>
    </row>
    <row r="100" ht="15.75" customHeight="1">
      <c r="A100" s="15"/>
      <c r="B100" s="16"/>
      <c r="C100" s="18"/>
      <c r="D100" s="16"/>
      <c r="E100" s="16"/>
      <c r="F100" s="5"/>
      <c r="G100" s="5"/>
      <c r="H100" s="5"/>
      <c r="I100" s="5"/>
      <c r="J100" s="5"/>
    </row>
    <row r="101" ht="15.75" customHeight="1">
      <c r="A101" s="15"/>
      <c r="B101" s="16"/>
      <c r="C101" s="18"/>
      <c r="D101" s="16"/>
      <c r="E101" s="16"/>
      <c r="F101" s="5"/>
      <c r="G101" s="5"/>
      <c r="H101" s="5"/>
      <c r="I101" s="5"/>
      <c r="J101" s="5"/>
    </row>
    <row r="102" ht="15.75" customHeight="1">
      <c r="A102" s="15"/>
      <c r="B102" s="16"/>
      <c r="C102" s="18"/>
      <c r="D102" s="16"/>
      <c r="E102" s="16"/>
      <c r="F102" s="5"/>
      <c r="G102" s="5"/>
      <c r="H102" s="5"/>
      <c r="I102" s="5"/>
      <c r="J102" s="5"/>
    </row>
    <row r="103" ht="15.75" customHeight="1">
      <c r="A103" s="15"/>
      <c r="B103" s="16"/>
      <c r="C103" s="18"/>
      <c r="D103" s="16"/>
      <c r="E103" s="16"/>
      <c r="F103" s="5"/>
      <c r="G103" s="5"/>
      <c r="H103" s="5"/>
      <c r="I103" s="5"/>
      <c r="J103" s="5"/>
    </row>
    <row r="104" ht="15.75" customHeight="1">
      <c r="A104" s="15"/>
      <c r="B104" s="16"/>
      <c r="C104" s="18"/>
      <c r="D104" s="16"/>
      <c r="E104" s="16"/>
      <c r="F104" s="5"/>
      <c r="G104" s="5"/>
      <c r="H104" s="5"/>
      <c r="I104" s="5"/>
      <c r="J104" s="5"/>
    </row>
    <row r="105" ht="15.75" customHeight="1">
      <c r="A105" s="15"/>
      <c r="B105" s="16"/>
      <c r="C105" s="18"/>
      <c r="D105" s="16"/>
      <c r="E105" s="16"/>
      <c r="F105" s="5"/>
      <c r="G105" s="5"/>
      <c r="H105" s="5"/>
      <c r="I105" s="5"/>
      <c r="J105" s="5"/>
    </row>
    <row r="106" ht="15.75" customHeight="1">
      <c r="A106" s="15"/>
      <c r="B106" s="16"/>
      <c r="C106" s="18"/>
      <c r="D106" s="16"/>
      <c r="E106" s="16"/>
      <c r="F106" s="5"/>
      <c r="G106" s="5"/>
      <c r="H106" s="5"/>
      <c r="I106" s="5"/>
      <c r="J106" s="5"/>
    </row>
    <row r="107" ht="15.75" customHeight="1">
      <c r="A107" s="15"/>
      <c r="B107" s="16"/>
      <c r="C107" s="18"/>
      <c r="D107" s="16"/>
      <c r="E107" s="16"/>
      <c r="F107" s="5"/>
      <c r="G107" s="5"/>
      <c r="H107" s="5"/>
      <c r="I107" s="5"/>
      <c r="J107" s="5"/>
    </row>
    <row r="108" ht="15.75" customHeight="1">
      <c r="A108" s="15"/>
      <c r="B108" s="16"/>
      <c r="C108" s="18"/>
      <c r="D108" s="16"/>
      <c r="E108" s="16"/>
      <c r="F108" s="5"/>
      <c r="G108" s="5"/>
      <c r="H108" s="5"/>
      <c r="I108" s="5"/>
      <c r="J108" s="5"/>
    </row>
    <row r="109" ht="15.75" customHeight="1">
      <c r="A109" s="15"/>
      <c r="B109" s="16"/>
      <c r="C109" s="18"/>
      <c r="D109" s="16"/>
      <c r="E109" s="16"/>
      <c r="F109" s="5"/>
      <c r="G109" s="5"/>
      <c r="H109" s="5"/>
      <c r="I109" s="5"/>
      <c r="J109" s="5"/>
    </row>
    <row r="110" ht="15.75" customHeight="1">
      <c r="A110" s="15"/>
      <c r="B110" s="16"/>
      <c r="C110" s="18"/>
      <c r="D110" s="16"/>
      <c r="E110" s="16"/>
      <c r="F110" s="5"/>
      <c r="G110" s="5"/>
      <c r="H110" s="5"/>
      <c r="I110" s="5"/>
      <c r="J110" s="5"/>
    </row>
    <row r="111" ht="15.75" customHeight="1">
      <c r="A111" s="15"/>
      <c r="B111" s="16"/>
      <c r="C111" s="18"/>
      <c r="D111" s="16"/>
      <c r="E111" s="16"/>
      <c r="F111" s="5"/>
      <c r="G111" s="5"/>
      <c r="H111" s="5"/>
      <c r="I111" s="5"/>
      <c r="J111" s="5"/>
    </row>
    <row r="112" ht="15.75" customHeight="1">
      <c r="A112" s="15"/>
      <c r="B112" s="16"/>
      <c r="C112" s="18"/>
      <c r="D112" s="16"/>
      <c r="E112" s="16"/>
      <c r="F112" s="5"/>
      <c r="G112" s="5"/>
      <c r="H112" s="5"/>
      <c r="I112" s="5"/>
      <c r="J112" s="5"/>
    </row>
    <row r="113" ht="15.75" customHeight="1">
      <c r="A113" s="15"/>
      <c r="B113" s="16"/>
      <c r="C113" s="18"/>
      <c r="D113" s="16"/>
      <c r="E113" s="16"/>
      <c r="F113" s="5"/>
      <c r="G113" s="5"/>
      <c r="H113" s="5"/>
      <c r="I113" s="5"/>
      <c r="J113" s="5"/>
    </row>
    <row r="114" ht="15.75" customHeight="1">
      <c r="A114" s="15"/>
      <c r="B114" s="16"/>
      <c r="C114" s="18"/>
      <c r="D114" s="16"/>
      <c r="E114" s="16"/>
      <c r="F114" s="5"/>
      <c r="G114" s="5"/>
      <c r="H114" s="5"/>
      <c r="I114" s="5"/>
      <c r="J114" s="5"/>
    </row>
    <row r="115" ht="15.75" customHeight="1">
      <c r="A115" s="15"/>
      <c r="B115" s="16"/>
      <c r="C115" s="18"/>
      <c r="D115" s="16"/>
      <c r="E115" s="16"/>
      <c r="F115" s="5"/>
      <c r="G115" s="5"/>
      <c r="H115" s="5"/>
      <c r="I115" s="5"/>
      <c r="J115" s="5"/>
    </row>
    <row r="116" ht="15.75" customHeight="1">
      <c r="A116" s="15"/>
      <c r="B116" s="16"/>
      <c r="C116" s="18"/>
      <c r="D116" s="16"/>
      <c r="E116" s="16"/>
      <c r="F116" s="5"/>
      <c r="G116" s="5"/>
      <c r="H116" s="5"/>
      <c r="I116" s="5"/>
      <c r="J116" s="5"/>
    </row>
    <row r="117" ht="15.75" customHeight="1">
      <c r="A117" s="15"/>
      <c r="B117" s="16"/>
      <c r="C117" s="18"/>
      <c r="D117" s="16"/>
      <c r="E117" s="16"/>
      <c r="F117" s="5"/>
      <c r="G117" s="5"/>
      <c r="H117" s="5"/>
      <c r="I117" s="5"/>
      <c r="J117" s="5"/>
    </row>
    <row r="118" ht="15.75" customHeight="1">
      <c r="A118" s="15"/>
      <c r="B118" s="16"/>
      <c r="C118" s="18"/>
      <c r="D118" s="16"/>
      <c r="E118" s="16"/>
      <c r="F118" s="5"/>
      <c r="G118" s="5"/>
      <c r="H118" s="5"/>
      <c r="I118" s="5"/>
      <c r="J118" s="5"/>
    </row>
    <row r="119" ht="15.75" customHeight="1">
      <c r="A119" s="15"/>
      <c r="B119" s="16"/>
      <c r="C119" s="18"/>
      <c r="D119" s="16"/>
      <c r="E119" s="16"/>
      <c r="F119" s="5"/>
      <c r="G119" s="5"/>
      <c r="H119" s="5"/>
      <c r="I119" s="5"/>
      <c r="J119" s="5"/>
    </row>
    <row r="120" ht="15.75" customHeight="1">
      <c r="A120" s="15"/>
      <c r="B120" s="16"/>
      <c r="C120" s="18"/>
      <c r="D120" s="16"/>
      <c r="E120" s="16"/>
      <c r="F120" s="5"/>
      <c r="G120" s="5"/>
      <c r="H120" s="5"/>
      <c r="I120" s="5"/>
      <c r="J120" s="5"/>
    </row>
    <row r="121" ht="15.75" customHeight="1">
      <c r="A121" s="15"/>
      <c r="B121" s="16"/>
      <c r="C121" s="18"/>
      <c r="D121" s="16"/>
      <c r="E121" s="16"/>
      <c r="F121" s="5"/>
      <c r="G121" s="5"/>
      <c r="H121" s="5"/>
      <c r="I121" s="5"/>
      <c r="J121" s="5"/>
    </row>
    <row r="122" ht="15.75" customHeight="1">
      <c r="A122" s="15"/>
      <c r="B122" s="16"/>
      <c r="C122" s="18"/>
      <c r="D122" s="16"/>
      <c r="E122" s="16"/>
      <c r="F122" s="5"/>
      <c r="G122" s="5"/>
      <c r="H122" s="5"/>
      <c r="I122" s="5"/>
      <c r="J122" s="5"/>
    </row>
    <row r="123" ht="15.75" customHeight="1">
      <c r="A123" s="15"/>
      <c r="B123" s="16"/>
      <c r="C123" s="18"/>
      <c r="D123" s="16"/>
      <c r="E123" s="16"/>
      <c r="F123" s="5"/>
      <c r="G123" s="5"/>
      <c r="H123" s="5"/>
      <c r="I123" s="5"/>
      <c r="J123" s="5"/>
    </row>
    <row r="124" ht="15.75" customHeight="1">
      <c r="A124" s="15"/>
      <c r="B124" s="16"/>
      <c r="C124" s="18"/>
      <c r="D124" s="16"/>
      <c r="E124" s="16"/>
      <c r="F124" s="5"/>
      <c r="G124" s="5"/>
      <c r="H124" s="5"/>
      <c r="I124" s="5"/>
      <c r="J124" s="5"/>
    </row>
    <row r="125" ht="15.75" customHeight="1">
      <c r="A125" s="15"/>
      <c r="B125" s="16"/>
      <c r="C125" s="18"/>
      <c r="D125" s="16"/>
      <c r="E125" s="16"/>
      <c r="F125" s="5"/>
      <c r="G125" s="5"/>
      <c r="H125" s="5"/>
      <c r="I125" s="5"/>
      <c r="J125" s="5"/>
    </row>
    <row r="126" ht="15.75" customHeight="1">
      <c r="A126" s="15"/>
      <c r="B126" s="16"/>
      <c r="C126" s="18"/>
      <c r="D126" s="16"/>
      <c r="E126" s="16"/>
      <c r="F126" s="5"/>
      <c r="G126" s="5"/>
      <c r="H126" s="5"/>
      <c r="I126" s="5"/>
      <c r="J126" s="5"/>
    </row>
    <row r="127" ht="15.75" customHeight="1">
      <c r="A127" s="15"/>
      <c r="B127" s="16"/>
      <c r="C127" s="18"/>
      <c r="D127" s="16"/>
      <c r="E127" s="16"/>
      <c r="F127" s="5"/>
      <c r="G127" s="5"/>
      <c r="H127" s="5"/>
      <c r="I127" s="5"/>
      <c r="J127" s="5"/>
    </row>
    <row r="128" ht="15.75" customHeight="1">
      <c r="A128" s="15"/>
      <c r="B128" s="16"/>
      <c r="C128" s="18"/>
      <c r="D128" s="16"/>
      <c r="E128" s="16"/>
      <c r="F128" s="5"/>
      <c r="G128" s="5"/>
      <c r="H128" s="5"/>
      <c r="I128" s="5"/>
      <c r="J128" s="5"/>
    </row>
    <row r="129" ht="15.75" customHeight="1">
      <c r="A129" s="15"/>
      <c r="B129" s="16"/>
      <c r="C129" s="18"/>
      <c r="D129" s="16"/>
      <c r="E129" s="16"/>
      <c r="F129" s="5"/>
      <c r="G129" s="5"/>
      <c r="H129" s="5"/>
      <c r="I129" s="5"/>
      <c r="J129" s="5"/>
    </row>
    <row r="130" ht="15.75" customHeight="1">
      <c r="A130" s="15"/>
      <c r="B130" s="16"/>
      <c r="C130" s="18"/>
      <c r="D130" s="16"/>
      <c r="E130" s="16"/>
      <c r="F130" s="5"/>
      <c r="G130" s="5"/>
      <c r="H130" s="5"/>
      <c r="I130" s="5"/>
      <c r="J130" s="5"/>
    </row>
    <row r="131" ht="15.75" customHeight="1">
      <c r="A131" s="15"/>
      <c r="B131" s="16"/>
      <c r="C131" s="18"/>
      <c r="D131" s="16"/>
      <c r="E131" s="16"/>
      <c r="F131" s="5"/>
      <c r="G131" s="5"/>
      <c r="H131" s="5"/>
      <c r="I131" s="5"/>
      <c r="J131" s="5"/>
    </row>
    <row r="132" ht="15.75" customHeight="1">
      <c r="A132" s="15"/>
      <c r="B132" s="16"/>
      <c r="C132" s="18"/>
      <c r="D132" s="16"/>
      <c r="E132" s="16"/>
      <c r="F132" s="5"/>
      <c r="G132" s="5"/>
      <c r="H132" s="5"/>
      <c r="I132" s="5"/>
      <c r="J132" s="5"/>
    </row>
    <row r="133" ht="15.75" customHeight="1">
      <c r="A133" s="15"/>
      <c r="B133" s="16"/>
      <c r="C133" s="18"/>
      <c r="D133" s="16"/>
      <c r="E133" s="16"/>
      <c r="F133" s="5"/>
      <c r="G133" s="5"/>
      <c r="H133" s="5"/>
      <c r="I133" s="5"/>
      <c r="J133" s="5"/>
    </row>
    <row r="134" ht="15.75" customHeight="1">
      <c r="A134" s="15"/>
      <c r="B134" s="16"/>
      <c r="C134" s="18"/>
      <c r="D134" s="16"/>
      <c r="E134" s="16"/>
      <c r="F134" s="5"/>
      <c r="G134" s="5"/>
      <c r="H134" s="5"/>
      <c r="I134" s="5"/>
      <c r="J134" s="5"/>
    </row>
    <row r="135" ht="15.75" customHeight="1">
      <c r="A135" s="15"/>
      <c r="B135" s="16"/>
      <c r="C135" s="18"/>
      <c r="D135" s="16"/>
      <c r="E135" s="16"/>
      <c r="F135" s="5"/>
      <c r="G135" s="5"/>
      <c r="H135" s="5"/>
      <c r="I135" s="5"/>
      <c r="J135" s="5"/>
    </row>
    <row r="136" ht="15.75" customHeight="1">
      <c r="A136" s="15"/>
      <c r="B136" s="16"/>
      <c r="C136" s="18"/>
      <c r="D136" s="16"/>
      <c r="E136" s="16"/>
      <c r="F136" s="5"/>
      <c r="G136" s="5"/>
      <c r="H136" s="5"/>
      <c r="I136" s="5"/>
      <c r="J136" s="5"/>
    </row>
    <row r="137" ht="15.75" customHeight="1">
      <c r="A137" s="15"/>
      <c r="B137" s="16"/>
      <c r="C137" s="18"/>
      <c r="D137" s="16"/>
      <c r="E137" s="16"/>
      <c r="F137" s="5"/>
      <c r="G137" s="5"/>
      <c r="H137" s="5"/>
      <c r="I137" s="5"/>
      <c r="J137" s="5"/>
    </row>
    <row r="138" ht="15.75" customHeight="1">
      <c r="A138" s="15"/>
      <c r="B138" s="16"/>
      <c r="C138" s="18"/>
      <c r="D138" s="16"/>
      <c r="E138" s="16"/>
      <c r="F138" s="5"/>
      <c r="G138" s="5"/>
      <c r="H138" s="5"/>
      <c r="I138" s="5"/>
      <c r="J138" s="5"/>
    </row>
    <row r="139" ht="15.75" customHeight="1">
      <c r="A139" s="15"/>
      <c r="B139" s="16"/>
      <c r="C139" s="18"/>
      <c r="D139" s="16"/>
      <c r="E139" s="16"/>
      <c r="F139" s="5"/>
      <c r="G139" s="5"/>
      <c r="H139" s="5"/>
      <c r="I139" s="5"/>
      <c r="J139" s="5"/>
    </row>
    <row r="140" ht="15.75" customHeight="1">
      <c r="A140" s="15"/>
      <c r="B140" s="16"/>
      <c r="C140" s="18"/>
      <c r="D140" s="16"/>
      <c r="E140" s="16"/>
      <c r="F140" s="5"/>
      <c r="G140" s="5"/>
      <c r="H140" s="5"/>
      <c r="I140" s="5"/>
      <c r="J140" s="5"/>
    </row>
    <row r="141" ht="15.75" customHeight="1">
      <c r="A141" s="15"/>
      <c r="B141" s="16"/>
      <c r="C141" s="18"/>
      <c r="D141" s="16"/>
      <c r="E141" s="16"/>
      <c r="F141" s="5"/>
      <c r="G141" s="5"/>
      <c r="H141" s="5"/>
      <c r="I141" s="5"/>
      <c r="J141" s="5"/>
    </row>
    <row r="142" ht="15.75" customHeight="1">
      <c r="A142" s="15"/>
      <c r="B142" s="16"/>
      <c r="C142" s="18"/>
      <c r="D142" s="16"/>
      <c r="E142" s="16"/>
      <c r="F142" s="5"/>
      <c r="G142" s="5"/>
      <c r="H142" s="5"/>
      <c r="I142" s="5"/>
      <c r="J142" s="5"/>
    </row>
    <row r="143" ht="15.75" customHeight="1">
      <c r="A143" s="15"/>
      <c r="B143" s="16"/>
      <c r="C143" s="18"/>
      <c r="D143" s="16"/>
      <c r="E143" s="16"/>
      <c r="F143" s="5"/>
      <c r="G143" s="5"/>
      <c r="H143" s="5"/>
      <c r="I143" s="5"/>
      <c r="J143" s="5"/>
    </row>
    <row r="144" ht="15.75" customHeight="1">
      <c r="A144" s="15"/>
      <c r="B144" s="16"/>
      <c r="C144" s="18"/>
      <c r="D144" s="16"/>
      <c r="E144" s="16"/>
      <c r="F144" s="5"/>
      <c r="G144" s="5"/>
      <c r="H144" s="5"/>
      <c r="I144" s="5"/>
      <c r="J144" s="5"/>
    </row>
    <row r="145" ht="15.75" customHeight="1">
      <c r="A145" s="15"/>
      <c r="B145" s="16"/>
      <c r="C145" s="18"/>
      <c r="D145" s="16"/>
      <c r="E145" s="16"/>
      <c r="F145" s="5"/>
      <c r="G145" s="5"/>
      <c r="H145" s="5"/>
      <c r="I145" s="5"/>
      <c r="J145" s="5"/>
    </row>
    <row r="146" ht="15.75" customHeight="1">
      <c r="A146" s="15"/>
      <c r="B146" s="16"/>
      <c r="C146" s="18"/>
      <c r="D146" s="16"/>
      <c r="E146" s="16"/>
      <c r="F146" s="5"/>
      <c r="G146" s="5"/>
      <c r="H146" s="5"/>
      <c r="I146" s="5"/>
      <c r="J146" s="5"/>
    </row>
    <row r="147" ht="15.75" customHeight="1">
      <c r="A147" s="15"/>
      <c r="B147" s="16"/>
      <c r="C147" s="18"/>
      <c r="D147" s="16"/>
      <c r="E147" s="16"/>
      <c r="F147" s="5"/>
      <c r="G147" s="5"/>
      <c r="H147" s="5"/>
      <c r="I147" s="5"/>
      <c r="J147" s="5"/>
    </row>
    <row r="148" ht="15.75" customHeight="1">
      <c r="A148" s="15"/>
      <c r="B148" s="16"/>
      <c r="C148" s="18"/>
      <c r="D148" s="16"/>
      <c r="E148" s="16"/>
      <c r="F148" s="5"/>
      <c r="G148" s="5"/>
      <c r="H148" s="5"/>
      <c r="I148" s="5"/>
      <c r="J148" s="5"/>
    </row>
    <row r="149" ht="15.75" customHeight="1">
      <c r="A149" s="15"/>
      <c r="B149" s="16"/>
      <c r="C149" s="18"/>
      <c r="D149" s="16"/>
      <c r="E149" s="16"/>
      <c r="F149" s="5"/>
      <c r="G149" s="5"/>
      <c r="H149" s="5"/>
      <c r="I149" s="5"/>
      <c r="J149" s="5"/>
    </row>
    <row r="150" ht="15.75" customHeight="1">
      <c r="A150" s="15"/>
      <c r="B150" s="16"/>
      <c r="C150" s="18"/>
      <c r="D150" s="16"/>
      <c r="E150" s="16"/>
      <c r="F150" s="5"/>
      <c r="G150" s="5"/>
      <c r="H150" s="5"/>
      <c r="I150" s="5"/>
      <c r="J150" s="5"/>
    </row>
    <row r="151" ht="15.75" customHeight="1">
      <c r="A151" s="15"/>
      <c r="B151" s="16"/>
      <c r="C151" s="18"/>
      <c r="D151" s="16"/>
      <c r="E151" s="16"/>
      <c r="F151" s="5"/>
      <c r="G151" s="5"/>
      <c r="H151" s="5"/>
      <c r="I151" s="5"/>
      <c r="J151" s="5"/>
    </row>
    <row r="152" ht="15.75" customHeight="1">
      <c r="A152" s="15"/>
      <c r="B152" s="16"/>
      <c r="C152" s="18"/>
      <c r="D152" s="16"/>
      <c r="E152" s="16"/>
      <c r="F152" s="5"/>
      <c r="G152" s="5"/>
      <c r="H152" s="5"/>
      <c r="I152" s="5"/>
      <c r="J152" s="5"/>
    </row>
    <row r="153" ht="15.75" customHeight="1">
      <c r="A153" s="15"/>
      <c r="B153" s="16"/>
      <c r="C153" s="18"/>
      <c r="D153" s="16"/>
      <c r="E153" s="16"/>
      <c r="F153" s="5"/>
      <c r="G153" s="5"/>
      <c r="H153" s="5"/>
      <c r="I153" s="5"/>
      <c r="J153" s="5"/>
    </row>
    <row r="154" ht="15.75" customHeight="1">
      <c r="A154" s="15"/>
      <c r="B154" s="16"/>
      <c r="C154" s="18"/>
      <c r="D154" s="16"/>
      <c r="E154" s="16"/>
      <c r="F154" s="5"/>
      <c r="G154" s="5"/>
      <c r="H154" s="5"/>
      <c r="I154" s="5"/>
      <c r="J154" s="5"/>
    </row>
    <row r="155" ht="15.75" customHeight="1">
      <c r="A155" s="15"/>
      <c r="B155" s="16"/>
      <c r="C155" s="18"/>
      <c r="D155" s="16"/>
      <c r="E155" s="16"/>
      <c r="F155" s="5"/>
      <c r="G155" s="5"/>
      <c r="H155" s="5"/>
      <c r="I155" s="5"/>
      <c r="J155" s="5"/>
    </row>
    <row r="156" ht="15.75" customHeight="1">
      <c r="A156" s="15"/>
      <c r="B156" s="16"/>
      <c r="C156" s="18"/>
      <c r="D156" s="16"/>
      <c r="E156" s="16"/>
      <c r="F156" s="5"/>
      <c r="G156" s="5"/>
      <c r="H156" s="5"/>
      <c r="I156" s="5"/>
      <c r="J156" s="5"/>
    </row>
    <row r="157" ht="15.75" customHeight="1">
      <c r="A157" s="15"/>
      <c r="B157" s="16"/>
      <c r="C157" s="18"/>
      <c r="D157" s="16"/>
      <c r="E157" s="16"/>
      <c r="F157" s="5"/>
      <c r="G157" s="5"/>
      <c r="H157" s="5"/>
      <c r="I157" s="5"/>
      <c r="J157" s="5"/>
    </row>
    <row r="158" ht="15.75" customHeight="1">
      <c r="A158" s="15"/>
      <c r="B158" s="16"/>
      <c r="C158" s="18"/>
      <c r="D158" s="16"/>
      <c r="E158" s="16"/>
      <c r="F158" s="5"/>
      <c r="G158" s="5"/>
      <c r="H158" s="5"/>
      <c r="I158" s="5"/>
      <c r="J158" s="5"/>
    </row>
    <row r="159" ht="15.75" customHeight="1">
      <c r="A159" s="15"/>
      <c r="B159" s="16"/>
      <c r="C159" s="18"/>
      <c r="D159" s="16"/>
      <c r="E159" s="16"/>
      <c r="F159" s="5"/>
      <c r="G159" s="5"/>
      <c r="H159" s="5"/>
      <c r="I159" s="5"/>
      <c r="J159" s="5"/>
    </row>
    <row r="160" ht="15.75" customHeight="1">
      <c r="A160" s="15"/>
      <c r="B160" s="16"/>
      <c r="C160" s="18"/>
      <c r="D160" s="16"/>
      <c r="E160" s="16"/>
      <c r="F160" s="5"/>
      <c r="G160" s="5"/>
      <c r="H160" s="5"/>
      <c r="I160" s="5"/>
      <c r="J160" s="5"/>
    </row>
    <row r="161" ht="15.75" customHeight="1">
      <c r="A161" s="15"/>
      <c r="B161" s="16"/>
      <c r="C161" s="18"/>
      <c r="D161" s="16"/>
      <c r="E161" s="16"/>
      <c r="F161" s="5"/>
      <c r="G161" s="5"/>
      <c r="H161" s="5"/>
      <c r="I161" s="5"/>
      <c r="J161" s="5"/>
    </row>
    <row r="162" ht="15.75" customHeight="1">
      <c r="A162" s="15"/>
      <c r="B162" s="16"/>
      <c r="C162" s="18"/>
      <c r="D162" s="16"/>
      <c r="E162" s="16"/>
      <c r="F162" s="5"/>
      <c r="G162" s="5"/>
      <c r="H162" s="5"/>
      <c r="I162" s="5"/>
      <c r="J162" s="5"/>
    </row>
    <row r="163" ht="15.75" customHeight="1">
      <c r="A163" s="15"/>
      <c r="B163" s="16"/>
      <c r="C163" s="18"/>
      <c r="D163" s="16"/>
      <c r="E163" s="16"/>
      <c r="F163" s="5"/>
      <c r="G163" s="5"/>
      <c r="H163" s="5"/>
      <c r="I163" s="5"/>
      <c r="J163" s="5"/>
    </row>
    <row r="164" ht="15.75" customHeight="1">
      <c r="A164" s="15"/>
      <c r="B164" s="16"/>
      <c r="C164" s="18"/>
      <c r="D164" s="16"/>
      <c r="E164" s="16"/>
      <c r="F164" s="5"/>
      <c r="G164" s="5"/>
      <c r="H164" s="5"/>
      <c r="I164" s="5"/>
      <c r="J164" s="5"/>
    </row>
    <row r="165" ht="15.75" customHeight="1">
      <c r="A165" s="15"/>
      <c r="B165" s="16"/>
      <c r="C165" s="18"/>
      <c r="D165" s="16"/>
      <c r="E165" s="16"/>
      <c r="F165" s="5"/>
      <c r="G165" s="5"/>
      <c r="H165" s="5"/>
      <c r="I165" s="5"/>
      <c r="J165" s="5"/>
    </row>
    <row r="166" ht="15.75" customHeight="1">
      <c r="A166" s="15"/>
      <c r="B166" s="16"/>
      <c r="C166" s="18"/>
      <c r="D166" s="16"/>
      <c r="E166" s="16"/>
      <c r="F166" s="5"/>
      <c r="G166" s="5"/>
      <c r="H166" s="5"/>
      <c r="I166" s="5"/>
      <c r="J166" s="5"/>
    </row>
    <row r="167" ht="15.75" customHeight="1">
      <c r="A167" s="15"/>
      <c r="B167" s="16"/>
      <c r="C167" s="18"/>
      <c r="D167" s="16"/>
      <c r="E167" s="16"/>
      <c r="F167" s="5"/>
      <c r="G167" s="5"/>
      <c r="H167" s="5"/>
      <c r="I167" s="5"/>
      <c r="J167" s="5"/>
    </row>
    <row r="168" ht="15.75" customHeight="1">
      <c r="A168" s="15"/>
      <c r="B168" s="16"/>
      <c r="C168" s="18"/>
      <c r="D168" s="16"/>
      <c r="E168" s="16"/>
      <c r="F168" s="5"/>
      <c r="G168" s="5"/>
      <c r="H168" s="5"/>
      <c r="I168" s="5"/>
      <c r="J168" s="5"/>
    </row>
    <row r="169" ht="15.75" customHeight="1">
      <c r="A169" s="15"/>
      <c r="B169" s="16"/>
      <c r="C169" s="18"/>
      <c r="D169" s="16"/>
      <c r="E169" s="16"/>
      <c r="F169" s="5"/>
      <c r="G169" s="5"/>
      <c r="H169" s="5"/>
      <c r="I169" s="5"/>
      <c r="J169" s="5"/>
    </row>
    <row r="170" ht="15.75" customHeight="1">
      <c r="A170" s="15"/>
      <c r="B170" s="16"/>
      <c r="C170" s="18"/>
      <c r="D170" s="16"/>
      <c r="E170" s="16"/>
      <c r="F170" s="5"/>
      <c r="G170" s="5"/>
      <c r="H170" s="5"/>
      <c r="I170" s="5"/>
      <c r="J170" s="5"/>
    </row>
    <row r="171" ht="15.75" customHeight="1">
      <c r="A171" s="15"/>
      <c r="B171" s="16"/>
      <c r="C171" s="18"/>
      <c r="D171" s="16"/>
      <c r="E171" s="16"/>
      <c r="F171" s="5"/>
      <c r="G171" s="5"/>
      <c r="H171" s="5"/>
      <c r="I171" s="5"/>
      <c r="J171" s="5"/>
    </row>
    <row r="172" ht="15.75" customHeight="1">
      <c r="A172" s="15"/>
      <c r="B172" s="16"/>
      <c r="C172" s="18"/>
      <c r="D172" s="16"/>
      <c r="E172" s="16"/>
      <c r="F172" s="5"/>
      <c r="G172" s="5"/>
      <c r="H172" s="5"/>
      <c r="I172" s="5"/>
      <c r="J172" s="5"/>
    </row>
    <row r="173" ht="15.75" customHeight="1">
      <c r="A173" s="15"/>
      <c r="B173" s="16"/>
      <c r="C173" s="18"/>
      <c r="D173" s="16"/>
      <c r="E173" s="16"/>
      <c r="F173" s="5"/>
      <c r="G173" s="5"/>
      <c r="H173" s="5"/>
      <c r="I173" s="5"/>
      <c r="J173" s="5"/>
    </row>
    <row r="174" ht="15.75" customHeight="1">
      <c r="A174" s="15"/>
      <c r="B174" s="16"/>
      <c r="C174" s="18"/>
      <c r="D174" s="16"/>
      <c r="E174" s="16"/>
      <c r="F174" s="5"/>
      <c r="G174" s="5"/>
      <c r="H174" s="5"/>
      <c r="I174" s="5"/>
      <c r="J174" s="5"/>
    </row>
    <row r="175" ht="15.75" customHeight="1">
      <c r="A175" s="15"/>
      <c r="B175" s="16"/>
      <c r="C175" s="18"/>
      <c r="D175" s="16"/>
      <c r="E175" s="16"/>
      <c r="F175" s="5"/>
      <c r="G175" s="5"/>
      <c r="H175" s="5"/>
      <c r="I175" s="5"/>
      <c r="J175" s="5"/>
    </row>
    <row r="176" ht="15.75" customHeight="1">
      <c r="A176" s="15"/>
      <c r="B176" s="16"/>
      <c r="C176" s="18"/>
      <c r="D176" s="16"/>
      <c r="E176" s="16"/>
      <c r="F176" s="5"/>
      <c r="G176" s="5"/>
      <c r="H176" s="5"/>
      <c r="I176" s="5"/>
      <c r="J176" s="5"/>
    </row>
    <row r="177" ht="15.75" customHeight="1">
      <c r="A177" s="15"/>
      <c r="B177" s="16"/>
      <c r="C177" s="18"/>
      <c r="D177" s="16"/>
      <c r="E177" s="16"/>
      <c r="F177" s="5"/>
      <c r="G177" s="5"/>
      <c r="H177" s="5"/>
      <c r="I177" s="5"/>
      <c r="J177" s="5"/>
    </row>
    <row r="178" ht="15.75" customHeight="1">
      <c r="A178" s="15"/>
      <c r="B178" s="16"/>
      <c r="C178" s="18"/>
      <c r="D178" s="16"/>
      <c r="E178" s="16"/>
      <c r="F178" s="5"/>
      <c r="G178" s="5"/>
      <c r="H178" s="5"/>
      <c r="I178" s="5"/>
      <c r="J178" s="5"/>
    </row>
    <row r="179" ht="15.75" customHeight="1">
      <c r="A179" s="15"/>
      <c r="B179" s="16"/>
      <c r="C179" s="18"/>
      <c r="D179" s="16"/>
      <c r="E179" s="16"/>
      <c r="F179" s="5"/>
      <c r="G179" s="5"/>
      <c r="H179" s="5"/>
      <c r="I179" s="5"/>
      <c r="J179" s="5"/>
    </row>
    <row r="180" ht="15.75" customHeight="1">
      <c r="A180" s="15"/>
      <c r="B180" s="16"/>
      <c r="C180" s="18"/>
      <c r="D180" s="16"/>
      <c r="E180" s="16"/>
      <c r="F180" s="5"/>
      <c r="G180" s="5"/>
      <c r="H180" s="5"/>
      <c r="I180" s="5"/>
      <c r="J180" s="5"/>
    </row>
    <row r="181" ht="15.75" customHeight="1">
      <c r="A181" s="15"/>
      <c r="B181" s="16"/>
      <c r="C181" s="18"/>
      <c r="D181" s="16"/>
      <c r="E181" s="16"/>
      <c r="F181" s="5"/>
      <c r="G181" s="5"/>
      <c r="H181" s="5"/>
      <c r="I181" s="5"/>
      <c r="J181" s="5"/>
    </row>
    <row r="182" ht="15.75" customHeight="1">
      <c r="A182" s="15"/>
      <c r="B182" s="16"/>
      <c r="C182" s="18"/>
      <c r="D182" s="16"/>
      <c r="E182" s="16"/>
      <c r="F182" s="5"/>
      <c r="G182" s="5"/>
      <c r="H182" s="5"/>
      <c r="I182" s="5"/>
      <c r="J182" s="5"/>
    </row>
    <row r="183" ht="15.75" customHeight="1">
      <c r="A183" s="15"/>
      <c r="B183" s="16"/>
      <c r="C183" s="18"/>
      <c r="D183" s="16"/>
      <c r="E183" s="16"/>
      <c r="F183" s="5"/>
      <c r="G183" s="5"/>
      <c r="H183" s="5"/>
      <c r="I183" s="5"/>
      <c r="J183" s="5"/>
    </row>
    <row r="184" ht="15.75" customHeight="1">
      <c r="A184" s="15"/>
      <c r="B184" s="16"/>
      <c r="C184" s="18"/>
      <c r="D184" s="16"/>
      <c r="E184" s="16"/>
      <c r="F184" s="5"/>
      <c r="G184" s="5"/>
      <c r="H184" s="5"/>
      <c r="I184" s="5"/>
      <c r="J184" s="5"/>
    </row>
    <row r="185" ht="15.75" customHeight="1">
      <c r="A185" s="15"/>
      <c r="B185" s="16"/>
      <c r="C185" s="18"/>
      <c r="D185" s="16"/>
      <c r="E185" s="16"/>
      <c r="F185" s="5"/>
      <c r="G185" s="5"/>
      <c r="H185" s="5"/>
      <c r="I185" s="5"/>
      <c r="J185" s="5"/>
    </row>
    <row r="186" ht="15.75" customHeight="1">
      <c r="A186" s="15"/>
      <c r="B186" s="16"/>
      <c r="C186" s="18"/>
      <c r="D186" s="16"/>
      <c r="E186" s="16"/>
      <c r="F186" s="5"/>
      <c r="G186" s="5"/>
      <c r="H186" s="5"/>
      <c r="I186" s="5"/>
      <c r="J186" s="5"/>
    </row>
    <row r="187" ht="15.75" customHeight="1">
      <c r="A187" s="15"/>
      <c r="B187" s="16"/>
      <c r="C187" s="18"/>
      <c r="D187" s="16"/>
      <c r="E187" s="16"/>
      <c r="F187" s="5"/>
      <c r="G187" s="5"/>
      <c r="H187" s="5"/>
      <c r="I187" s="5"/>
      <c r="J187" s="5"/>
    </row>
    <row r="188" ht="15.75" customHeight="1">
      <c r="A188" s="15"/>
      <c r="B188" s="16"/>
      <c r="C188" s="18"/>
      <c r="D188" s="16"/>
      <c r="E188" s="16"/>
      <c r="F188" s="5"/>
      <c r="G188" s="5"/>
      <c r="H188" s="5"/>
      <c r="I188" s="5"/>
      <c r="J188" s="5"/>
    </row>
    <row r="189" ht="15.75" customHeight="1">
      <c r="A189" s="15"/>
      <c r="B189" s="16"/>
      <c r="C189" s="18"/>
      <c r="D189" s="16"/>
      <c r="E189" s="16"/>
      <c r="F189" s="5"/>
      <c r="G189" s="5"/>
      <c r="H189" s="5"/>
      <c r="I189" s="5"/>
      <c r="J189" s="5"/>
    </row>
    <row r="190" ht="15.75" customHeight="1">
      <c r="A190" s="15"/>
      <c r="B190" s="16"/>
      <c r="C190" s="18"/>
      <c r="D190" s="16"/>
      <c r="E190" s="16"/>
      <c r="F190" s="5"/>
      <c r="G190" s="5"/>
      <c r="H190" s="5"/>
      <c r="I190" s="5"/>
      <c r="J190" s="5"/>
    </row>
    <row r="191" ht="15.75" customHeight="1">
      <c r="A191" s="15"/>
      <c r="B191" s="16"/>
      <c r="C191" s="18"/>
      <c r="D191" s="16"/>
      <c r="E191" s="16"/>
      <c r="F191" s="5"/>
      <c r="G191" s="5"/>
      <c r="H191" s="5"/>
      <c r="I191" s="5"/>
      <c r="J191" s="5"/>
    </row>
    <row r="192" ht="15.75" customHeight="1">
      <c r="A192" s="15"/>
      <c r="B192" s="16"/>
      <c r="C192" s="18"/>
      <c r="D192" s="16"/>
      <c r="E192" s="16"/>
      <c r="F192" s="5"/>
      <c r="G192" s="5"/>
      <c r="H192" s="5"/>
      <c r="I192" s="5"/>
      <c r="J192" s="5"/>
    </row>
    <row r="193" ht="15.75" customHeight="1">
      <c r="A193" s="15"/>
      <c r="B193" s="16"/>
      <c r="C193" s="18"/>
      <c r="D193" s="16"/>
      <c r="E193" s="16"/>
      <c r="F193" s="5"/>
      <c r="G193" s="5"/>
      <c r="H193" s="5"/>
      <c r="I193" s="5"/>
      <c r="J193" s="5"/>
    </row>
    <row r="194" ht="15.75" customHeight="1">
      <c r="A194" s="15"/>
      <c r="B194" s="16"/>
      <c r="C194" s="18"/>
      <c r="D194" s="16"/>
      <c r="E194" s="16"/>
      <c r="F194" s="5"/>
      <c r="G194" s="5"/>
      <c r="H194" s="5"/>
      <c r="I194" s="5"/>
      <c r="J194" s="5"/>
    </row>
    <row r="195" ht="15.75" customHeight="1">
      <c r="A195" s="15"/>
      <c r="B195" s="16"/>
      <c r="C195" s="18"/>
      <c r="D195" s="16"/>
      <c r="E195" s="16"/>
      <c r="F195" s="5"/>
      <c r="G195" s="5"/>
      <c r="H195" s="5"/>
      <c r="I195" s="5"/>
      <c r="J195" s="5"/>
    </row>
    <row r="196" ht="15.75" customHeight="1">
      <c r="A196" s="15"/>
      <c r="B196" s="16"/>
      <c r="C196" s="18"/>
      <c r="D196" s="16"/>
      <c r="E196" s="16"/>
      <c r="F196" s="5"/>
      <c r="G196" s="5"/>
      <c r="H196" s="5"/>
      <c r="I196" s="5"/>
      <c r="J196" s="5"/>
    </row>
    <row r="197" ht="15.75" customHeight="1">
      <c r="A197" s="15"/>
      <c r="B197" s="16"/>
      <c r="C197" s="18"/>
      <c r="D197" s="16"/>
      <c r="E197" s="16"/>
      <c r="F197" s="5"/>
      <c r="G197" s="5"/>
      <c r="H197" s="5"/>
      <c r="I197" s="5"/>
      <c r="J197" s="5"/>
    </row>
    <row r="198" ht="15.75" customHeight="1">
      <c r="A198" s="15"/>
      <c r="B198" s="16"/>
      <c r="C198" s="18"/>
      <c r="D198" s="16"/>
      <c r="E198" s="16"/>
      <c r="F198" s="5"/>
      <c r="G198" s="5"/>
      <c r="H198" s="5"/>
      <c r="I198" s="5"/>
      <c r="J198" s="5"/>
    </row>
    <row r="199" ht="15.75" customHeight="1">
      <c r="A199" s="15"/>
      <c r="B199" s="16"/>
      <c r="C199" s="18"/>
      <c r="D199" s="16"/>
      <c r="E199" s="16"/>
      <c r="F199" s="5"/>
      <c r="G199" s="5"/>
      <c r="H199" s="5"/>
      <c r="I199" s="5"/>
      <c r="J199" s="5"/>
    </row>
    <row r="200" ht="15.75" customHeight="1">
      <c r="A200" s="15"/>
      <c r="B200" s="16"/>
      <c r="C200" s="18"/>
      <c r="D200" s="16"/>
      <c r="E200" s="16"/>
      <c r="F200" s="5"/>
      <c r="G200" s="5"/>
      <c r="H200" s="5"/>
      <c r="I200" s="5"/>
      <c r="J200" s="5"/>
    </row>
    <row r="201" ht="15.75" customHeight="1">
      <c r="A201" s="15"/>
      <c r="B201" s="16"/>
      <c r="C201" s="18"/>
      <c r="D201" s="16"/>
      <c r="E201" s="16"/>
      <c r="F201" s="5"/>
      <c r="G201" s="5"/>
      <c r="H201" s="5"/>
      <c r="I201" s="5"/>
      <c r="J201" s="5"/>
    </row>
    <row r="202" ht="15.75" customHeight="1">
      <c r="A202" s="15"/>
      <c r="B202" s="16"/>
      <c r="C202" s="18"/>
      <c r="D202" s="16"/>
      <c r="E202" s="16"/>
      <c r="F202" s="5"/>
      <c r="G202" s="5"/>
      <c r="H202" s="5"/>
      <c r="I202" s="5"/>
      <c r="J202" s="5"/>
    </row>
    <row r="203" ht="15.75" customHeight="1">
      <c r="A203" s="15"/>
      <c r="B203" s="16"/>
      <c r="C203" s="18"/>
      <c r="D203" s="16"/>
      <c r="E203" s="16"/>
      <c r="F203" s="5"/>
      <c r="G203" s="5"/>
      <c r="H203" s="5"/>
      <c r="I203" s="5"/>
      <c r="J203" s="5"/>
    </row>
    <row r="204" ht="15.75" customHeight="1">
      <c r="A204" s="15"/>
      <c r="B204" s="16"/>
      <c r="C204" s="18"/>
      <c r="D204" s="16"/>
      <c r="E204" s="16"/>
      <c r="F204" s="5"/>
      <c r="G204" s="5"/>
      <c r="H204" s="5"/>
      <c r="I204" s="5"/>
      <c r="J204" s="5"/>
    </row>
    <row r="205" ht="15.75" customHeight="1">
      <c r="A205" s="15"/>
      <c r="B205" s="16"/>
      <c r="C205" s="18"/>
      <c r="D205" s="16"/>
      <c r="E205" s="16"/>
      <c r="F205" s="5"/>
      <c r="G205" s="5"/>
      <c r="H205" s="5"/>
      <c r="I205" s="5"/>
      <c r="J205" s="5"/>
    </row>
    <row r="206" ht="15.75" customHeight="1">
      <c r="A206" s="15"/>
      <c r="B206" s="16"/>
      <c r="C206" s="18"/>
      <c r="D206" s="16"/>
      <c r="E206" s="16"/>
      <c r="F206" s="5"/>
      <c r="G206" s="5"/>
      <c r="H206" s="5"/>
      <c r="I206" s="5"/>
      <c r="J206" s="5"/>
    </row>
    <row r="207" ht="15.75" customHeight="1">
      <c r="A207" s="15"/>
      <c r="B207" s="16"/>
      <c r="C207" s="18"/>
      <c r="D207" s="16"/>
      <c r="E207" s="16"/>
      <c r="F207" s="5"/>
      <c r="G207" s="5"/>
      <c r="H207" s="5"/>
      <c r="I207" s="5"/>
      <c r="J207" s="5"/>
    </row>
    <row r="208" ht="15.75" customHeight="1">
      <c r="A208" s="15"/>
      <c r="B208" s="16"/>
      <c r="C208" s="18"/>
      <c r="D208" s="16"/>
      <c r="E208" s="16"/>
      <c r="F208" s="5"/>
      <c r="G208" s="5"/>
      <c r="H208" s="5"/>
      <c r="I208" s="5"/>
      <c r="J208" s="5"/>
    </row>
    <row r="209" ht="15.75" customHeight="1">
      <c r="A209" s="15"/>
      <c r="B209" s="16"/>
      <c r="C209" s="18"/>
      <c r="D209" s="16"/>
      <c r="E209" s="16"/>
      <c r="F209" s="5"/>
      <c r="G209" s="5"/>
      <c r="H209" s="5"/>
      <c r="I209" s="5"/>
      <c r="J209" s="5"/>
    </row>
    <row r="210" ht="15.75" customHeight="1">
      <c r="A210" s="15"/>
      <c r="B210" s="16"/>
      <c r="C210" s="18"/>
      <c r="D210" s="16"/>
      <c r="E210" s="16"/>
      <c r="F210" s="5"/>
      <c r="G210" s="5"/>
      <c r="H210" s="5"/>
      <c r="I210" s="5"/>
      <c r="J210" s="5"/>
    </row>
    <row r="211" ht="15.75" customHeight="1">
      <c r="A211" s="15"/>
      <c r="B211" s="16"/>
      <c r="C211" s="18"/>
      <c r="D211" s="16"/>
      <c r="E211" s="16"/>
      <c r="F211" s="5"/>
      <c r="G211" s="5"/>
      <c r="H211" s="5"/>
      <c r="I211" s="5"/>
      <c r="J211" s="5"/>
    </row>
    <row r="212" ht="15.75" customHeight="1">
      <c r="A212" s="15"/>
      <c r="B212" s="16"/>
      <c r="C212" s="18"/>
      <c r="D212" s="16"/>
      <c r="E212" s="16"/>
      <c r="F212" s="5"/>
      <c r="G212" s="5"/>
      <c r="H212" s="5"/>
      <c r="I212" s="5"/>
      <c r="J212" s="5"/>
    </row>
    <row r="213" ht="15.75" customHeight="1">
      <c r="A213" s="15"/>
      <c r="B213" s="16"/>
      <c r="C213" s="18"/>
      <c r="D213" s="16"/>
      <c r="E213" s="16"/>
      <c r="F213" s="5"/>
      <c r="G213" s="5"/>
      <c r="H213" s="5"/>
      <c r="I213" s="5"/>
      <c r="J213" s="5"/>
    </row>
    <row r="214" ht="15.75" customHeight="1">
      <c r="A214" s="15"/>
      <c r="B214" s="16"/>
      <c r="C214" s="18"/>
      <c r="D214" s="16"/>
      <c r="E214" s="16"/>
      <c r="F214" s="5"/>
      <c r="G214" s="5"/>
      <c r="H214" s="5"/>
      <c r="I214" s="5"/>
      <c r="J214" s="5"/>
    </row>
    <row r="215" ht="15.75" customHeight="1">
      <c r="A215" s="15"/>
      <c r="B215" s="16"/>
      <c r="C215" s="18"/>
      <c r="D215" s="16"/>
      <c r="E215" s="16"/>
      <c r="F215" s="5"/>
      <c r="G215" s="5"/>
      <c r="H215" s="5"/>
      <c r="I215" s="5"/>
      <c r="J215" s="5"/>
    </row>
    <row r="216" ht="15.75" customHeight="1">
      <c r="A216" s="15"/>
      <c r="B216" s="16"/>
      <c r="C216" s="18"/>
      <c r="D216" s="16"/>
      <c r="E216" s="16"/>
      <c r="F216" s="5"/>
      <c r="G216" s="5"/>
      <c r="H216" s="5"/>
      <c r="I216" s="5"/>
      <c r="J216" s="5"/>
    </row>
    <row r="217" ht="15.75" customHeight="1">
      <c r="A217" s="15"/>
      <c r="B217" s="16"/>
      <c r="C217" s="18"/>
      <c r="D217" s="16"/>
      <c r="E217" s="16"/>
      <c r="F217" s="5"/>
      <c r="G217" s="5"/>
      <c r="H217" s="5"/>
      <c r="I217" s="5"/>
      <c r="J217" s="5"/>
    </row>
    <row r="218" ht="15.75" customHeight="1">
      <c r="A218" s="15"/>
      <c r="B218" s="16"/>
      <c r="C218" s="18"/>
      <c r="D218" s="16"/>
      <c r="E218" s="16"/>
      <c r="F218" s="5"/>
      <c r="G218" s="5"/>
      <c r="H218" s="5"/>
      <c r="I218" s="5"/>
      <c r="J218" s="5"/>
    </row>
    <row r="219" ht="15.75" customHeight="1">
      <c r="A219" s="15"/>
      <c r="B219" s="16"/>
      <c r="C219" s="18"/>
      <c r="D219" s="16"/>
      <c r="E219" s="16"/>
      <c r="F219" s="5"/>
      <c r="G219" s="5"/>
      <c r="H219" s="5"/>
      <c r="I219" s="5"/>
      <c r="J219" s="5"/>
    </row>
    <row r="220" ht="15.75" customHeight="1">
      <c r="A220" s="15"/>
      <c r="B220" s="16"/>
      <c r="C220" s="18"/>
      <c r="D220" s="16"/>
      <c r="E220" s="16"/>
      <c r="F220" s="5"/>
      <c r="G220" s="5"/>
      <c r="H220" s="5"/>
      <c r="I220" s="5"/>
      <c r="J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autoFilter ref="$A$3:$E$998"/>
  <mergeCells count="2">
    <mergeCell ref="A1:E1"/>
    <mergeCell ref="G3:H3"/>
  </mergeCells>
  <conditionalFormatting sqref="D2">
    <cfRule type="containsText" dxfId="0" priority="1" operator="containsText" text="Crypto">
      <formula>NOT(ISERROR(SEARCH(("Crypto"),(D2))))</formula>
    </cfRule>
  </conditionalFormatting>
  <conditionalFormatting sqref="D2">
    <cfRule type="containsText" dxfId="1" priority="2" operator="containsText" text="Shares MF">
      <formula>NOT(ISERROR(SEARCH(("Shares MF"),(D2))))</formula>
    </cfRule>
  </conditionalFormatting>
  <conditionalFormatting sqref="A4:E998">
    <cfRule type="expression" dxfId="2" priority="3">
      <formula>$C4&lt;0</formula>
    </cfRule>
  </conditionalFormatting>
  <dataValidations>
    <dataValidation type="list" allowBlank="1" sqref="D4:D198">
      <formula1>SETTINGS!$D$3:$D$100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D8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4" width="15.0"/>
    <col customWidth="1" min="5" max="5" width="10.0"/>
    <col customWidth="1" min="6" max="6" width="3.0"/>
    <col customWidth="1" min="7" max="8" width="16.0"/>
    <col customWidth="1" min="9" max="9" width="3.0"/>
    <col customWidth="1" min="10" max="10" width="8.14"/>
    <col customWidth="1" min="11" max="11" width="21.86"/>
    <col customWidth="1" min="12" max="12" width="12.57"/>
    <col customWidth="1" min="13" max="13" width="15.0"/>
    <col customWidth="1" min="14" max="14" width="10.0"/>
    <col customWidth="1" min="15" max="15" width="8.71"/>
  </cols>
  <sheetData>
    <row r="1" ht="36.0" customHeight="1">
      <c r="A1" s="83" t="s">
        <v>191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5"/>
      <c r="P1" s="5"/>
    </row>
    <row r="2" ht="30.0" customHeight="1">
      <c r="A2" s="86" t="s">
        <v>192</v>
      </c>
      <c r="B2" s="84"/>
      <c r="C2" s="84"/>
      <c r="D2" s="84"/>
      <c r="E2" s="84"/>
      <c r="F2" s="84"/>
      <c r="G2" s="84"/>
      <c r="H2" s="85"/>
      <c r="I2" s="11"/>
      <c r="J2" s="86" t="s">
        <v>194</v>
      </c>
      <c r="K2" s="84"/>
      <c r="L2" s="84"/>
      <c r="M2" s="84"/>
      <c r="N2" s="84"/>
      <c r="O2" s="85"/>
      <c r="P2" s="5"/>
    </row>
    <row r="3" ht="21.75" customHeight="1">
      <c r="A3" s="87"/>
      <c r="B3" s="4"/>
      <c r="C3" s="11"/>
      <c r="D3" s="87"/>
      <c r="E3" s="4"/>
      <c r="F3" s="11"/>
      <c r="G3" s="11"/>
      <c r="H3" s="11"/>
      <c r="I3" s="11"/>
      <c r="J3" s="88" t="s">
        <v>196</v>
      </c>
      <c r="K3" s="89">
        <v>45809.0</v>
      </c>
      <c r="L3" s="88" t="s">
        <v>197</v>
      </c>
      <c r="M3" s="89">
        <v>45833.0</v>
      </c>
      <c r="N3" s="90"/>
      <c r="O3" s="90"/>
      <c r="P3" s="5"/>
    </row>
    <row r="4" ht="21.75" customHeight="1">
      <c r="A4" s="91" t="s">
        <v>198</v>
      </c>
      <c r="B4" s="93" t="s">
        <v>199</v>
      </c>
      <c r="C4" s="94" t="s">
        <v>200</v>
      </c>
      <c r="D4" s="94" t="s">
        <v>201</v>
      </c>
      <c r="E4" s="95" t="s">
        <v>202</v>
      </c>
      <c r="F4" s="11"/>
      <c r="G4" s="95" t="s">
        <v>203</v>
      </c>
      <c r="H4" s="95" t="s">
        <v>204</v>
      </c>
      <c r="I4" s="11"/>
      <c r="J4" s="93" t="s">
        <v>198</v>
      </c>
      <c r="K4" s="93" t="s">
        <v>199</v>
      </c>
      <c r="L4" s="93" t="s">
        <v>205</v>
      </c>
      <c r="M4" s="93" t="s">
        <v>206</v>
      </c>
      <c r="N4" s="93" t="s">
        <v>207</v>
      </c>
      <c r="O4" s="93" t="s">
        <v>208</v>
      </c>
      <c r="P4" s="5"/>
    </row>
    <row r="5" ht="18.0" customHeight="1">
      <c r="A5" s="96">
        <v>1.0</v>
      </c>
      <c r="B5" s="97" t="str">
        <f>SETTINGS!A3</f>
        <v>Bills &amp; Utilities</v>
      </c>
      <c r="C5" s="98">
        <f>IFERROR(SUMPRODUCT((EXPENSES!E$4:E$1999=B5)*EXPENSES!D$4:D$1999)/MAX(COUNTIF(EXPENSES!D$4:D$1999,"&gt;0"),1),0)</f>
        <v>42.87820513</v>
      </c>
      <c r="D5" s="98">
        <f>IFERROR(SUMPRODUCT((EXPENSES!E$4:E$1999=B5)*EXPENSES!D$4:D$1999),0)</f>
        <v>6689</v>
      </c>
      <c r="E5" s="99">
        <f t="shared" ref="E5:E34" si="1">IFERROR(D5/SUM(D$5:D$34),0)</f>
        <v>0.07922991695</v>
      </c>
      <c r="F5" s="11"/>
      <c r="G5" s="100">
        <v>0.0</v>
      </c>
      <c r="H5" s="101">
        <f t="shared" ref="H5:H34" si="2">G5*12</f>
        <v>0</v>
      </c>
      <c r="I5" s="11"/>
      <c r="J5" s="96">
        <v>1.0</v>
      </c>
      <c r="K5" s="97" t="str">
        <f>SETTINGS!A3</f>
        <v>Bills &amp; Utilities</v>
      </c>
      <c r="L5" s="98">
        <f>IFERROR(SUMPRODUCT((EXPENSES!A$4:A$1999&gt;=$K$3)*(EXPENSES!A$4:A$1999&lt;=$M$3)*(EXPENSES!E$4:E$1999=K5)*EXPENSES!D$4:D$1999),0)</f>
        <v>1599</v>
      </c>
      <c r="M5" s="102">
        <f t="shared" ref="M5:M34" si="3">H5/12</f>
        <v>0</v>
      </c>
      <c r="N5" s="98">
        <f t="shared" ref="N5:N34" si="4">L5-M5</f>
        <v>1599</v>
      </c>
      <c r="O5" s="103">
        <f t="shared" ref="O5:O34" si="5">IFERROR(N5/M5,0)</f>
        <v>0</v>
      </c>
      <c r="P5" s="5"/>
    </row>
    <row r="6" ht="18.0" customHeight="1">
      <c r="A6" s="96">
        <v>2.0</v>
      </c>
      <c r="B6" s="97" t="str">
        <f>SETTINGS!A4</f>
        <v>Childcare &amp; Baby Needs</v>
      </c>
      <c r="C6" s="98">
        <f>IFERROR(SUMPRODUCT((EXPENSES!E$4:E$1999=B6)*EXPENSES!D$4:D$1999)/MAX(COUNTIF(EXPENSES!D$4:D$1999,"&gt;0"),1),0)</f>
        <v>0</v>
      </c>
      <c r="D6" s="98">
        <f>IFERROR(SUMPRODUCT((EXPENSES!E$4:E$1999=B6)*EXPENSES!D$4:D$1999),0)</f>
        <v>0</v>
      </c>
      <c r="E6" s="99">
        <f t="shared" si="1"/>
        <v>0</v>
      </c>
      <c r="F6" s="11"/>
      <c r="G6" s="100">
        <v>0.0</v>
      </c>
      <c r="H6" s="101">
        <f t="shared" si="2"/>
        <v>0</v>
      </c>
      <c r="I6" s="11"/>
      <c r="J6" s="96">
        <v>2.0</v>
      </c>
      <c r="K6" s="97" t="str">
        <f>SETTINGS!A4</f>
        <v>Childcare &amp; Baby Needs</v>
      </c>
      <c r="L6" s="98">
        <f>IFERROR(SUMPRODUCT((EXPENSES!A$4:A$1999&gt;=$K$3)*(EXPENSES!A$4:A$1999&lt;=$M$3)*(EXPENSES!E$4:E$1999=K6)*EXPENSES!D$4:D$1999),0)</f>
        <v>0</v>
      </c>
      <c r="M6" s="102">
        <f t="shared" si="3"/>
        <v>0</v>
      </c>
      <c r="N6" s="98">
        <f t="shared" si="4"/>
        <v>0</v>
      </c>
      <c r="O6" s="103">
        <f t="shared" si="5"/>
        <v>0</v>
      </c>
      <c r="P6" s="5"/>
    </row>
    <row r="7" ht="15.0" customHeight="1">
      <c r="A7" s="96">
        <v>3.0</v>
      </c>
      <c r="B7" s="97" t="str">
        <f>SETTINGS!A5</f>
        <v>Commute</v>
      </c>
      <c r="C7" s="98">
        <f>IFERROR(SUMPRODUCT((EXPENSES!E$4:E$1999=B7)*EXPENSES!D$4:D$1999)/MAX(COUNTIF(EXPENSES!D$4:D$1999,"&gt;0"),1),0)</f>
        <v>4.743589744</v>
      </c>
      <c r="D7" s="98">
        <f>IFERROR(SUMPRODUCT((EXPENSES!E$4:E$1999=B7)*EXPENSES!D$4:D$1999),0)</f>
        <v>740</v>
      </c>
      <c r="E7" s="99">
        <f t="shared" si="1"/>
        <v>0.008765157504</v>
      </c>
      <c r="F7" s="11"/>
      <c r="G7" s="100">
        <v>0.0</v>
      </c>
      <c r="H7" s="101">
        <f t="shared" si="2"/>
        <v>0</v>
      </c>
      <c r="I7" s="11"/>
      <c r="J7" s="96">
        <v>3.0</v>
      </c>
      <c r="K7" s="97" t="str">
        <f>SETTINGS!A5</f>
        <v>Commute</v>
      </c>
      <c r="L7" s="98">
        <f>IFERROR(SUMPRODUCT((EXPENSES!A$4:A$1999&gt;=$K$3)*(EXPENSES!A$4:A$1999&lt;=$M$3)*(EXPENSES!E$4:E$1999=K7)*EXPENSES!D$4:D$1999),0)</f>
        <v>0</v>
      </c>
      <c r="M7" s="102">
        <f t="shared" si="3"/>
        <v>0</v>
      </c>
      <c r="N7" s="98">
        <f t="shared" si="4"/>
        <v>0</v>
      </c>
      <c r="O7" s="103">
        <f t="shared" si="5"/>
        <v>0</v>
      </c>
      <c r="P7" s="5"/>
    </row>
    <row r="8" ht="18.0" customHeight="1">
      <c r="A8" s="96">
        <v>4.0</v>
      </c>
      <c r="B8" s="97" t="str">
        <f>SETTINGS!A6</f>
        <v>Education</v>
      </c>
      <c r="C8" s="98">
        <f>IFERROR(SUMPRODUCT((EXPENSES!E$4:E$1999=B8)*EXPENSES!D$4:D$1999)/MAX(COUNTIF(EXPENSES!D$4:D$1999,"&gt;0"),1),0)</f>
        <v>19.79487179</v>
      </c>
      <c r="D8" s="98">
        <f>IFERROR(SUMPRODUCT((EXPENSES!E$4:E$1999=B8)*EXPENSES!D$4:D$1999),0)</f>
        <v>3088</v>
      </c>
      <c r="E8" s="99">
        <f t="shared" si="1"/>
        <v>0.03657676537</v>
      </c>
      <c r="F8" s="11"/>
      <c r="G8" s="100">
        <v>0.0</v>
      </c>
      <c r="H8" s="101">
        <f t="shared" si="2"/>
        <v>0</v>
      </c>
      <c r="I8" s="11"/>
      <c r="J8" s="96">
        <v>4.0</v>
      </c>
      <c r="K8" s="97" t="str">
        <f>SETTINGS!A6</f>
        <v>Education</v>
      </c>
      <c r="L8" s="98">
        <f>IFERROR(SUMPRODUCT((EXPENSES!A$4:A$1999&gt;=$K$3)*(EXPENSES!A$4:A$1999&lt;=$M$3)*(EXPENSES!E$4:E$1999=K8)*EXPENSES!D$4:D$1999),0)</f>
        <v>80</v>
      </c>
      <c r="M8" s="102">
        <f t="shared" si="3"/>
        <v>0</v>
      </c>
      <c r="N8" s="98">
        <f t="shared" si="4"/>
        <v>80</v>
      </c>
      <c r="O8" s="103">
        <f t="shared" si="5"/>
        <v>0</v>
      </c>
      <c r="P8" s="5"/>
    </row>
    <row r="9" ht="18.0" customHeight="1">
      <c r="A9" s="96">
        <v>5.0</v>
      </c>
      <c r="B9" s="97" t="str">
        <f>SETTINGS!A7</f>
        <v>Electronics &amp; Gadgets</v>
      </c>
      <c r="C9" s="98">
        <f>IFERROR(SUMPRODUCT((EXPENSES!E$4:E$1999=B9)*EXPENSES!D$4:D$1999)/MAX(COUNTIF(EXPENSES!D$4:D$1999,"&gt;0"),1),0)</f>
        <v>10.34615385</v>
      </c>
      <c r="D9" s="98">
        <f>IFERROR(SUMPRODUCT((EXPENSES!E$4:E$1999=B9)*EXPENSES!D$4:D$1999),0)</f>
        <v>1614</v>
      </c>
      <c r="E9" s="99">
        <f t="shared" si="1"/>
        <v>0.0191175192</v>
      </c>
      <c r="F9" s="11"/>
      <c r="G9" s="100">
        <v>0.0</v>
      </c>
      <c r="H9" s="101">
        <f t="shared" si="2"/>
        <v>0</v>
      </c>
      <c r="I9" s="11"/>
      <c r="J9" s="96">
        <v>5.0</v>
      </c>
      <c r="K9" s="97" t="str">
        <f>SETTINGS!A7</f>
        <v>Electronics &amp; Gadgets</v>
      </c>
      <c r="L9" s="98">
        <f>IFERROR(SUMPRODUCT((EXPENSES!A$4:A$1999&gt;=$K$3)*(EXPENSES!A$4:A$1999&lt;=$M$3)*(EXPENSES!E$4:E$1999=K9)*EXPENSES!D$4:D$1999),0)</f>
        <v>0</v>
      </c>
      <c r="M9" s="102">
        <f t="shared" si="3"/>
        <v>0</v>
      </c>
      <c r="N9" s="98">
        <f t="shared" si="4"/>
        <v>0</v>
      </c>
      <c r="O9" s="103">
        <f t="shared" si="5"/>
        <v>0</v>
      </c>
      <c r="P9" s="5"/>
    </row>
    <row r="10" ht="18.0" customHeight="1">
      <c r="A10" s="96">
        <v>6.0</v>
      </c>
      <c r="B10" s="97" t="str">
        <f>SETTINGS!A8</f>
        <v>Entertainment</v>
      </c>
      <c r="C10" s="98">
        <f>IFERROR(SUMPRODUCT((EXPENSES!E$4:E$1999=B10)*EXPENSES!D$4:D$1999)/MAX(COUNTIF(EXPENSES!D$4:D$1999,"&gt;0"),1),0)</f>
        <v>0</v>
      </c>
      <c r="D10" s="98">
        <f>IFERROR(SUMPRODUCT((EXPENSES!E$4:E$1999=B10)*EXPENSES!D$4:D$1999),0)</f>
        <v>0</v>
      </c>
      <c r="E10" s="99">
        <f t="shared" si="1"/>
        <v>0</v>
      </c>
      <c r="F10" s="11"/>
      <c r="G10" s="100">
        <v>0.0</v>
      </c>
      <c r="H10" s="101">
        <f t="shared" si="2"/>
        <v>0</v>
      </c>
      <c r="I10" s="11"/>
      <c r="J10" s="96">
        <v>6.0</v>
      </c>
      <c r="K10" s="97" t="str">
        <f>SETTINGS!A8</f>
        <v>Entertainment</v>
      </c>
      <c r="L10" s="98">
        <f>IFERROR(SUMPRODUCT((EXPENSES!A$4:A$1999&gt;=$K$3)*(EXPENSES!A$4:A$1999&lt;=$M$3)*(EXPENSES!E$4:E$1999=K10)*EXPENSES!D$4:D$1999),0)</f>
        <v>0</v>
      </c>
      <c r="M10" s="102">
        <f t="shared" si="3"/>
        <v>0</v>
      </c>
      <c r="N10" s="98">
        <f t="shared" si="4"/>
        <v>0</v>
      </c>
      <c r="O10" s="103">
        <f t="shared" si="5"/>
        <v>0</v>
      </c>
      <c r="P10" s="5"/>
    </row>
    <row r="11" ht="18.0" customHeight="1">
      <c r="A11" s="96">
        <v>7.0</v>
      </c>
      <c r="B11" s="97" t="str">
        <f>SETTINGS!A9</f>
        <v>Familly</v>
      </c>
      <c r="C11" s="98">
        <f>IFERROR(SUMPRODUCT((EXPENSES!E$4:E$1999=B11)*EXPENSES!D$4:D$1999)/MAX(COUNTIF(EXPENSES!D$4:D$1999,"&gt;0"),1),0)</f>
        <v>0</v>
      </c>
      <c r="D11" s="98">
        <f>IFERROR(SUMPRODUCT((EXPENSES!E$4:E$1999=B11)*EXPENSES!D$4:D$1999),0)</f>
        <v>0</v>
      </c>
      <c r="E11" s="99">
        <f t="shared" si="1"/>
        <v>0</v>
      </c>
      <c r="F11" s="11"/>
      <c r="G11" s="100">
        <v>0.0</v>
      </c>
      <c r="H11" s="101">
        <f t="shared" si="2"/>
        <v>0</v>
      </c>
      <c r="I11" s="11"/>
      <c r="J11" s="96">
        <v>7.0</v>
      </c>
      <c r="K11" s="97" t="str">
        <f>SETTINGS!A9</f>
        <v>Familly</v>
      </c>
      <c r="L11" s="98">
        <f>IFERROR(SUMPRODUCT((EXPENSES!A$4:A$1999&gt;=$K$3)*(EXPENSES!A$4:A$1999&lt;=$M$3)*(EXPENSES!E$4:E$1999=K11)*EXPENSES!D$4:D$1999),0)</f>
        <v>0</v>
      </c>
      <c r="M11" s="102">
        <f t="shared" si="3"/>
        <v>0</v>
      </c>
      <c r="N11" s="98">
        <f t="shared" si="4"/>
        <v>0</v>
      </c>
      <c r="O11" s="103">
        <f t="shared" si="5"/>
        <v>0</v>
      </c>
      <c r="P11" s="5"/>
    </row>
    <row r="12" ht="18.0" customHeight="1">
      <c r="A12" s="96">
        <v>8.0</v>
      </c>
      <c r="B12" s="97" t="str">
        <f>SETTINGS!A10</f>
        <v>Fitness</v>
      </c>
      <c r="C12" s="98">
        <f>IFERROR(SUMPRODUCT((EXPENSES!E$4:E$1999=B12)*EXPENSES!D$4:D$1999)/MAX(COUNTIF(EXPENSES!D$4:D$1999,"&gt;0"),1),0)</f>
        <v>0</v>
      </c>
      <c r="D12" s="98">
        <f>IFERROR(SUMPRODUCT((EXPENSES!E$4:E$1999=B12)*EXPENSES!D$4:D$1999),0)</f>
        <v>0</v>
      </c>
      <c r="E12" s="99">
        <f t="shared" si="1"/>
        <v>0</v>
      </c>
      <c r="F12" s="11"/>
      <c r="G12" s="100">
        <v>0.0</v>
      </c>
      <c r="H12" s="101">
        <f t="shared" si="2"/>
        <v>0</v>
      </c>
      <c r="I12" s="11"/>
      <c r="J12" s="96">
        <v>8.0</v>
      </c>
      <c r="K12" s="97" t="str">
        <f>SETTINGS!A10</f>
        <v>Fitness</v>
      </c>
      <c r="L12" s="98">
        <f>IFERROR(SUMPRODUCT((EXPENSES!A$4:A$1999&gt;=$K$3)*(EXPENSES!A$4:A$1999&lt;=$M$3)*(EXPENSES!E$4:E$1999=K12)*EXPENSES!D$4:D$1999),0)</f>
        <v>0</v>
      </c>
      <c r="M12" s="102">
        <f t="shared" si="3"/>
        <v>0</v>
      </c>
      <c r="N12" s="98">
        <f t="shared" si="4"/>
        <v>0</v>
      </c>
      <c r="O12" s="103">
        <f t="shared" si="5"/>
        <v>0</v>
      </c>
      <c r="P12" s="5"/>
    </row>
    <row r="13" ht="18.0" customHeight="1">
      <c r="A13" s="96">
        <v>9.0</v>
      </c>
      <c r="B13" s="97" t="str">
        <f>SETTINGS!A11</f>
        <v>Snacks &amp; Quick Bites</v>
      </c>
      <c r="C13" s="98">
        <f>IFERROR(SUMPRODUCT((EXPENSES!E$4:E$1999=B13)*EXPENSES!D$4:D$1999)/MAX(COUNTIF(EXPENSES!D$4:D$1999,"&gt;0"),1),0)</f>
        <v>22.41025641</v>
      </c>
      <c r="D13" s="98">
        <f>IFERROR(SUMPRODUCT((EXPENSES!E$4:E$1999=B13)*EXPENSES!D$4:D$1999),0)</f>
        <v>3496</v>
      </c>
      <c r="E13" s="99">
        <f t="shared" si="1"/>
        <v>0.0414094468</v>
      </c>
      <c r="F13" s="11"/>
      <c r="G13" s="100">
        <v>0.0</v>
      </c>
      <c r="H13" s="101">
        <f t="shared" si="2"/>
        <v>0</v>
      </c>
      <c r="I13" s="11"/>
      <c r="J13" s="96">
        <v>9.0</v>
      </c>
      <c r="K13" s="97" t="str">
        <f>SETTINGS!A11</f>
        <v>Snacks &amp; Quick Bites</v>
      </c>
      <c r="L13" s="98">
        <f>IFERROR(SUMPRODUCT((EXPENSES!A$4:A$1999&gt;=$K$3)*(EXPENSES!A$4:A$1999&lt;=$M$3)*(EXPENSES!E$4:E$1999=K13)*EXPENSES!D$4:D$1999),0)</f>
        <v>951</v>
      </c>
      <c r="M13" s="102">
        <f t="shared" si="3"/>
        <v>0</v>
      </c>
      <c r="N13" s="98">
        <f t="shared" si="4"/>
        <v>951</v>
      </c>
      <c r="O13" s="103">
        <f t="shared" si="5"/>
        <v>0</v>
      </c>
      <c r="P13" s="5"/>
    </row>
    <row r="14" ht="18.0" customHeight="1">
      <c r="A14" s="96">
        <v>10.0</v>
      </c>
      <c r="B14" s="97" t="str">
        <f>SETTINGS!A12</f>
        <v>Fuel</v>
      </c>
      <c r="C14" s="98">
        <f>IFERROR(SUMPRODUCT((EXPENSES!E$4:E$1999=B14)*EXPENSES!D$4:D$1999)/MAX(COUNTIF(EXPENSES!D$4:D$1999,"&gt;0"),1),0)</f>
        <v>4.108974359</v>
      </c>
      <c r="D14" s="98">
        <f>IFERROR(SUMPRODUCT((EXPENSES!E$4:E$1999=B14)*EXPENSES!D$4:D$1999),0)</f>
        <v>641</v>
      </c>
      <c r="E14" s="99">
        <f t="shared" si="1"/>
        <v>0.007592521568</v>
      </c>
      <c r="F14" s="11"/>
      <c r="G14" s="100">
        <v>0.0</v>
      </c>
      <c r="H14" s="101">
        <f t="shared" si="2"/>
        <v>0</v>
      </c>
      <c r="I14" s="11"/>
      <c r="J14" s="96">
        <v>10.0</v>
      </c>
      <c r="K14" s="97" t="str">
        <f>SETTINGS!A12</f>
        <v>Fuel</v>
      </c>
      <c r="L14" s="98">
        <f>IFERROR(SUMPRODUCT((EXPENSES!A$4:A$1999&gt;=$K$3)*(EXPENSES!A$4:A$1999&lt;=$M$3)*(EXPENSES!E$4:E$1999=K14)*EXPENSES!D$4:D$1999),0)</f>
        <v>0</v>
      </c>
      <c r="M14" s="102">
        <f t="shared" si="3"/>
        <v>0</v>
      </c>
      <c r="N14" s="98">
        <f t="shared" si="4"/>
        <v>0</v>
      </c>
      <c r="O14" s="103">
        <f t="shared" si="5"/>
        <v>0</v>
      </c>
      <c r="P14" s="5"/>
    </row>
    <row r="15" ht="18.0" customHeight="1">
      <c r="A15" s="96">
        <v>11.0</v>
      </c>
      <c r="B15" s="97" t="str">
        <f>SETTINGS!A13</f>
        <v>Gifts</v>
      </c>
      <c r="C15" s="98">
        <f>IFERROR(SUMPRODUCT((EXPENSES!E$4:E$1999=B15)*EXPENSES!D$4:D$1999)/MAX(COUNTIF(EXPENSES!D$4:D$1999,"&gt;0"),1),0)</f>
        <v>139.4871795</v>
      </c>
      <c r="D15" s="98">
        <f>IFERROR(SUMPRODUCT((EXPENSES!E$4:E$1999=B15)*EXPENSES!D$4:D$1999),0)</f>
        <v>21760</v>
      </c>
      <c r="E15" s="99">
        <f t="shared" si="1"/>
        <v>0.2577430098</v>
      </c>
      <c r="F15" s="11"/>
      <c r="G15" s="100">
        <v>0.0</v>
      </c>
      <c r="H15" s="101">
        <f t="shared" si="2"/>
        <v>0</v>
      </c>
      <c r="I15" s="11"/>
      <c r="J15" s="96">
        <v>11.0</v>
      </c>
      <c r="K15" s="97" t="str">
        <f>SETTINGS!A13</f>
        <v>Gifts</v>
      </c>
      <c r="L15" s="98">
        <f>IFERROR(SUMPRODUCT((EXPENSES!A$4:A$1999&gt;=$K$3)*(EXPENSES!A$4:A$1999&lt;=$M$3)*(EXPENSES!E$4:E$1999=K15)*EXPENSES!D$4:D$1999),0)</f>
        <v>0</v>
      </c>
      <c r="M15" s="102">
        <f t="shared" si="3"/>
        <v>0</v>
      </c>
      <c r="N15" s="98">
        <f t="shared" si="4"/>
        <v>0</v>
      </c>
      <c r="O15" s="103">
        <f t="shared" si="5"/>
        <v>0</v>
      </c>
      <c r="P15" s="5"/>
    </row>
    <row r="16" ht="18.0" customHeight="1">
      <c r="A16" s="96">
        <v>12.0</v>
      </c>
      <c r="B16" s="97" t="str">
        <f>SETTINGS!A14</f>
        <v>Groceries</v>
      </c>
      <c r="C16" s="98">
        <f>IFERROR(SUMPRODUCT((EXPENSES!E$4:E$1999=B16)*EXPENSES!D$4:D$1999)/MAX(COUNTIF(EXPENSES!D$4:D$1999,"&gt;0"),1),0)</f>
        <v>23.12179487</v>
      </c>
      <c r="D16" s="98">
        <f>IFERROR(SUMPRODUCT((EXPENSES!E$4:E$1999=B16)*EXPENSES!D$4:D$1999),0)</f>
        <v>3607</v>
      </c>
      <c r="E16" s="99">
        <f t="shared" si="1"/>
        <v>0.04272422043</v>
      </c>
      <c r="F16" s="11"/>
      <c r="G16" s="100">
        <v>0.0</v>
      </c>
      <c r="H16" s="101">
        <f t="shared" si="2"/>
        <v>0</v>
      </c>
      <c r="I16" s="11"/>
      <c r="J16" s="96">
        <v>12.0</v>
      </c>
      <c r="K16" s="97" t="str">
        <f>SETTINGS!A14</f>
        <v>Groceries</v>
      </c>
      <c r="L16" s="98">
        <f>IFERROR(SUMPRODUCT((EXPENSES!A$4:A$1999&gt;=$K$3)*(EXPENSES!A$4:A$1999&lt;=$M$3)*(EXPENSES!E$4:E$1999=K16)*EXPENSES!D$4:D$1999),0)</f>
        <v>834</v>
      </c>
      <c r="M16" s="102">
        <f t="shared" si="3"/>
        <v>0</v>
      </c>
      <c r="N16" s="98">
        <f t="shared" si="4"/>
        <v>834</v>
      </c>
      <c r="O16" s="103">
        <f t="shared" si="5"/>
        <v>0</v>
      </c>
      <c r="P16" s="5"/>
    </row>
    <row r="17" ht="18.0" customHeight="1">
      <c r="A17" s="96">
        <v>13.0</v>
      </c>
      <c r="B17" s="97" t="str">
        <f>SETTINGS!A15</f>
        <v>HouseHold</v>
      </c>
      <c r="C17" s="98">
        <f>IFERROR(SUMPRODUCT((EXPENSES!E$4:E$1999=B17)*EXPENSES!D$4:D$1999)/MAX(COUNTIF(EXPENSES!D$4:D$1999,"&gt;0"),1),0)</f>
        <v>1.826923077</v>
      </c>
      <c r="D17" s="98">
        <f>IFERROR(SUMPRODUCT((EXPENSES!E$4:E$1999=B17)*EXPENSES!D$4:D$1999),0)</f>
        <v>285</v>
      </c>
      <c r="E17" s="99">
        <f t="shared" si="1"/>
        <v>0.00337577012</v>
      </c>
      <c r="F17" s="11"/>
      <c r="G17" s="100">
        <v>0.0</v>
      </c>
      <c r="H17" s="101">
        <f t="shared" si="2"/>
        <v>0</v>
      </c>
      <c r="I17" s="11"/>
      <c r="J17" s="96">
        <v>13.0</v>
      </c>
      <c r="K17" s="97" t="str">
        <f>SETTINGS!A15</f>
        <v>HouseHold</v>
      </c>
      <c r="L17" s="98">
        <f>IFERROR(SUMPRODUCT((EXPENSES!A$4:A$1999&gt;=$K$3)*(EXPENSES!A$4:A$1999&lt;=$M$3)*(EXPENSES!E$4:E$1999=K17)*EXPENSES!D$4:D$1999),0)</f>
        <v>285</v>
      </c>
      <c r="M17" s="102">
        <f t="shared" si="3"/>
        <v>0</v>
      </c>
      <c r="N17" s="98">
        <f t="shared" si="4"/>
        <v>285</v>
      </c>
      <c r="O17" s="103">
        <f t="shared" si="5"/>
        <v>0</v>
      </c>
      <c r="P17" s="5"/>
    </row>
    <row r="18" ht="18.0" customHeight="1">
      <c r="A18" s="96">
        <v>14.0</v>
      </c>
      <c r="B18" s="97" t="str">
        <f>SETTINGS!A16</f>
        <v>Insurance</v>
      </c>
      <c r="C18" s="98">
        <f>IFERROR(SUMPRODUCT((EXPENSES!E$4:E$1999=B18)*EXPENSES!D$4:D$1999)/MAX(COUNTIF(EXPENSES!D$4:D$1999,"&gt;0"),1),0)</f>
        <v>0</v>
      </c>
      <c r="D18" s="98">
        <f>IFERROR(SUMPRODUCT((EXPENSES!E$4:E$1999=B18)*EXPENSES!D$4:D$1999),0)</f>
        <v>0</v>
      </c>
      <c r="E18" s="99">
        <f t="shared" si="1"/>
        <v>0</v>
      </c>
      <c r="F18" s="11"/>
      <c r="G18" s="100">
        <v>0.0</v>
      </c>
      <c r="H18" s="101">
        <f t="shared" si="2"/>
        <v>0</v>
      </c>
      <c r="I18" s="11"/>
      <c r="J18" s="96">
        <v>14.0</v>
      </c>
      <c r="K18" s="97" t="str">
        <f>SETTINGS!A16</f>
        <v>Insurance</v>
      </c>
      <c r="L18" s="98">
        <f>IFERROR(SUMPRODUCT((EXPENSES!A$4:A$1999&gt;=$K$3)*(EXPENSES!A$4:A$1999&lt;=$M$3)*(EXPENSES!E$4:E$1999=K18)*EXPENSES!D$4:D$1999),0)</f>
        <v>0</v>
      </c>
      <c r="M18" s="102">
        <f t="shared" si="3"/>
        <v>0</v>
      </c>
      <c r="N18" s="98">
        <f t="shared" si="4"/>
        <v>0</v>
      </c>
      <c r="O18" s="103">
        <f t="shared" si="5"/>
        <v>0</v>
      </c>
      <c r="P18" s="5"/>
    </row>
    <row r="19" ht="18.0" customHeight="1">
      <c r="A19" s="96">
        <v>15.0</v>
      </c>
      <c r="B19" s="97" t="str">
        <f>SETTINGS!A17</f>
        <v>Investments</v>
      </c>
      <c r="C19" s="98">
        <f>IFERROR(SUMPRODUCT((EXPENSES!E$4:E$1999=B19)*EXPENSES!D$4:D$1999)/MAX(COUNTIF(EXPENSES!D$4:D$1999,"&gt;0"),1),0)</f>
        <v>89.74358974</v>
      </c>
      <c r="D19" s="98">
        <f>IFERROR(SUMPRODUCT((EXPENSES!E$4:E$1999=B19)*EXPENSES!D$4:D$1999),0)</f>
        <v>14000</v>
      </c>
      <c r="E19" s="99">
        <f t="shared" si="1"/>
        <v>0.1658273041</v>
      </c>
      <c r="F19" s="11"/>
      <c r="G19" s="100">
        <v>0.0</v>
      </c>
      <c r="H19" s="101">
        <f t="shared" si="2"/>
        <v>0</v>
      </c>
      <c r="I19" s="11"/>
      <c r="J19" s="96">
        <v>15.0</v>
      </c>
      <c r="K19" s="97" t="str">
        <f>SETTINGS!A17</f>
        <v>Investments</v>
      </c>
      <c r="L19" s="98">
        <f>IFERROR(SUMPRODUCT((EXPENSES!A$4:A$1999&gt;=$K$3)*(EXPENSES!A$4:A$1999&lt;=$M$3)*(EXPENSES!E$4:E$1999=K19)*EXPENSES!D$4:D$1999),0)</f>
        <v>4000</v>
      </c>
      <c r="M19" s="102">
        <f t="shared" si="3"/>
        <v>0</v>
      </c>
      <c r="N19" s="98">
        <f t="shared" si="4"/>
        <v>4000</v>
      </c>
      <c r="O19" s="103">
        <f t="shared" si="5"/>
        <v>0</v>
      </c>
      <c r="P19" s="5"/>
    </row>
    <row r="20" ht="18.0" customHeight="1">
      <c r="A20" s="96">
        <v>16.0</v>
      </c>
      <c r="B20" s="97" t="str">
        <f>SETTINGS!A18</f>
        <v>Loans Given &amp; Taken</v>
      </c>
      <c r="C20" s="98">
        <f>IFERROR(SUMPRODUCT((EXPENSES!E$4:E$1999=B20)*EXPENSES!D$4:D$1999)/MAX(COUNTIF(EXPENSES!D$4:D$1999,"&gt;0"),1),0)</f>
        <v>50</v>
      </c>
      <c r="D20" s="98">
        <f>IFERROR(SUMPRODUCT((EXPENSES!E$4:E$1999=B20)*EXPENSES!D$4:D$1999),0)</f>
        <v>7800</v>
      </c>
      <c r="E20" s="99">
        <f t="shared" si="1"/>
        <v>0.09238949801</v>
      </c>
      <c r="F20" s="11"/>
      <c r="G20" s="100">
        <v>0.0</v>
      </c>
      <c r="H20" s="101">
        <f t="shared" si="2"/>
        <v>0</v>
      </c>
      <c r="I20" s="11"/>
      <c r="J20" s="96">
        <v>16.0</v>
      </c>
      <c r="K20" s="97" t="str">
        <f>SETTINGS!A18</f>
        <v>Loans Given &amp; Taken</v>
      </c>
      <c r="L20" s="98">
        <f>IFERROR(SUMPRODUCT((EXPENSES!A$4:A$1999&gt;=$K$3)*(EXPENSES!A$4:A$1999&lt;=$M$3)*(EXPENSES!E$4:E$1999=K20)*EXPENSES!D$4:D$1999),0)</f>
        <v>0</v>
      </c>
      <c r="M20" s="102">
        <f t="shared" si="3"/>
        <v>0</v>
      </c>
      <c r="N20" s="98">
        <f t="shared" si="4"/>
        <v>0</v>
      </c>
      <c r="O20" s="103">
        <f t="shared" si="5"/>
        <v>0</v>
      </c>
      <c r="P20" s="5"/>
    </row>
    <row r="21" ht="18.0" customHeight="1">
      <c r="A21" s="96">
        <v>17.0</v>
      </c>
      <c r="B21" s="97" t="str">
        <f>SETTINGS!A19</f>
        <v>Medical</v>
      </c>
      <c r="C21" s="98">
        <f>IFERROR(SUMPRODUCT((EXPENSES!E$4:E$1999=B21)*EXPENSES!D$4:D$1999)/MAX(COUNTIF(EXPENSES!D$4:D$1999,"&gt;0"),1),0)</f>
        <v>8.762820513</v>
      </c>
      <c r="D21" s="98">
        <f>IFERROR(SUMPRODUCT((EXPENSES!E$4:E$1999=B21)*EXPENSES!D$4:D$1999),0)</f>
        <v>1367</v>
      </c>
      <c r="E21" s="99">
        <f t="shared" si="1"/>
        <v>0.01619185177</v>
      </c>
      <c r="F21" s="11"/>
      <c r="G21" s="100">
        <v>0.0</v>
      </c>
      <c r="H21" s="101">
        <f t="shared" si="2"/>
        <v>0</v>
      </c>
      <c r="I21" s="11"/>
      <c r="J21" s="96">
        <v>17.0</v>
      </c>
      <c r="K21" s="97" t="str">
        <f>SETTINGS!A19</f>
        <v>Medical</v>
      </c>
      <c r="L21" s="98">
        <f>IFERROR(SUMPRODUCT((EXPENSES!A$4:A$1999&gt;=$K$3)*(EXPENSES!A$4:A$1999&lt;=$M$3)*(EXPENSES!E$4:E$1999=K21)*EXPENSES!D$4:D$1999),0)</f>
        <v>0</v>
      </c>
      <c r="M21" s="102">
        <f t="shared" si="3"/>
        <v>0</v>
      </c>
      <c r="N21" s="98">
        <f t="shared" si="4"/>
        <v>0</v>
      </c>
      <c r="O21" s="103">
        <f t="shared" si="5"/>
        <v>0</v>
      </c>
      <c r="P21" s="5"/>
    </row>
    <row r="22" ht="18.0" customHeight="1">
      <c r="A22" s="96">
        <v>18.0</v>
      </c>
      <c r="B22" s="97" t="str">
        <f>SETTINGS!A20</f>
        <v>Personal Care</v>
      </c>
      <c r="C22" s="98">
        <f>IFERROR(SUMPRODUCT((EXPENSES!E$4:E$1999=B22)*EXPENSES!D$4:D$1999)/MAX(COUNTIF(EXPENSES!D$4:D$1999,"&gt;0"),1),0)</f>
        <v>9.185897436</v>
      </c>
      <c r="D22" s="98">
        <f>IFERROR(SUMPRODUCT((EXPENSES!E$4:E$1999=B22)*EXPENSES!D$4:D$1999),0)</f>
        <v>1433</v>
      </c>
      <c r="E22" s="99">
        <f t="shared" si="1"/>
        <v>0.01697360906</v>
      </c>
      <c r="F22" s="11"/>
      <c r="G22" s="100">
        <v>0.0</v>
      </c>
      <c r="H22" s="101">
        <f t="shared" si="2"/>
        <v>0</v>
      </c>
      <c r="I22" s="11"/>
      <c r="J22" s="96">
        <v>18.0</v>
      </c>
      <c r="K22" s="97" t="str">
        <f>SETTINGS!A20</f>
        <v>Personal Care</v>
      </c>
      <c r="L22" s="98">
        <f>IFERROR(SUMPRODUCT((EXPENSES!A$4:A$1999&gt;=$K$3)*(EXPENSES!A$4:A$1999&lt;=$M$3)*(EXPENSES!E$4:E$1999=K22)*EXPENSES!D$4:D$1999),0)</f>
        <v>719</v>
      </c>
      <c r="M22" s="102">
        <f t="shared" si="3"/>
        <v>0</v>
      </c>
      <c r="N22" s="98">
        <f t="shared" si="4"/>
        <v>719</v>
      </c>
      <c r="O22" s="103">
        <f t="shared" si="5"/>
        <v>0</v>
      </c>
      <c r="P22" s="5"/>
    </row>
    <row r="23" ht="18.0" customHeight="1">
      <c r="A23" s="96">
        <v>19.0</v>
      </c>
      <c r="B23" s="97" t="str">
        <f>SETTINGS!A21</f>
        <v>Rent</v>
      </c>
      <c r="C23" s="98">
        <f>IFERROR(SUMPRODUCT((EXPENSES!E$4:E$1999=B23)*EXPENSES!D$4:D$1999)/MAX(COUNTIF(EXPENSES!D$4:D$1999,"&gt;0"),1),0)</f>
        <v>0</v>
      </c>
      <c r="D23" s="98">
        <f>IFERROR(SUMPRODUCT((EXPENSES!E$4:E$1999=B23)*EXPENSES!D$4:D$1999),0)</f>
        <v>0</v>
      </c>
      <c r="E23" s="99">
        <f t="shared" si="1"/>
        <v>0</v>
      </c>
      <c r="F23" s="11"/>
      <c r="G23" s="100">
        <v>0.0</v>
      </c>
      <c r="H23" s="101">
        <f t="shared" si="2"/>
        <v>0</v>
      </c>
      <c r="I23" s="11"/>
      <c r="J23" s="96">
        <v>19.0</v>
      </c>
      <c r="K23" s="97" t="str">
        <f>SETTINGS!A21</f>
        <v>Rent</v>
      </c>
      <c r="L23" s="98">
        <f>IFERROR(SUMPRODUCT((EXPENSES!A$4:A$1999&gt;=$K$3)*(EXPENSES!A$4:A$1999&lt;=$M$3)*(EXPENSES!E$4:E$1999=K23)*EXPENSES!D$4:D$1999),0)</f>
        <v>0</v>
      </c>
      <c r="M23" s="102">
        <f t="shared" si="3"/>
        <v>0</v>
      </c>
      <c r="N23" s="98">
        <f t="shared" si="4"/>
        <v>0</v>
      </c>
      <c r="O23" s="103">
        <f t="shared" si="5"/>
        <v>0</v>
      </c>
      <c r="P23" s="5"/>
    </row>
    <row r="24" ht="18.0" customHeight="1">
      <c r="A24" s="96">
        <v>20.0</v>
      </c>
      <c r="B24" s="97" t="str">
        <f>SETTINGS!A22</f>
        <v>Repair &amp; Maintenance</v>
      </c>
      <c r="C24" s="98">
        <f>IFERROR(SUMPRODUCT((EXPENSES!E$4:E$1999=B24)*EXPENSES!D$4:D$1999)/MAX(COUNTIF(EXPENSES!D$4:D$1999,"&gt;0"),1),0)</f>
        <v>36.48339744</v>
      </c>
      <c r="D24" s="98">
        <f>IFERROR(SUMPRODUCT((EXPENSES!E$4:E$1999=B24)*EXPENSES!D$4:D$1999),0)</f>
        <v>5691.41</v>
      </c>
      <c r="E24" s="99">
        <f t="shared" si="1"/>
        <v>0.0674136555</v>
      </c>
      <c r="F24" s="11"/>
      <c r="G24" s="100">
        <v>0.0</v>
      </c>
      <c r="H24" s="101">
        <f t="shared" si="2"/>
        <v>0</v>
      </c>
      <c r="I24" s="11"/>
      <c r="J24" s="96">
        <v>20.0</v>
      </c>
      <c r="K24" s="97" t="str">
        <f>SETTINGS!A22</f>
        <v>Repair &amp; Maintenance</v>
      </c>
      <c r="L24" s="98">
        <f>IFERROR(SUMPRODUCT((EXPENSES!A$4:A$1999&gt;=$K$3)*(EXPENSES!A$4:A$1999&lt;=$M$3)*(EXPENSES!E$4:E$1999=K24)*EXPENSES!D$4:D$1999),0)</f>
        <v>2301.41</v>
      </c>
      <c r="M24" s="102">
        <f t="shared" si="3"/>
        <v>0</v>
      </c>
      <c r="N24" s="98">
        <f t="shared" si="4"/>
        <v>2301.41</v>
      </c>
      <c r="O24" s="103">
        <f t="shared" si="5"/>
        <v>0</v>
      </c>
      <c r="P24" s="5"/>
    </row>
    <row r="25" ht="18.0" customHeight="1">
      <c r="A25" s="96">
        <v>21.0</v>
      </c>
      <c r="B25" s="97" t="str">
        <f>SETTINGS!A23</f>
        <v>Restaurant &amp; Dining Out</v>
      </c>
      <c r="C25" s="98">
        <f>IFERROR(SUMPRODUCT((EXPENSES!E$4:E$1999=B25)*EXPENSES!D$4:D$1999)/MAX(COUNTIF(EXPENSES!D$4:D$1999,"&gt;0"),1),0)</f>
        <v>57.07814103</v>
      </c>
      <c r="D25" s="98">
        <f>IFERROR(SUMPRODUCT((EXPENSES!E$4:E$1999=B25)*EXPENSES!D$4:D$1999),0)</f>
        <v>8904.19</v>
      </c>
      <c r="E25" s="99">
        <f t="shared" si="1"/>
        <v>0.1054684159</v>
      </c>
      <c r="F25" s="11"/>
      <c r="G25" s="100">
        <v>0.0</v>
      </c>
      <c r="H25" s="101">
        <f t="shared" si="2"/>
        <v>0</v>
      </c>
      <c r="I25" s="11"/>
      <c r="J25" s="96">
        <v>21.0</v>
      </c>
      <c r="K25" s="97" t="str">
        <f>SETTINGS!A23</f>
        <v>Restaurant &amp; Dining Out</v>
      </c>
      <c r="L25" s="98">
        <f>IFERROR(SUMPRODUCT((EXPENSES!A$4:A$1999&gt;=$K$3)*(EXPENSES!A$4:A$1999&lt;=$M$3)*(EXPENSES!E$4:E$1999=K25)*EXPENSES!D$4:D$1999),0)</f>
        <v>2672.19</v>
      </c>
      <c r="M25" s="102">
        <f t="shared" si="3"/>
        <v>0</v>
      </c>
      <c r="N25" s="98">
        <f t="shared" si="4"/>
        <v>2672.19</v>
      </c>
      <c r="O25" s="103">
        <f t="shared" si="5"/>
        <v>0</v>
      </c>
      <c r="P25" s="5"/>
    </row>
    <row r="26" ht="18.0" customHeight="1">
      <c r="A26" s="96">
        <v>22.0</v>
      </c>
      <c r="B26" s="97" t="str">
        <f>SETTINGS!A24</f>
        <v>Self Transfers</v>
      </c>
      <c r="C26" s="98">
        <f>IFERROR(SUMPRODUCT((EXPENSES!E$4:E$1999=B26)*EXPENSES!D$4:D$1999)/MAX(COUNTIF(EXPENSES!D$4:D$1999,"&gt;0"),1),0)</f>
        <v>0</v>
      </c>
      <c r="D26" s="98">
        <f>IFERROR(SUMPRODUCT((EXPENSES!E$4:E$1999=B26)*EXPENSES!D$4:D$1999),0)</f>
        <v>0</v>
      </c>
      <c r="E26" s="99">
        <f t="shared" si="1"/>
        <v>0</v>
      </c>
      <c r="F26" s="11"/>
      <c r="G26" s="100">
        <v>0.0</v>
      </c>
      <c r="H26" s="101">
        <f t="shared" si="2"/>
        <v>0</v>
      </c>
      <c r="I26" s="11"/>
      <c r="J26" s="96">
        <v>22.0</v>
      </c>
      <c r="K26" s="97" t="str">
        <f>SETTINGS!A24</f>
        <v>Self Transfers</v>
      </c>
      <c r="L26" s="98">
        <f>IFERROR(SUMPRODUCT((EXPENSES!A$4:A$1999&gt;=$K$3)*(EXPENSES!A$4:A$1999&lt;=$M$3)*(EXPENSES!E$4:E$1999=K26)*EXPENSES!D$4:D$1999),0)</f>
        <v>0</v>
      </c>
      <c r="M26" s="102">
        <f t="shared" si="3"/>
        <v>0</v>
      </c>
      <c r="N26" s="98">
        <f t="shared" si="4"/>
        <v>0</v>
      </c>
      <c r="O26" s="103">
        <f t="shared" si="5"/>
        <v>0</v>
      </c>
      <c r="P26" s="5"/>
    </row>
    <row r="27" ht="18.0" customHeight="1">
      <c r="A27" s="96">
        <v>23.0</v>
      </c>
      <c r="B27" s="97" t="str">
        <f>SETTINGS!A25</f>
        <v>Shopping</v>
      </c>
      <c r="C27" s="98">
        <f>IFERROR(SUMPRODUCT((EXPENSES!E$4:E$1999=B27)*EXPENSES!D$4:D$1999)/MAX(COUNTIF(EXPENSES!D$4:D$1999,"&gt;0"),1),0)</f>
        <v>8.012820513</v>
      </c>
      <c r="D27" s="98">
        <f>IFERROR(SUMPRODUCT((EXPENSES!E$4:E$1999=B27)*EXPENSES!D$4:D$1999),0)</f>
        <v>1250</v>
      </c>
      <c r="E27" s="99">
        <f t="shared" si="1"/>
        <v>0.0148060093</v>
      </c>
      <c r="F27" s="11"/>
      <c r="G27" s="100">
        <v>0.0</v>
      </c>
      <c r="H27" s="101">
        <f t="shared" si="2"/>
        <v>0</v>
      </c>
      <c r="I27" s="11"/>
      <c r="J27" s="96">
        <v>23.0</v>
      </c>
      <c r="K27" s="97" t="str">
        <f>SETTINGS!A25</f>
        <v>Shopping</v>
      </c>
      <c r="L27" s="98">
        <f>IFERROR(SUMPRODUCT((EXPENSES!A$4:A$1999&gt;=$K$3)*(EXPENSES!A$4:A$1999&lt;=$M$3)*(EXPENSES!E$4:E$1999=K27)*EXPENSES!D$4:D$1999),0)</f>
        <v>193</v>
      </c>
      <c r="M27" s="102">
        <f t="shared" si="3"/>
        <v>0</v>
      </c>
      <c r="N27" s="98">
        <f t="shared" si="4"/>
        <v>193</v>
      </c>
      <c r="O27" s="103">
        <f t="shared" si="5"/>
        <v>0</v>
      </c>
      <c r="P27" s="5"/>
    </row>
    <row r="28" ht="18.0" customHeight="1">
      <c r="A28" s="96">
        <v>24.0</v>
      </c>
      <c r="B28" s="97" t="str">
        <f>SETTINGS!A26</f>
        <v>Subscriptions &amp; Memberships</v>
      </c>
      <c r="C28" s="98">
        <f>IFERROR(SUMPRODUCT((EXPENSES!E$4:E$1999=B28)*EXPENSES!D$4:D$1999)/MAX(COUNTIF(EXPENSES!D$4:D$1999,"&gt;0"),1),0)</f>
        <v>0</v>
      </c>
      <c r="D28" s="98">
        <f>IFERROR(SUMPRODUCT((EXPENSES!E$4:E$1999=B28)*EXPENSES!D$4:D$1999),0)</f>
        <v>0</v>
      </c>
      <c r="E28" s="99">
        <f t="shared" si="1"/>
        <v>0</v>
      </c>
      <c r="F28" s="11"/>
      <c r="G28" s="100">
        <v>0.0</v>
      </c>
      <c r="H28" s="101">
        <f t="shared" si="2"/>
        <v>0</v>
      </c>
      <c r="I28" s="11"/>
      <c r="J28" s="96">
        <v>24.0</v>
      </c>
      <c r="K28" s="97" t="str">
        <f>SETTINGS!A26</f>
        <v>Subscriptions &amp; Memberships</v>
      </c>
      <c r="L28" s="98">
        <f>IFERROR(SUMPRODUCT((EXPENSES!A$4:A$1999&gt;=$K$3)*(EXPENSES!A$4:A$1999&lt;=$M$3)*(EXPENSES!E$4:E$1999=K28)*EXPENSES!D$4:D$1999),0)</f>
        <v>0</v>
      </c>
      <c r="M28" s="102">
        <f t="shared" si="3"/>
        <v>0</v>
      </c>
      <c r="N28" s="98">
        <f t="shared" si="4"/>
        <v>0</v>
      </c>
      <c r="O28" s="103">
        <f t="shared" si="5"/>
        <v>0</v>
      </c>
      <c r="P28" s="5"/>
    </row>
    <row r="29" ht="18.0" customHeight="1">
      <c r="A29" s="96">
        <v>25.0</v>
      </c>
      <c r="B29" s="97" t="str">
        <f>SETTINGS!A27</f>
        <v>Travel</v>
      </c>
      <c r="C29" s="98">
        <f>IFERROR(SUMPRODUCT((EXPENSES!E$4:E$1999=B29)*EXPENSES!D$4:D$1999)/MAX(COUNTIF(EXPENSES!D$4:D$1999,"&gt;0"),1),0)</f>
        <v>0.9358974359</v>
      </c>
      <c r="D29" s="98">
        <f>IFERROR(SUMPRODUCT((EXPENSES!E$4:E$1999=B29)*EXPENSES!D$4:D$1999),0)</f>
        <v>146</v>
      </c>
      <c r="E29" s="99">
        <f t="shared" si="1"/>
        <v>0.001729341886</v>
      </c>
      <c r="F29" s="11"/>
      <c r="G29" s="100">
        <v>0.0</v>
      </c>
      <c r="H29" s="101">
        <f t="shared" si="2"/>
        <v>0</v>
      </c>
      <c r="I29" s="11"/>
      <c r="J29" s="96">
        <v>25.0</v>
      </c>
      <c r="K29" s="97" t="str">
        <f>SETTINGS!A27</f>
        <v>Travel</v>
      </c>
      <c r="L29" s="98">
        <f>IFERROR(SUMPRODUCT((EXPENSES!A$4:A$1999&gt;=$K$3)*(EXPENSES!A$4:A$1999&lt;=$M$3)*(EXPENSES!E$4:E$1999=K29)*EXPENSES!D$4:D$1999),0)</f>
        <v>0</v>
      </c>
      <c r="M29" s="102">
        <f t="shared" si="3"/>
        <v>0</v>
      </c>
      <c r="N29" s="98">
        <f t="shared" si="4"/>
        <v>0</v>
      </c>
      <c r="O29" s="103">
        <f t="shared" si="5"/>
        <v>0</v>
      </c>
      <c r="P29" s="5"/>
    </row>
    <row r="30" ht="18.0" customHeight="1">
      <c r="A30" s="96">
        <v>26.0</v>
      </c>
      <c r="B30" s="97" t="str">
        <f>SETTINGS!A28</f>
        <v>Fines &amp; Penalties</v>
      </c>
      <c r="C30" s="98">
        <f>IFERROR(SUMPRODUCT((EXPENSES!E$4:E$1999=B30)*EXPENSES!D$4:D$1999)/MAX(COUNTIF(EXPENSES!D$4:D$1999,"&gt;0"),1),0)</f>
        <v>6.41025641</v>
      </c>
      <c r="D30" s="98">
        <f>IFERROR(SUMPRODUCT((EXPENSES!E$4:E$1999=B30)*EXPENSES!D$4:D$1999),0)</f>
        <v>1000</v>
      </c>
      <c r="E30" s="99">
        <f t="shared" si="1"/>
        <v>0.01184480744</v>
      </c>
      <c r="F30" s="11"/>
      <c r="G30" s="100">
        <v>0.0</v>
      </c>
      <c r="H30" s="101">
        <f t="shared" si="2"/>
        <v>0</v>
      </c>
      <c r="I30" s="11"/>
      <c r="J30" s="96">
        <v>26.0</v>
      </c>
      <c r="K30" s="97" t="str">
        <f>SETTINGS!A28</f>
        <v>Fines &amp; Penalties</v>
      </c>
      <c r="L30" s="98">
        <f>IFERROR(SUMPRODUCT((EXPENSES!A$4:A$1999&gt;=$K$3)*(EXPENSES!A$4:A$1999&lt;=$M$3)*(EXPENSES!E$4:E$1999=K30)*EXPENSES!D$4:D$1999),0)</f>
        <v>0</v>
      </c>
      <c r="M30" s="102">
        <f t="shared" si="3"/>
        <v>0</v>
      </c>
      <c r="N30" s="98">
        <f t="shared" si="4"/>
        <v>0</v>
      </c>
      <c r="O30" s="103">
        <f t="shared" si="5"/>
        <v>0</v>
      </c>
      <c r="P30" s="5"/>
    </row>
    <row r="31" ht="18.0" customHeight="1">
      <c r="A31" s="96">
        <v>27.0</v>
      </c>
      <c r="B31" s="97" t="str">
        <f>SETTINGS!A29</f>
        <v>Other</v>
      </c>
      <c r="C31" s="98">
        <f>IFERROR(SUMPRODUCT((EXPENSES!E$4:E$1999=B31)*EXPENSES!D$4:D$1999)/MAX(COUNTIF(EXPENSES!D$4:D$1999,"&gt;0"),1),0)</f>
        <v>5.856282051</v>
      </c>
      <c r="D31" s="98">
        <f>IFERROR(SUMPRODUCT((EXPENSES!E$4:E$1999=B31)*EXPENSES!D$4:D$1999),0)</f>
        <v>913.58</v>
      </c>
      <c r="E31" s="99">
        <f t="shared" si="1"/>
        <v>0.01082117918</v>
      </c>
      <c r="F31" s="11"/>
      <c r="G31" s="100">
        <v>0.0</v>
      </c>
      <c r="H31" s="101">
        <f t="shared" si="2"/>
        <v>0</v>
      </c>
      <c r="I31" s="11"/>
      <c r="J31" s="96">
        <v>27.0</v>
      </c>
      <c r="K31" s="97" t="str">
        <f>SETTINGS!A29</f>
        <v>Other</v>
      </c>
      <c r="L31" s="98">
        <f>IFERROR(SUMPRODUCT((EXPENSES!A$4:A$1999&gt;=$K$3)*(EXPENSES!A$4:A$1999&lt;=$M$3)*(EXPENSES!E$4:E$1999=K31)*EXPENSES!D$4:D$1999),0)</f>
        <v>0</v>
      </c>
      <c r="M31" s="102">
        <f t="shared" si="3"/>
        <v>0</v>
      </c>
      <c r="N31" s="98">
        <f t="shared" si="4"/>
        <v>0</v>
      </c>
      <c r="O31" s="103">
        <f t="shared" si="5"/>
        <v>0</v>
      </c>
      <c r="P31" s="5"/>
    </row>
    <row r="32" ht="18.0" customHeight="1">
      <c r="A32" s="96">
        <v>28.0</v>
      </c>
      <c r="B32" s="97" t="str">
        <f>SETTINGS!A30</f>
        <v/>
      </c>
      <c r="C32" s="98">
        <f>IFERROR(SUMPRODUCT((EXPENSES!E$4:E$1999=B32)*EXPENSES!D$4:D$1999)/MAX(COUNTIF(EXPENSES!D$4:D$1999,"&gt;0"),1),0)</f>
        <v>0</v>
      </c>
      <c r="D32" s="98">
        <f>IFERROR(SUMPRODUCT((EXPENSES!E$4:E$1999=B32)*EXPENSES!D$4:D$1999),0)</f>
        <v>0</v>
      </c>
      <c r="E32" s="99">
        <f t="shared" si="1"/>
        <v>0</v>
      </c>
      <c r="F32" s="11"/>
      <c r="G32" s="100">
        <v>0.0</v>
      </c>
      <c r="H32" s="101">
        <f t="shared" si="2"/>
        <v>0</v>
      </c>
      <c r="I32" s="11"/>
      <c r="J32" s="96">
        <v>28.0</v>
      </c>
      <c r="K32" s="97" t="str">
        <f>SETTINGS!A30</f>
        <v/>
      </c>
      <c r="L32" s="98">
        <f>IFERROR(SUMPRODUCT((EXPENSES!A$4:A$1999&gt;=$K$3)*(EXPENSES!A$4:A$1999&lt;=$M$3)*(EXPENSES!E$4:E$1999=K32)*EXPENSES!D$4:D$1999),0)</f>
        <v>0</v>
      </c>
      <c r="M32" s="102">
        <f t="shared" si="3"/>
        <v>0</v>
      </c>
      <c r="N32" s="98">
        <f t="shared" si="4"/>
        <v>0</v>
      </c>
      <c r="O32" s="103">
        <f t="shared" si="5"/>
        <v>0</v>
      </c>
      <c r="P32" s="5"/>
    </row>
    <row r="33" ht="18.0" customHeight="1">
      <c r="A33" s="96">
        <v>29.0</v>
      </c>
      <c r="B33" s="97" t="str">
        <f>SETTINGS!A31</f>
        <v/>
      </c>
      <c r="C33" s="98">
        <f>IFERROR(SUMPRODUCT((EXPENSES!E$4:E$1999=B33)*EXPENSES!D$4:D$1999)/MAX(COUNTIF(EXPENSES!D$4:D$1999,"&gt;0"),1),0)</f>
        <v>0</v>
      </c>
      <c r="D33" s="98">
        <f>IFERROR(SUMPRODUCT((EXPENSES!E$4:E$1999=B33)*EXPENSES!D$4:D$1999),0)</f>
        <v>0</v>
      </c>
      <c r="E33" s="99">
        <f t="shared" si="1"/>
        <v>0</v>
      </c>
      <c r="F33" s="11"/>
      <c r="G33" s="100">
        <v>0.0</v>
      </c>
      <c r="H33" s="101">
        <f t="shared" si="2"/>
        <v>0</v>
      </c>
      <c r="I33" s="11"/>
      <c r="J33" s="96">
        <v>29.0</v>
      </c>
      <c r="K33" s="97" t="str">
        <f>SETTINGS!A31</f>
        <v/>
      </c>
      <c r="L33" s="98">
        <f>IFERROR(SUMPRODUCT((EXPENSES!A$4:A$1999&gt;=$K$3)*(EXPENSES!A$4:A$1999&lt;=$M$3)*(EXPENSES!E$4:E$1999=K33)*EXPENSES!D$4:D$1999),0)</f>
        <v>0</v>
      </c>
      <c r="M33" s="102">
        <f t="shared" si="3"/>
        <v>0</v>
      </c>
      <c r="N33" s="98">
        <f t="shared" si="4"/>
        <v>0</v>
      </c>
      <c r="O33" s="103">
        <f t="shared" si="5"/>
        <v>0</v>
      </c>
      <c r="P33" s="5"/>
    </row>
    <row r="34" ht="18.0" customHeight="1">
      <c r="A34" s="96">
        <v>30.0</v>
      </c>
      <c r="B34" s="97" t="str">
        <f>SETTINGS!A32</f>
        <v/>
      </c>
      <c r="C34" s="98">
        <f>IFERROR(SUMPRODUCT((EXPENSES!E$4:E$1999=B34)*EXPENSES!D$4:D$1999)/MAX(COUNTIF(EXPENSES!D$4:D$1999,"&gt;0"),1),0)</f>
        <v>0</v>
      </c>
      <c r="D34" s="98">
        <f>IFERROR(SUMPRODUCT((EXPENSES!E$4:E$1999=B34)*EXPENSES!D$4:D$1999),0)</f>
        <v>0</v>
      </c>
      <c r="E34" s="99">
        <f t="shared" si="1"/>
        <v>0</v>
      </c>
      <c r="F34" s="11"/>
      <c r="G34" s="100">
        <v>0.0</v>
      </c>
      <c r="H34" s="101">
        <f t="shared" si="2"/>
        <v>0</v>
      </c>
      <c r="I34" s="11"/>
      <c r="J34" s="96">
        <v>30.0</v>
      </c>
      <c r="K34" s="97" t="str">
        <f>SETTINGS!A32</f>
        <v/>
      </c>
      <c r="L34" s="98">
        <f>IFERROR(SUMPRODUCT((EXPENSES!A$4:A$1999&gt;=$K$3)*(EXPENSES!A$4:A$1999&lt;=$M$3)*(EXPENSES!E$4:E$1999=K34)*EXPENSES!D$4:D$1999),0)</f>
        <v>0</v>
      </c>
      <c r="M34" s="102">
        <f t="shared" si="3"/>
        <v>0</v>
      </c>
      <c r="N34" s="98">
        <f t="shared" si="4"/>
        <v>0</v>
      </c>
      <c r="O34" s="103">
        <f t="shared" si="5"/>
        <v>0</v>
      </c>
      <c r="P34" s="5"/>
    </row>
    <row r="35" ht="18.0" customHeight="1">
      <c r="A35" s="104" t="s">
        <v>209</v>
      </c>
      <c r="B35" s="85"/>
      <c r="C35" s="105">
        <f t="shared" ref="C35:E35" si="6">SUM(C5:C34)</f>
        <v>541.1870513</v>
      </c>
      <c r="D35" s="105">
        <f t="shared" si="6"/>
        <v>84425.18</v>
      </c>
      <c r="E35" s="106">
        <f t="shared" si="6"/>
        <v>1</v>
      </c>
      <c r="F35" s="11"/>
      <c r="G35" s="105">
        <f t="shared" ref="G35:H35" si="7">SUM(G5:G34)</f>
        <v>0</v>
      </c>
      <c r="H35" s="105">
        <f t="shared" si="7"/>
        <v>0</v>
      </c>
      <c r="I35" s="11"/>
      <c r="J35" s="104" t="s">
        <v>210</v>
      </c>
      <c r="K35" s="85"/>
      <c r="L35" s="105">
        <f t="shared" ref="L35:O35" si="8">SUM(L5:L34)</f>
        <v>13634.6</v>
      </c>
      <c r="M35" s="105">
        <f t="shared" si="8"/>
        <v>0</v>
      </c>
      <c r="N35" s="105">
        <f t="shared" si="8"/>
        <v>13634.6</v>
      </c>
      <c r="O35" s="105">
        <f t="shared" si="8"/>
        <v>0</v>
      </c>
      <c r="P35" s="5"/>
    </row>
    <row r="36" ht="18.0" customHeight="1">
      <c r="A36" s="104" t="s">
        <v>211</v>
      </c>
      <c r="B36" s="85"/>
      <c r="C36" s="110">
        <f t="shared" ref="C36:E36" si="9">SUM(C5:C18,C20:C34)</f>
        <v>451.4434615</v>
      </c>
      <c r="D36" s="110">
        <f t="shared" si="9"/>
        <v>70425.18</v>
      </c>
      <c r="E36" s="110">
        <f t="shared" si="9"/>
        <v>0.8341726959</v>
      </c>
      <c r="F36" s="11"/>
      <c r="G36" s="110">
        <f t="shared" ref="G36:H36" si="10">SUM(G5:G18,G20:G34)</f>
        <v>0</v>
      </c>
      <c r="H36" s="110">
        <f t="shared" si="10"/>
        <v>0</v>
      </c>
      <c r="I36" s="11"/>
      <c r="J36" s="104" t="s">
        <v>212</v>
      </c>
      <c r="K36" s="85"/>
      <c r="L36" s="110">
        <f t="shared" ref="L36:O36" si="11">SUM(L5:L18,L20:L34)</f>
        <v>9634.6</v>
      </c>
      <c r="M36" s="110">
        <f t="shared" si="11"/>
        <v>0</v>
      </c>
      <c r="N36" s="110">
        <f t="shared" si="11"/>
        <v>9634.6</v>
      </c>
      <c r="O36" s="110">
        <f t="shared" si="11"/>
        <v>0</v>
      </c>
      <c r="P36" s="5"/>
    </row>
    <row r="37" ht="18.0" customHeight="1">
      <c r="A37" s="11"/>
      <c r="B37" s="11"/>
      <c r="C37" s="11"/>
      <c r="D37" s="11"/>
      <c r="E37" s="11"/>
      <c r="F37" s="11"/>
      <c r="G37" s="11"/>
      <c r="H37" s="11"/>
      <c r="I37" s="11"/>
      <c r="J37" s="5"/>
      <c r="K37" s="5"/>
      <c r="L37" s="5"/>
      <c r="M37" s="5"/>
      <c r="N37" s="5"/>
      <c r="O37" s="5"/>
      <c r="P37" s="5"/>
    </row>
    <row r="38" ht="15.0" customHeight="1">
      <c r="A38" s="11"/>
      <c r="B38" s="11"/>
      <c r="C38" s="11"/>
      <c r="D38" s="11"/>
      <c r="E38" s="11"/>
      <c r="F38" s="11"/>
      <c r="G38" s="11"/>
      <c r="H38" s="11"/>
      <c r="I38" s="11"/>
      <c r="J38" s="5"/>
      <c r="K38" s="5"/>
      <c r="L38" s="5"/>
      <c r="M38" s="5"/>
      <c r="N38" s="5"/>
      <c r="O38" s="5"/>
      <c r="P38" s="5"/>
    </row>
    <row r="39" ht="15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5"/>
      <c r="P39" s="5"/>
    </row>
    <row r="40" ht="15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5"/>
      <c r="P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mergeCells count="9">
    <mergeCell ref="J35:K35"/>
    <mergeCell ref="J36:K36"/>
    <mergeCell ref="A1:O1"/>
    <mergeCell ref="A2:H2"/>
    <mergeCell ref="J2:O2"/>
    <mergeCell ref="A3:B3"/>
    <mergeCell ref="D3:E3"/>
    <mergeCell ref="A35:B35"/>
    <mergeCell ref="A36:B36"/>
  </mergeCells>
  <conditionalFormatting sqref="C5:C34">
    <cfRule type="colorScale" priority="1">
      <colorScale>
        <cfvo type="min" val="0"/>
        <cfvo type="percentile" val="30"/>
        <cfvo type="max" val="0"/>
        <color rgb="FF57BB8A"/>
        <color rgb="FFFFFFFF"/>
        <color rgb="FFE67C73"/>
      </colorScale>
    </cfRule>
  </conditionalFormatting>
  <conditionalFormatting sqref="D5:D34">
    <cfRule type="colorScale" priority="2">
      <colorScale>
        <cfvo type="min" val="0"/>
        <cfvo type="percentile" val="30"/>
        <cfvo type="max" val="0"/>
        <color rgb="FF57BB8A"/>
        <color rgb="FFFFFFFF"/>
        <color rgb="FFE67C73"/>
      </colorScale>
    </cfRule>
  </conditionalFormatting>
  <conditionalFormatting sqref="E5:E34">
    <cfRule type="colorScale" priority="3">
      <colorScale>
        <cfvo type="min" val="0"/>
        <cfvo type="percentile" val="30"/>
        <cfvo type="max" val="0"/>
        <color rgb="FF57BB8A"/>
        <color rgb="FFFFFFFF"/>
        <color rgb="FFE67C73"/>
      </colorScale>
    </cfRule>
  </conditionalFormatting>
  <conditionalFormatting sqref="L5:L34">
    <cfRule type="colorScale" priority="4">
      <colorScale>
        <cfvo type="min" val="0"/>
        <cfvo type="max" val="0"/>
        <color rgb="FFFFFFFF"/>
        <color rgb="FFE67C73"/>
      </colorScale>
    </cfRule>
  </conditionalFormatting>
  <conditionalFormatting sqref="L5:L34 N5:N34">
    <cfRule type="colorScale" priority="5">
      <colorScale>
        <cfvo type="min" val="0"/>
        <cfvo type="max" val="0"/>
        <color rgb="FFFFFFFF"/>
        <color rgb="FFE67C73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2.0"/>
    <col customWidth="1" min="2" max="2" width="7.0"/>
    <col customWidth="1" min="3" max="4" width="12.0"/>
    <col customWidth="1" min="5" max="7" width="14.0"/>
    <col customWidth="1" min="8" max="9" width="13.0"/>
    <col customWidth="1" min="10" max="12" width="14.0"/>
    <col customWidth="1" min="13" max="13" width="37.86"/>
    <col customWidth="1" hidden="1" min="14" max="15" width="14.0"/>
    <col customWidth="1" hidden="1" min="16" max="16" width="8.71"/>
  </cols>
  <sheetData>
    <row r="1" ht="33.75" customHeight="1">
      <c r="A1" s="11"/>
      <c r="B1" s="107" t="str">
        <f>"🤯 Average Expenses you do ₹"&amp;TEXT(IFERROR(AVERAGEIF(E5:E24,"&gt;0"),0),"##,##0.00")</f>
        <v>🤯 Average Expenses you do ₹16,885.04</v>
      </c>
      <c r="C1" s="108"/>
      <c r="D1" s="108"/>
      <c r="E1" s="108"/>
      <c r="F1" s="109"/>
      <c r="G1" s="111" t="str">
        <f>"💰 Average Income you do ₹"&amp;TEXT(IFERROR(AVERAGEIF(F5:F24,"&gt;0"),0),"##,##0.00")</f>
        <v>💰 Average Income you do ₹22,749.60</v>
      </c>
      <c r="H1" s="112"/>
      <c r="I1" s="112"/>
      <c r="J1" s="113"/>
      <c r="K1" s="114" t="str">
        <f>"🪙 Average Saving you do ₹"&amp;TEXT(IFERROR(AVERAGEIF(G5:G24,"&gt;0"),0),"##,##0.00")</f>
        <v>🪙 Average Saving you do ₹9,154.46</v>
      </c>
      <c r="L1" s="115"/>
      <c r="M1" s="116"/>
      <c r="N1" s="11"/>
      <c r="O1" s="11"/>
      <c r="P1" s="11"/>
      <c r="Q1" s="5"/>
      <c r="R1" s="5"/>
      <c r="S1" s="5"/>
      <c r="T1" s="5"/>
      <c r="U1" s="5"/>
      <c r="V1" s="5"/>
      <c r="W1" s="5"/>
      <c r="X1" s="5"/>
      <c r="Y1" s="5"/>
      <c r="Z1" s="5"/>
    </row>
    <row r="2" ht="6.0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7"/>
      <c r="N2" s="11"/>
      <c r="O2" s="11"/>
      <c r="P2" s="11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11"/>
      <c r="B3" s="118"/>
      <c r="C3" s="119" t="s">
        <v>213</v>
      </c>
      <c r="D3" s="85"/>
      <c r="E3" s="119" t="s">
        <v>214</v>
      </c>
      <c r="F3" s="84"/>
      <c r="G3" s="85"/>
      <c r="H3" s="119" t="s">
        <v>215</v>
      </c>
      <c r="I3" s="85"/>
      <c r="J3" s="119" t="s">
        <v>216</v>
      </c>
      <c r="K3" s="84"/>
      <c r="L3" s="85"/>
      <c r="M3" s="120"/>
      <c r="N3" s="11"/>
      <c r="O3" s="11"/>
      <c r="P3" s="11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11"/>
      <c r="B4" s="121" t="s">
        <v>7</v>
      </c>
      <c r="C4" s="121" t="s">
        <v>217</v>
      </c>
      <c r="D4" s="121" t="s">
        <v>218</v>
      </c>
      <c r="E4" s="121" t="s">
        <v>219</v>
      </c>
      <c r="F4" s="121" t="s">
        <v>220</v>
      </c>
      <c r="G4" s="121" t="s">
        <v>221</v>
      </c>
      <c r="H4" s="121" t="s">
        <v>222</v>
      </c>
      <c r="I4" s="121" t="s">
        <v>223</v>
      </c>
      <c r="J4" s="121" t="s">
        <v>219</v>
      </c>
      <c r="K4" s="121" t="s">
        <v>220</v>
      </c>
      <c r="L4" s="121" t="s">
        <v>221</v>
      </c>
      <c r="M4" s="121" t="s">
        <v>224</v>
      </c>
      <c r="N4" s="11"/>
      <c r="O4" s="11"/>
      <c r="P4" s="11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1"/>
      <c r="B5" s="122">
        <f t="shared" ref="B5:B144" si="1">ROW()-4</f>
        <v>1</v>
      </c>
      <c r="C5" s="123">
        <v>45689.0</v>
      </c>
      <c r="D5" s="123">
        <f t="shared" ref="D5:D144" si="2">EOMONTH(C5,0)</f>
        <v>45716</v>
      </c>
      <c r="E5" s="124">
        <f>IF($D5="","",IFERROR(SUMIFS(EXPENSES!$D:$D,EXPENSES!$A:$A,"&gt;="&amp;$C5,EXPENSES!$A:$A,"&lt;="&amp;$D5),"na"))</f>
        <v>0</v>
      </c>
      <c r="F5" s="124">
        <f>IF($D5="","",IFERROR(SUMIFS(INCOME!$C:$C,INCOME!$A:$A,"&gt;="&amp;$C5,INCOME!$A:$A,"&lt;="&amp;$D5),"na"))</f>
        <v>0</v>
      </c>
      <c r="G5" s="124">
        <f t="shared" ref="G5:G144" si="3">F5-E5</f>
        <v>0</v>
      </c>
      <c r="H5" s="125" t="str">
        <f t="shared" ref="H5:H144" si="4">IF(F5=0,"na",E5/F5)</f>
        <v>na</v>
      </c>
      <c r="I5" s="125" t="str">
        <f t="shared" ref="I5:I144" si="5">IF(F5=0,"na",G5/F5)</f>
        <v>na</v>
      </c>
      <c r="J5" s="126">
        <f>IFERROR(SUMPRODUCT(EXPENSES!D$4:D$1999),0)</f>
        <v>84425.18</v>
      </c>
      <c r="K5" s="126">
        <f>IFERROR(SUMPRODUCT((INCOME!D$4:D$501&lt;&gt;"Expense Money")*(INCOME!C$4:C$501&gt;0)*INCOME!C$4:C$501),0)</f>
        <v>113748</v>
      </c>
      <c r="L5" s="126">
        <f t="shared" ref="L5:L144" si="6">K5-J5</f>
        <v>29322.82</v>
      </c>
      <c r="M5" s="127"/>
      <c r="N5" s="11"/>
      <c r="O5" s="11"/>
      <c r="P5" s="11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11"/>
      <c r="B6" s="122">
        <f t="shared" si="1"/>
        <v>2</v>
      </c>
      <c r="C6" s="123">
        <f t="shared" ref="C6:C144" si="7">EDATE(C5,1)</f>
        <v>45717</v>
      </c>
      <c r="D6" s="123">
        <f t="shared" si="2"/>
        <v>45747</v>
      </c>
      <c r="E6" s="124">
        <f>IF($D6="","",IFERROR(SUMIFS(EXPENSES!$D:$D,EXPENSES!$A:$A,"&gt;="&amp;$C6,EXPENSES!$A:$A,"&lt;="&amp;$D6),"na"))</f>
        <v>9701</v>
      </c>
      <c r="F6" s="124">
        <f>IF($D6="","",IFERROR(SUMIFS(INCOME!$C:$C,INCOME!$A:$A,"&gt;="&amp;$C6,INCOME!$A:$A,"&lt;="&amp;$D6),"na"))</f>
        <v>21929</v>
      </c>
      <c r="G6" s="124">
        <f t="shared" si="3"/>
        <v>12228</v>
      </c>
      <c r="H6" s="125">
        <f t="shared" si="4"/>
        <v>0.4423822336</v>
      </c>
      <c r="I6" s="125">
        <f t="shared" si="5"/>
        <v>0.5576177664</v>
      </c>
      <c r="J6" s="126">
        <f>IFERROR(SUMPRODUCT(EXPENSES!$D:$D),0)</f>
        <v>84425.18</v>
      </c>
      <c r="K6" s="126">
        <f t="shared" ref="K6:K144" si="8">IF(F6="","",K$5)</f>
        <v>113748</v>
      </c>
      <c r="L6" s="126">
        <f t="shared" si="6"/>
        <v>29322.82</v>
      </c>
      <c r="M6" s="127"/>
      <c r="N6" s="11"/>
      <c r="O6" s="11"/>
      <c r="P6" s="11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1"/>
      <c r="B7" s="122">
        <f t="shared" si="1"/>
        <v>3</v>
      </c>
      <c r="C7" s="123">
        <f t="shared" si="7"/>
        <v>45748</v>
      </c>
      <c r="D7" s="123">
        <f t="shared" si="2"/>
        <v>45777</v>
      </c>
      <c r="E7" s="124">
        <f>IF($D7="","",IFERROR(SUMIFS(EXPENSES!$D:$D,EXPENSES!$A:$A,"&gt;="&amp;$C7,EXPENSES!$A:$A,"&lt;="&amp;$D7),"na"))</f>
        <v>29324</v>
      </c>
      <c r="F7" s="124">
        <f>IF($D7="","",IFERROR(SUMIFS(INCOME!$C:$C,INCOME!$A:$A,"&gt;="&amp;$C7,INCOME!$A:$A,"&lt;="&amp;$D7),"na"))</f>
        <v>22029</v>
      </c>
      <c r="G7" s="124">
        <f t="shared" si="3"/>
        <v>-7295</v>
      </c>
      <c r="H7" s="125">
        <f t="shared" si="4"/>
        <v>1.331154387</v>
      </c>
      <c r="I7" s="125">
        <f t="shared" si="5"/>
        <v>-0.3311543874</v>
      </c>
      <c r="J7" s="126">
        <f>IFERROR(SUMPRODUCT(EXPENSES!$D:$D),0)</f>
        <v>84425.18</v>
      </c>
      <c r="K7" s="126">
        <f t="shared" si="8"/>
        <v>113748</v>
      </c>
      <c r="L7" s="126">
        <f t="shared" si="6"/>
        <v>29322.82</v>
      </c>
      <c r="M7" s="127"/>
      <c r="N7" s="11"/>
      <c r="O7" s="11"/>
      <c r="P7" s="11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1"/>
      <c r="B8" s="122">
        <f t="shared" si="1"/>
        <v>4</v>
      </c>
      <c r="C8" s="123">
        <f t="shared" si="7"/>
        <v>45778</v>
      </c>
      <c r="D8" s="123">
        <f t="shared" si="2"/>
        <v>45808</v>
      </c>
      <c r="E8" s="124">
        <f>IF($D8="","",IFERROR(SUMIFS(EXPENSES!$D:$D,EXPENSES!$A:$A,"&gt;="&amp;$C8,EXPENSES!$A:$A,"&lt;="&amp;$D8),"na"))</f>
        <v>15477.58</v>
      </c>
      <c r="F8" s="124">
        <f>IF($D8="","",IFERROR(SUMIFS(INCOME!$C:$C,INCOME!$A:$A,"&gt;="&amp;$C8,INCOME!$A:$A,"&lt;="&amp;$D8),"na"))</f>
        <v>26029</v>
      </c>
      <c r="G8" s="124">
        <f t="shared" si="3"/>
        <v>10551.42</v>
      </c>
      <c r="H8" s="125">
        <f t="shared" si="4"/>
        <v>0.5946282992</v>
      </c>
      <c r="I8" s="125">
        <f t="shared" si="5"/>
        <v>0.4053717008</v>
      </c>
      <c r="J8" s="126">
        <f>IFERROR(SUMPRODUCT(EXPENSES!$D:$D),0)</f>
        <v>84425.18</v>
      </c>
      <c r="K8" s="126">
        <f t="shared" si="8"/>
        <v>113748</v>
      </c>
      <c r="L8" s="126">
        <f t="shared" si="6"/>
        <v>29322.82</v>
      </c>
      <c r="M8" s="127"/>
      <c r="N8" s="11"/>
      <c r="O8" s="11"/>
      <c r="P8" s="11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11"/>
      <c r="B9" s="122">
        <f t="shared" si="1"/>
        <v>5</v>
      </c>
      <c r="C9" s="123">
        <f t="shared" si="7"/>
        <v>45809</v>
      </c>
      <c r="D9" s="123">
        <f t="shared" si="2"/>
        <v>45838</v>
      </c>
      <c r="E9" s="124">
        <f>IF($D9="","",IFERROR(SUMIFS(EXPENSES!$D:$D,EXPENSES!$A:$A,"&gt;="&amp;$C9,EXPENSES!$A:$A,"&lt;="&amp;$D9),"na"))</f>
        <v>17420.6</v>
      </c>
      <c r="F9" s="124">
        <f>IF($D9="","",IFERROR(SUMIFS(INCOME!$C:$C,INCOME!$A:$A,"&gt;="&amp;$C9,INCOME!$A:$A,"&lt;="&amp;$D9),"na"))</f>
        <v>24446</v>
      </c>
      <c r="G9" s="124">
        <f t="shared" si="3"/>
        <v>7025.4</v>
      </c>
      <c r="H9" s="125">
        <f t="shared" si="4"/>
        <v>0.7126155608</v>
      </c>
      <c r="I9" s="125">
        <f t="shared" si="5"/>
        <v>0.2873844392</v>
      </c>
      <c r="J9" s="126">
        <f>IFERROR(SUMPRODUCT(EXPENSES!$D:$D),0)</f>
        <v>84425.18</v>
      </c>
      <c r="K9" s="126">
        <f t="shared" si="8"/>
        <v>113748</v>
      </c>
      <c r="L9" s="126">
        <f t="shared" si="6"/>
        <v>29322.82</v>
      </c>
      <c r="M9" s="127"/>
      <c r="N9" s="11"/>
      <c r="O9" s="11"/>
      <c r="P9" s="11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11"/>
      <c r="B10" s="122">
        <f t="shared" si="1"/>
        <v>6</v>
      </c>
      <c r="C10" s="123">
        <f t="shared" si="7"/>
        <v>45839</v>
      </c>
      <c r="D10" s="123">
        <f t="shared" si="2"/>
        <v>45869</v>
      </c>
      <c r="E10" s="124">
        <f>IF($D10="","",IFERROR(SUMIFS(EXPENSES!$D:$D,EXPENSES!$A:$A,"&gt;="&amp;$C10,EXPENSES!$A:$A,"&lt;="&amp;$D10),"na"))</f>
        <v>12502</v>
      </c>
      <c r="F10" s="124">
        <f>IF($D10="","",IFERROR(SUMIFS(INCOME!$C:$C,INCOME!$A:$A,"&gt;="&amp;$C10,INCOME!$A:$A,"&lt;="&amp;$D10),"na"))</f>
        <v>19315</v>
      </c>
      <c r="G10" s="124">
        <f t="shared" si="3"/>
        <v>6813</v>
      </c>
      <c r="H10" s="125">
        <f t="shared" si="4"/>
        <v>0.6472689619</v>
      </c>
      <c r="I10" s="125">
        <f t="shared" si="5"/>
        <v>0.3527310381</v>
      </c>
      <c r="J10" s="126">
        <f>IFERROR(SUMPRODUCT(EXPENSES!$D:$D),0)</f>
        <v>84425.18</v>
      </c>
      <c r="K10" s="126">
        <f t="shared" si="8"/>
        <v>113748</v>
      </c>
      <c r="L10" s="126">
        <f t="shared" si="6"/>
        <v>29322.82</v>
      </c>
      <c r="M10" s="127"/>
      <c r="N10" s="11"/>
      <c r="O10" s="11"/>
      <c r="P10" s="11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11"/>
      <c r="B11" s="122">
        <f t="shared" si="1"/>
        <v>7</v>
      </c>
      <c r="C11" s="123">
        <f t="shared" si="7"/>
        <v>45870</v>
      </c>
      <c r="D11" s="123">
        <f t="shared" si="2"/>
        <v>45900</v>
      </c>
      <c r="E11" s="124">
        <f>IF($D11="","",IFERROR(SUMIFS(EXPENSES!$D:$D,EXPENSES!$A:$A,"&gt;="&amp;$C11,EXPENSES!$A:$A,"&lt;="&amp;$D11),"na"))</f>
        <v>0</v>
      </c>
      <c r="F11" s="124">
        <f>IF($D11="","",IFERROR(SUMIFS(INCOME!$C:$C,INCOME!$A:$A,"&gt;="&amp;$C11,INCOME!$A:$A,"&lt;="&amp;$D11),"na"))</f>
        <v>0</v>
      </c>
      <c r="G11" s="124">
        <f t="shared" si="3"/>
        <v>0</v>
      </c>
      <c r="H11" s="125" t="str">
        <f t="shared" si="4"/>
        <v>na</v>
      </c>
      <c r="I11" s="125" t="str">
        <f t="shared" si="5"/>
        <v>na</v>
      </c>
      <c r="J11" s="126">
        <f>IFERROR(SUMPRODUCT(EXPENSES!$D:$D),0)</f>
        <v>84425.18</v>
      </c>
      <c r="K11" s="126">
        <f t="shared" si="8"/>
        <v>113748</v>
      </c>
      <c r="L11" s="126">
        <f t="shared" si="6"/>
        <v>29322.82</v>
      </c>
      <c r="M11" s="127"/>
      <c r="N11" s="11"/>
      <c r="O11" s="11"/>
      <c r="P11" s="11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11"/>
      <c r="B12" s="122">
        <f t="shared" si="1"/>
        <v>8</v>
      </c>
      <c r="C12" s="123">
        <f t="shared" si="7"/>
        <v>45901</v>
      </c>
      <c r="D12" s="123">
        <f t="shared" si="2"/>
        <v>45930</v>
      </c>
      <c r="E12" s="124">
        <f>IF($D12="","",IFERROR(SUMIFS(EXPENSES!$D:$D,EXPENSES!$A:$A,"&gt;="&amp;$C12,EXPENSES!$A:$A,"&lt;="&amp;$D12),"na"))</f>
        <v>0</v>
      </c>
      <c r="F12" s="124">
        <f>IF($D12="","",IFERROR(SUMIFS(INCOME!$C:$C,INCOME!$A:$A,"&gt;="&amp;$C12,INCOME!$A:$A,"&lt;="&amp;$D12),"na"))</f>
        <v>0</v>
      </c>
      <c r="G12" s="124">
        <f t="shared" si="3"/>
        <v>0</v>
      </c>
      <c r="H12" s="125" t="str">
        <f t="shared" si="4"/>
        <v>na</v>
      </c>
      <c r="I12" s="125" t="str">
        <f t="shared" si="5"/>
        <v>na</v>
      </c>
      <c r="J12" s="126">
        <f>IFERROR(SUMPRODUCT(EXPENSES!$D:$D),0)</f>
        <v>84425.18</v>
      </c>
      <c r="K12" s="126">
        <f t="shared" si="8"/>
        <v>113748</v>
      </c>
      <c r="L12" s="126">
        <f t="shared" si="6"/>
        <v>29322.82</v>
      </c>
      <c r="M12" s="127"/>
      <c r="N12" s="11"/>
      <c r="O12" s="11"/>
      <c r="P12" s="11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11"/>
      <c r="B13" s="122">
        <f t="shared" si="1"/>
        <v>9</v>
      </c>
      <c r="C13" s="123">
        <f t="shared" si="7"/>
        <v>45931</v>
      </c>
      <c r="D13" s="123">
        <f t="shared" si="2"/>
        <v>45961</v>
      </c>
      <c r="E13" s="124">
        <f>IF($D13="","",IFERROR(SUMIFS(EXPENSES!$D:$D,EXPENSES!$A:$A,"&gt;="&amp;$C13,EXPENSES!$A:$A,"&lt;="&amp;$D13),"na"))</f>
        <v>0</v>
      </c>
      <c r="F13" s="124">
        <f>IF($D13="","",IFERROR(SUMIFS(INCOME!$C:$C,INCOME!$A:$A,"&gt;="&amp;$C13,INCOME!$A:$A,"&lt;="&amp;$D13),"na"))</f>
        <v>0</v>
      </c>
      <c r="G13" s="124">
        <f t="shared" si="3"/>
        <v>0</v>
      </c>
      <c r="H13" s="125" t="str">
        <f t="shared" si="4"/>
        <v>na</v>
      </c>
      <c r="I13" s="125" t="str">
        <f t="shared" si="5"/>
        <v>na</v>
      </c>
      <c r="J13" s="126">
        <f>IFERROR(SUMPRODUCT(EXPENSES!$D:$D),0)</f>
        <v>84425.18</v>
      </c>
      <c r="K13" s="126">
        <f t="shared" si="8"/>
        <v>113748</v>
      </c>
      <c r="L13" s="126">
        <f t="shared" si="6"/>
        <v>29322.82</v>
      </c>
      <c r="M13" s="127"/>
      <c r="N13" s="11"/>
      <c r="O13" s="11"/>
      <c r="P13" s="11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11"/>
      <c r="B14" s="122">
        <f t="shared" si="1"/>
        <v>10</v>
      </c>
      <c r="C14" s="123">
        <f t="shared" si="7"/>
        <v>45962</v>
      </c>
      <c r="D14" s="123">
        <f t="shared" si="2"/>
        <v>45991</v>
      </c>
      <c r="E14" s="124">
        <f>IF($D14="","",IFERROR(SUMIFS(EXPENSES!$D:$D,EXPENSES!$A:$A,"&gt;="&amp;$C14,EXPENSES!$A:$A,"&lt;="&amp;$D14),"na"))</f>
        <v>0</v>
      </c>
      <c r="F14" s="124">
        <f>IF($D14="","",IFERROR(SUMIFS(INCOME!$C:$C,INCOME!$A:$A,"&gt;="&amp;$C14,INCOME!$A:$A,"&lt;="&amp;$D14),"na"))</f>
        <v>0</v>
      </c>
      <c r="G14" s="124">
        <f t="shared" si="3"/>
        <v>0</v>
      </c>
      <c r="H14" s="125" t="str">
        <f t="shared" si="4"/>
        <v>na</v>
      </c>
      <c r="I14" s="125" t="str">
        <f t="shared" si="5"/>
        <v>na</v>
      </c>
      <c r="J14" s="126">
        <f>IFERROR(SUMPRODUCT(EXPENSES!$D:$D),0)</f>
        <v>84425.18</v>
      </c>
      <c r="K14" s="126">
        <f t="shared" si="8"/>
        <v>113748</v>
      </c>
      <c r="L14" s="126">
        <f t="shared" si="6"/>
        <v>29322.82</v>
      </c>
      <c r="M14" s="127"/>
      <c r="N14" s="11"/>
      <c r="O14" s="11"/>
      <c r="P14" s="11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11"/>
      <c r="B15" s="122">
        <f t="shared" si="1"/>
        <v>11</v>
      </c>
      <c r="C15" s="123">
        <f t="shared" si="7"/>
        <v>45992</v>
      </c>
      <c r="D15" s="123">
        <f t="shared" si="2"/>
        <v>46022</v>
      </c>
      <c r="E15" s="124">
        <f>IF($D15="","",IFERROR(SUMIFS(EXPENSES!$D:$D,EXPENSES!$A:$A,"&gt;="&amp;$C15,EXPENSES!$A:$A,"&lt;="&amp;$D15),"na"))</f>
        <v>0</v>
      </c>
      <c r="F15" s="124">
        <f>IF($D15="","",IFERROR(SUMIFS(INCOME!$C:$C,INCOME!$A:$A,"&gt;="&amp;$C15,INCOME!$A:$A,"&lt;="&amp;$D15),"na"))</f>
        <v>0</v>
      </c>
      <c r="G15" s="124">
        <f t="shared" si="3"/>
        <v>0</v>
      </c>
      <c r="H15" s="125" t="str">
        <f t="shared" si="4"/>
        <v>na</v>
      </c>
      <c r="I15" s="125" t="str">
        <f t="shared" si="5"/>
        <v>na</v>
      </c>
      <c r="J15" s="126">
        <f>IFERROR(SUMPRODUCT(EXPENSES!$D:$D),0)</f>
        <v>84425.18</v>
      </c>
      <c r="K15" s="126">
        <f t="shared" si="8"/>
        <v>113748</v>
      </c>
      <c r="L15" s="126">
        <f t="shared" si="6"/>
        <v>29322.82</v>
      </c>
      <c r="M15" s="127"/>
      <c r="N15" s="11"/>
      <c r="O15" s="11"/>
      <c r="P15" s="11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11"/>
      <c r="B16" s="122">
        <f t="shared" si="1"/>
        <v>12</v>
      </c>
      <c r="C16" s="123">
        <f t="shared" si="7"/>
        <v>46023</v>
      </c>
      <c r="D16" s="123">
        <f t="shared" si="2"/>
        <v>46053</v>
      </c>
      <c r="E16" s="124">
        <f>IF($D16="","",IFERROR(SUMIFS(EXPENSES!$D:$D,EXPENSES!$A:$A,"&gt;="&amp;$C16,EXPENSES!$A:$A,"&lt;="&amp;$D16),"na"))</f>
        <v>0</v>
      </c>
      <c r="F16" s="124">
        <f>IF($D16="","",IFERROR(SUMIFS(INCOME!$C:$C,INCOME!$A:$A,"&gt;="&amp;$C16,INCOME!$A:$A,"&lt;="&amp;$D16),"na"))</f>
        <v>0</v>
      </c>
      <c r="G16" s="124">
        <f t="shared" si="3"/>
        <v>0</v>
      </c>
      <c r="H16" s="125" t="str">
        <f t="shared" si="4"/>
        <v>na</v>
      </c>
      <c r="I16" s="125" t="str">
        <f t="shared" si="5"/>
        <v>na</v>
      </c>
      <c r="J16" s="126">
        <f>IFERROR(SUMPRODUCT(EXPENSES!$D:$D),0)</f>
        <v>84425.18</v>
      </c>
      <c r="K16" s="126">
        <f t="shared" si="8"/>
        <v>113748</v>
      </c>
      <c r="L16" s="126">
        <f t="shared" si="6"/>
        <v>29322.82</v>
      </c>
      <c r="M16" s="127"/>
      <c r="N16" s="11"/>
      <c r="O16" s="11"/>
      <c r="P16" s="11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11"/>
      <c r="B17" s="122">
        <f t="shared" si="1"/>
        <v>13</v>
      </c>
      <c r="C17" s="123">
        <f t="shared" si="7"/>
        <v>46054</v>
      </c>
      <c r="D17" s="123">
        <f t="shared" si="2"/>
        <v>46081</v>
      </c>
      <c r="E17" s="124">
        <f>IF($D17="","",IFERROR(SUMIFS(EXPENSES!$D:$D,EXPENSES!$A:$A,"&gt;="&amp;$C17,EXPENSES!$A:$A,"&lt;="&amp;$D17),"na"))</f>
        <v>0</v>
      </c>
      <c r="F17" s="124">
        <f>IF($D17="","",IFERROR(SUMIFS(INCOME!$C:$C,INCOME!$A:$A,"&gt;="&amp;$C17,INCOME!$A:$A,"&lt;="&amp;$D17),"na"))</f>
        <v>0</v>
      </c>
      <c r="G17" s="124">
        <f t="shared" si="3"/>
        <v>0</v>
      </c>
      <c r="H17" s="125" t="str">
        <f t="shared" si="4"/>
        <v>na</v>
      </c>
      <c r="I17" s="125" t="str">
        <f t="shared" si="5"/>
        <v>na</v>
      </c>
      <c r="J17" s="126">
        <f>IFERROR(SUMPRODUCT(EXPENSES!$D:$D),0)</f>
        <v>84425.18</v>
      </c>
      <c r="K17" s="126">
        <f t="shared" si="8"/>
        <v>113748</v>
      </c>
      <c r="L17" s="126">
        <f t="shared" si="6"/>
        <v>29322.82</v>
      </c>
      <c r="M17" s="127"/>
      <c r="N17" s="11"/>
      <c r="O17" s="11"/>
      <c r="P17" s="11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11"/>
      <c r="B18" s="122">
        <f t="shared" si="1"/>
        <v>14</v>
      </c>
      <c r="C18" s="123">
        <f t="shared" si="7"/>
        <v>46082</v>
      </c>
      <c r="D18" s="123">
        <f t="shared" si="2"/>
        <v>46112</v>
      </c>
      <c r="E18" s="124">
        <f>IF($D18="","",IFERROR(SUMIFS(EXPENSES!$D:$D,EXPENSES!$A:$A,"&gt;="&amp;$C18,EXPENSES!$A:$A,"&lt;="&amp;$D18),"na"))</f>
        <v>0</v>
      </c>
      <c r="F18" s="124">
        <f>IF($D18="","",IFERROR(SUMIFS(INCOME!$C:$C,INCOME!$A:$A,"&gt;="&amp;$C18,INCOME!$A:$A,"&lt;="&amp;$D18),"na"))</f>
        <v>0</v>
      </c>
      <c r="G18" s="124">
        <f t="shared" si="3"/>
        <v>0</v>
      </c>
      <c r="H18" s="125" t="str">
        <f t="shared" si="4"/>
        <v>na</v>
      </c>
      <c r="I18" s="125" t="str">
        <f t="shared" si="5"/>
        <v>na</v>
      </c>
      <c r="J18" s="126">
        <f>IFERROR(SUMPRODUCT(EXPENSES!$D:$D),0)</f>
        <v>84425.18</v>
      </c>
      <c r="K18" s="126">
        <f t="shared" si="8"/>
        <v>113748</v>
      </c>
      <c r="L18" s="126">
        <f t="shared" si="6"/>
        <v>29322.82</v>
      </c>
      <c r="M18" s="127"/>
      <c r="N18" s="11"/>
      <c r="O18" s="11"/>
      <c r="P18" s="11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11"/>
      <c r="B19" s="122">
        <f t="shared" si="1"/>
        <v>15</v>
      </c>
      <c r="C19" s="123">
        <f t="shared" si="7"/>
        <v>46113</v>
      </c>
      <c r="D19" s="123">
        <f t="shared" si="2"/>
        <v>46142</v>
      </c>
      <c r="E19" s="124">
        <f>IF($D19="","",IFERROR(SUMIFS(EXPENSES!$D:$D,EXPENSES!$A:$A,"&gt;="&amp;$C19,EXPENSES!$A:$A,"&lt;="&amp;$D19),"na"))</f>
        <v>0</v>
      </c>
      <c r="F19" s="124">
        <f>IF($D19="","",IFERROR(SUMIFS(INCOME!$C:$C,INCOME!$A:$A,"&gt;="&amp;$C19,INCOME!$A:$A,"&lt;="&amp;$D19),"na"))</f>
        <v>0</v>
      </c>
      <c r="G19" s="124">
        <f t="shared" si="3"/>
        <v>0</v>
      </c>
      <c r="H19" s="125" t="str">
        <f t="shared" si="4"/>
        <v>na</v>
      </c>
      <c r="I19" s="125" t="str">
        <f t="shared" si="5"/>
        <v>na</v>
      </c>
      <c r="J19" s="126">
        <f>IFERROR(SUMPRODUCT(EXPENSES!$D:$D),0)</f>
        <v>84425.18</v>
      </c>
      <c r="K19" s="126">
        <f t="shared" si="8"/>
        <v>113748</v>
      </c>
      <c r="L19" s="126">
        <f t="shared" si="6"/>
        <v>29322.82</v>
      </c>
      <c r="M19" s="127"/>
      <c r="N19" s="11"/>
      <c r="O19" s="11"/>
      <c r="P19" s="11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11"/>
      <c r="B20" s="122">
        <f t="shared" si="1"/>
        <v>16</v>
      </c>
      <c r="C20" s="123">
        <f t="shared" si="7"/>
        <v>46143</v>
      </c>
      <c r="D20" s="123">
        <f t="shared" si="2"/>
        <v>46173</v>
      </c>
      <c r="E20" s="124">
        <f>IF($D20="","",IFERROR(SUMIFS(EXPENSES!$D:$D,EXPENSES!$A:$A,"&gt;="&amp;$C20,EXPENSES!$A:$A,"&lt;="&amp;$D20),"na"))</f>
        <v>0</v>
      </c>
      <c r="F20" s="124">
        <f>IF($D20="","",IFERROR(SUMIFS(INCOME!$C:$C,INCOME!$A:$A,"&gt;="&amp;$C20,INCOME!$A:$A,"&lt;="&amp;$D20),"na"))</f>
        <v>0</v>
      </c>
      <c r="G20" s="124">
        <f t="shared" si="3"/>
        <v>0</v>
      </c>
      <c r="H20" s="125" t="str">
        <f t="shared" si="4"/>
        <v>na</v>
      </c>
      <c r="I20" s="125" t="str">
        <f t="shared" si="5"/>
        <v>na</v>
      </c>
      <c r="J20" s="126">
        <f>IFERROR(SUMPRODUCT(EXPENSES!$D:$D),0)</f>
        <v>84425.18</v>
      </c>
      <c r="K20" s="126">
        <f t="shared" si="8"/>
        <v>113748</v>
      </c>
      <c r="L20" s="126">
        <f t="shared" si="6"/>
        <v>29322.82</v>
      </c>
      <c r="M20" s="127"/>
      <c r="N20" s="11"/>
      <c r="O20" s="11"/>
      <c r="P20" s="11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11"/>
      <c r="B21" s="122">
        <f t="shared" si="1"/>
        <v>17</v>
      </c>
      <c r="C21" s="123">
        <f t="shared" si="7"/>
        <v>46174</v>
      </c>
      <c r="D21" s="123">
        <f t="shared" si="2"/>
        <v>46203</v>
      </c>
      <c r="E21" s="124">
        <f>IF($D21="","",IFERROR(SUMIFS(EXPENSES!$D:$D,EXPENSES!$A:$A,"&gt;="&amp;$C21,EXPENSES!$A:$A,"&lt;="&amp;$D21),"na"))</f>
        <v>0</v>
      </c>
      <c r="F21" s="124">
        <f>IF($D21="","",IFERROR(SUMIFS(INCOME!$C:$C,INCOME!$A:$A,"&gt;="&amp;$C21,INCOME!$A:$A,"&lt;="&amp;$D21),"na"))</f>
        <v>0</v>
      </c>
      <c r="G21" s="124">
        <f t="shared" si="3"/>
        <v>0</v>
      </c>
      <c r="H21" s="125" t="str">
        <f t="shared" si="4"/>
        <v>na</v>
      </c>
      <c r="I21" s="125" t="str">
        <f t="shared" si="5"/>
        <v>na</v>
      </c>
      <c r="J21" s="126">
        <f>IFERROR(SUMPRODUCT(EXPENSES!$D:$D),0)</f>
        <v>84425.18</v>
      </c>
      <c r="K21" s="126">
        <f t="shared" si="8"/>
        <v>113748</v>
      </c>
      <c r="L21" s="126">
        <f t="shared" si="6"/>
        <v>29322.82</v>
      </c>
      <c r="M21" s="127"/>
      <c r="N21" s="11"/>
      <c r="O21" s="11"/>
      <c r="P21" s="11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11"/>
      <c r="B22" s="122">
        <f t="shared" si="1"/>
        <v>18</v>
      </c>
      <c r="C22" s="123">
        <f t="shared" si="7"/>
        <v>46204</v>
      </c>
      <c r="D22" s="123">
        <f t="shared" si="2"/>
        <v>46234</v>
      </c>
      <c r="E22" s="124">
        <f>IF($D22="","",IFERROR(SUMIFS(EXPENSES!$D:$D,EXPENSES!$A:$A,"&gt;="&amp;$C22,EXPENSES!$A:$A,"&lt;="&amp;$D22),"na"))</f>
        <v>0</v>
      </c>
      <c r="F22" s="124">
        <f>IF($D22="","",IFERROR(SUMIFS(INCOME!$C:$C,INCOME!$A:$A,"&gt;="&amp;$C22,INCOME!$A:$A,"&lt;="&amp;$D22),"na"))</f>
        <v>0</v>
      </c>
      <c r="G22" s="124">
        <f t="shared" si="3"/>
        <v>0</v>
      </c>
      <c r="H22" s="125" t="str">
        <f t="shared" si="4"/>
        <v>na</v>
      </c>
      <c r="I22" s="125" t="str">
        <f t="shared" si="5"/>
        <v>na</v>
      </c>
      <c r="J22" s="126">
        <f>IFERROR(SUMPRODUCT(EXPENSES!$D:$D),0)</f>
        <v>84425.18</v>
      </c>
      <c r="K22" s="126">
        <f t="shared" si="8"/>
        <v>113748</v>
      </c>
      <c r="L22" s="126">
        <f t="shared" si="6"/>
        <v>29322.82</v>
      </c>
      <c r="M22" s="127"/>
      <c r="N22" s="11"/>
      <c r="O22" s="11"/>
      <c r="P22" s="11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11"/>
      <c r="B23" s="122">
        <f t="shared" si="1"/>
        <v>19</v>
      </c>
      <c r="C23" s="123">
        <f t="shared" si="7"/>
        <v>46235</v>
      </c>
      <c r="D23" s="123">
        <f t="shared" si="2"/>
        <v>46265</v>
      </c>
      <c r="E23" s="124">
        <f>IF($D23="","",IFERROR(SUMIFS(EXPENSES!$D:$D,EXPENSES!$A:$A,"&gt;="&amp;$C23,EXPENSES!$A:$A,"&lt;="&amp;$D23),"na"))</f>
        <v>0</v>
      </c>
      <c r="F23" s="124">
        <f>IF($D23="","",IFERROR(SUMIFS(INCOME!$C:$C,INCOME!$A:$A,"&gt;="&amp;$C23,INCOME!$A:$A,"&lt;="&amp;$D23),"na"))</f>
        <v>0</v>
      </c>
      <c r="G23" s="124">
        <f t="shared" si="3"/>
        <v>0</v>
      </c>
      <c r="H23" s="125" t="str">
        <f t="shared" si="4"/>
        <v>na</v>
      </c>
      <c r="I23" s="125" t="str">
        <f t="shared" si="5"/>
        <v>na</v>
      </c>
      <c r="J23" s="126">
        <f>IFERROR(SUMPRODUCT(EXPENSES!$D:$D),0)</f>
        <v>84425.18</v>
      </c>
      <c r="K23" s="126">
        <f t="shared" si="8"/>
        <v>113748</v>
      </c>
      <c r="L23" s="126">
        <f t="shared" si="6"/>
        <v>29322.82</v>
      </c>
      <c r="M23" s="127"/>
      <c r="N23" s="11"/>
      <c r="O23" s="11"/>
      <c r="P23" s="11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11"/>
      <c r="B24" s="122">
        <f t="shared" si="1"/>
        <v>20</v>
      </c>
      <c r="C24" s="123">
        <f t="shared" si="7"/>
        <v>46266</v>
      </c>
      <c r="D24" s="123">
        <f t="shared" si="2"/>
        <v>46295</v>
      </c>
      <c r="E24" s="124">
        <f>IF($D24="","",IFERROR(SUMIFS(EXPENSES!$D:$D,EXPENSES!$A:$A,"&gt;="&amp;$C24,EXPENSES!$A:$A,"&lt;="&amp;$D24),"na"))</f>
        <v>0</v>
      </c>
      <c r="F24" s="124">
        <f>IF($D24="","",IFERROR(SUMIFS(INCOME!$C:$C,INCOME!$A:$A,"&gt;="&amp;$C24,INCOME!$A:$A,"&lt;="&amp;$D24),"na"))</f>
        <v>0</v>
      </c>
      <c r="G24" s="124">
        <f t="shared" si="3"/>
        <v>0</v>
      </c>
      <c r="H24" s="125" t="str">
        <f t="shared" si="4"/>
        <v>na</v>
      </c>
      <c r="I24" s="125" t="str">
        <f t="shared" si="5"/>
        <v>na</v>
      </c>
      <c r="J24" s="126">
        <f>IFERROR(SUMPRODUCT(EXPENSES!$D:$D),0)</f>
        <v>84425.18</v>
      </c>
      <c r="K24" s="126">
        <f t="shared" si="8"/>
        <v>113748</v>
      </c>
      <c r="L24" s="126">
        <f t="shared" si="6"/>
        <v>29322.82</v>
      </c>
      <c r="M24" s="127"/>
      <c r="N24" s="11"/>
      <c r="O24" s="11"/>
      <c r="P24" s="11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11"/>
      <c r="B25" s="122">
        <f t="shared" si="1"/>
        <v>21</v>
      </c>
      <c r="C25" s="123">
        <f t="shared" si="7"/>
        <v>46296</v>
      </c>
      <c r="D25" s="123">
        <f t="shared" si="2"/>
        <v>46326</v>
      </c>
      <c r="E25" s="124">
        <f>IF($D25="","",IFERROR(SUMIFS(EXPENSES!$D:$D,EXPENSES!$A:$A,"&gt;="&amp;$C25,EXPENSES!$A:$A,"&lt;="&amp;$D25),"na"))</f>
        <v>0</v>
      </c>
      <c r="F25" s="124">
        <f>IF($D25="","",IFERROR(SUMIFS(INCOME!$C:$C,INCOME!$A:$A,"&gt;="&amp;$C25,INCOME!$A:$A,"&lt;="&amp;$D25),"na"))</f>
        <v>0</v>
      </c>
      <c r="G25" s="124">
        <f t="shared" si="3"/>
        <v>0</v>
      </c>
      <c r="H25" s="125" t="str">
        <f t="shared" si="4"/>
        <v>na</v>
      </c>
      <c r="I25" s="125" t="str">
        <f t="shared" si="5"/>
        <v>na</v>
      </c>
      <c r="J25" s="126">
        <f>IFERROR(SUMPRODUCT(EXPENSES!$D:$D),0)</f>
        <v>84425.18</v>
      </c>
      <c r="K25" s="126">
        <f t="shared" si="8"/>
        <v>113748</v>
      </c>
      <c r="L25" s="126">
        <f t="shared" si="6"/>
        <v>29322.82</v>
      </c>
      <c r="M25" s="127"/>
      <c r="N25" s="11"/>
      <c r="O25" s="11"/>
      <c r="P25" s="11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11"/>
      <c r="B26" s="122">
        <f t="shared" si="1"/>
        <v>22</v>
      </c>
      <c r="C26" s="123">
        <f t="shared" si="7"/>
        <v>46327</v>
      </c>
      <c r="D26" s="123">
        <f t="shared" si="2"/>
        <v>46356</v>
      </c>
      <c r="E26" s="124">
        <f>IF($D26="","",IFERROR(SUMIFS(EXPENSES!$D:$D,EXPENSES!$A:$A,"&gt;="&amp;$C26,EXPENSES!$A:$A,"&lt;="&amp;$D26),"na"))</f>
        <v>0</v>
      </c>
      <c r="F26" s="124">
        <f>IF($D26="","",IFERROR(SUMIFS(INCOME!$C:$C,INCOME!$A:$A,"&gt;="&amp;$C26,INCOME!$A:$A,"&lt;="&amp;$D26),"na"))</f>
        <v>0</v>
      </c>
      <c r="G26" s="124">
        <f t="shared" si="3"/>
        <v>0</v>
      </c>
      <c r="H26" s="125" t="str">
        <f t="shared" si="4"/>
        <v>na</v>
      </c>
      <c r="I26" s="125" t="str">
        <f t="shared" si="5"/>
        <v>na</v>
      </c>
      <c r="J26" s="126">
        <f>IFERROR(SUMPRODUCT(EXPENSES!$D:$D),0)</f>
        <v>84425.18</v>
      </c>
      <c r="K26" s="126">
        <f t="shared" si="8"/>
        <v>113748</v>
      </c>
      <c r="L26" s="126">
        <f t="shared" si="6"/>
        <v>29322.82</v>
      </c>
      <c r="M26" s="127"/>
      <c r="N26" s="11"/>
      <c r="O26" s="11"/>
      <c r="P26" s="11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11"/>
      <c r="B27" s="122">
        <f t="shared" si="1"/>
        <v>23</v>
      </c>
      <c r="C27" s="123">
        <f t="shared" si="7"/>
        <v>46357</v>
      </c>
      <c r="D27" s="123">
        <f t="shared" si="2"/>
        <v>46387</v>
      </c>
      <c r="E27" s="124">
        <f>IF($D27="","",IFERROR(SUMIFS(EXPENSES!$D:$D,EXPENSES!$A:$A,"&gt;="&amp;$C27,EXPENSES!$A:$A,"&lt;="&amp;$D27),"na"))</f>
        <v>0</v>
      </c>
      <c r="F27" s="124">
        <f>IF($D27="","",IFERROR(SUMIFS(INCOME!$C:$C,INCOME!$A:$A,"&gt;="&amp;$C27,INCOME!$A:$A,"&lt;="&amp;$D27),"na"))</f>
        <v>0</v>
      </c>
      <c r="G27" s="124">
        <f t="shared" si="3"/>
        <v>0</v>
      </c>
      <c r="H27" s="125" t="str">
        <f t="shared" si="4"/>
        <v>na</v>
      </c>
      <c r="I27" s="125" t="str">
        <f t="shared" si="5"/>
        <v>na</v>
      </c>
      <c r="J27" s="126">
        <f>IFERROR(SUMPRODUCT(EXPENSES!$D:$D),0)</f>
        <v>84425.18</v>
      </c>
      <c r="K27" s="126">
        <f t="shared" si="8"/>
        <v>113748</v>
      </c>
      <c r="L27" s="126">
        <f t="shared" si="6"/>
        <v>29322.82</v>
      </c>
      <c r="M27" s="127"/>
      <c r="N27" s="11"/>
      <c r="O27" s="11"/>
      <c r="P27" s="11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11"/>
      <c r="B28" s="122">
        <f t="shared" si="1"/>
        <v>24</v>
      </c>
      <c r="C28" s="123">
        <f t="shared" si="7"/>
        <v>46388</v>
      </c>
      <c r="D28" s="123">
        <f t="shared" si="2"/>
        <v>46418</v>
      </c>
      <c r="E28" s="124">
        <f>IF($D28="","",IFERROR(SUMIFS(EXPENSES!$D:$D,EXPENSES!$A:$A,"&gt;="&amp;$C28,EXPENSES!$A:$A,"&lt;="&amp;$D28),"na"))</f>
        <v>0</v>
      </c>
      <c r="F28" s="124">
        <f>IF($D28="","",IFERROR(SUMIFS(INCOME!$C:$C,INCOME!$A:$A,"&gt;="&amp;$C28,INCOME!$A:$A,"&lt;="&amp;$D28),"na"))</f>
        <v>0</v>
      </c>
      <c r="G28" s="124">
        <f t="shared" si="3"/>
        <v>0</v>
      </c>
      <c r="H28" s="125" t="str">
        <f t="shared" si="4"/>
        <v>na</v>
      </c>
      <c r="I28" s="125" t="str">
        <f t="shared" si="5"/>
        <v>na</v>
      </c>
      <c r="J28" s="126">
        <f>IFERROR(SUMPRODUCT(EXPENSES!$D:$D),0)</f>
        <v>84425.18</v>
      </c>
      <c r="K28" s="126">
        <f t="shared" si="8"/>
        <v>113748</v>
      </c>
      <c r="L28" s="126">
        <f t="shared" si="6"/>
        <v>29322.82</v>
      </c>
      <c r="M28" s="127"/>
      <c r="N28" s="11"/>
      <c r="O28" s="11"/>
      <c r="P28" s="11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11"/>
      <c r="B29" s="122">
        <f t="shared" si="1"/>
        <v>25</v>
      </c>
      <c r="C29" s="123">
        <f t="shared" si="7"/>
        <v>46419</v>
      </c>
      <c r="D29" s="123">
        <f t="shared" si="2"/>
        <v>46446</v>
      </c>
      <c r="E29" s="124">
        <f>IF($D29="","",IFERROR(SUMIFS(EXPENSES!$D:$D,EXPENSES!$A:$A,"&gt;="&amp;$C29,EXPENSES!$A:$A,"&lt;="&amp;$D29),"na"))</f>
        <v>0</v>
      </c>
      <c r="F29" s="124">
        <f>IF($D29="","",IFERROR(SUMIFS(INCOME!$C:$C,INCOME!$A:$A,"&gt;="&amp;$C29,INCOME!$A:$A,"&lt;="&amp;$D29),"na"))</f>
        <v>0</v>
      </c>
      <c r="G29" s="124">
        <f t="shared" si="3"/>
        <v>0</v>
      </c>
      <c r="H29" s="125" t="str">
        <f t="shared" si="4"/>
        <v>na</v>
      </c>
      <c r="I29" s="125" t="str">
        <f t="shared" si="5"/>
        <v>na</v>
      </c>
      <c r="J29" s="126">
        <f>IFERROR(SUMPRODUCT(EXPENSES!$D:$D),0)</f>
        <v>84425.18</v>
      </c>
      <c r="K29" s="126">
        <f t="shared" si="8"/>
        <v>113748</v>
      </c>
      <c r="L29" s="126">
        <f t="shared" si="6"/>
        <v>29322.82</v>
      </c>
      <c r="M29" s="127"/>
      <c r="N29" s="11"/>
      <c r="O29" s="11"/>
      <c r="P29" s="11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1"/>
      <c r="B30" s="122">
        <f t="shared" si="1"/>
        <v>26</v>
      </c>
      <c r="C30" s="123">
        <f t="shared" si="7"/>
        <v>46447</v>
      </c>
      <c r="D30" s="123">
        <f t="shared" si="2"/>
        <v>46477</v>
      </c>
      <c r="E30" s="124">
        <f>IF($D30="","",IFERROR(SUMIFS(EXPENSES!$D:$D,EXPENSES!$A:$A,"&gt;="&amp;$C30,EXPENSES!$A:$A,"&lt;="&amp;$D30),"na"))</f>
        <v>0</v>
      </c>
      <c r="F30" s="124">
        <f>IF($D30="","",IFERROR(SUMIFS(INCOME!$C:$C,INCOME!$A:$A,"&gt;="&amp;$C30,INCOME!$A:$A,"&lt;="&amp;$D30),"na"))</f>
        <v>0</v>
      </c>
      <c r="G30" s="124">
        <f t="shared" si="3"/>
        <v>0</v>
      </c>
      <c r="H30" s="125" t="str">
        <f t="shared" si="4"/>
        <v>na</v>
      </c>
      <c r="I30" s="125" t="str">
        <f t="shared" si="5"/>
        <v>na</v>
      </c>
      <c r="J30" s="126">
        <f>IFERROR(SUMPRODUCT(EXPENSES!$D:$D),0)</f>
        <v>84425.18</v>
      </c>
      <c r="K30" s="126">
        <f t="shared" si="8"/>
        <v>113748</v>
      </c>
      <c r="L30" s="126">
        <f t="shared" si="6"/>
        <v>29322.82</v>
      </c>
      <c r="M30" s="127"/>
      <c r="N30" s="11"/>
      <c r="O30" s="11"/>
      <c r="P30" s="11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122">
        <f t="shared" si="1"/>
        <v>27</v>
      </c>
      <c r="C31" s="123">
        <f t="shared" si="7"/>
        <v>46478</v>
      </c>
      <c r="D31" s="123">
        <f t="shared" si="2"/>
        <v>46507</v>
      </c>
      <c r="E31" s="124">
        <f>IF($D31="","",IFERROR(SUMIFS(EXPENSES!$D:$D,EXPENSES!$A:$A,"&gt;="&amp;$C31,EXPENSES!$A:$A,"&lt;="&amp;$D31),"na"))</f>
        <v>0</v>
      </c>
      <c r="F31" s="124">
        <f>IF($D31="","",IFERROR(SUMIFS(INCOME!$C:$C,INCOME!$A:$A,"&gt;="&amp;$C31,INCOME!$A:$A,"&lt;="&amp;$D31),"na"))</f>
        <v>0</v>
      </c>
      <c r="G31" s="124">
        <f t="shared" si="3"/>
        <v>0</v>
      </c>
      <c r="H31" s="125" t="str">
        <f t="shared" si="4"/>
        <v>na</v>
      </c>
      <c r="I31" s="125" t="str">
        <f t="shared" si="5"/>
        <v>na</v>
      </c>
      <c r="J31" s="126">
        <f>IFERROR(SUMPRODUCT(EXPENSES!$D:$D),0)</f>
        <v>84425.18</v>
      </c>
      <c r="K31" s="126">
        <f t="shared" si="8"/>
        <v>113748</v>
      </c>
      <c r="L31" s="126">
        <f t="shared" si="6"/>
        <v>29322.82</v>
      </c>
      <c r="M31" s="127"/>
      <c r="N31" s="11"/>
      <c r="O31" s="11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122">
        <f t="shared" si="1"/>
        <v>28</v>
      </c>
      <c r="C32" s="123">
        <f t="shared" si="7"/>
        <v>46508</v>
      </c>
      <c r="D32" s="123">
        <f t="shared" si="2"/>
        <v>46538</v>
      </c>
      <c r="E32" s="124">
        <f>IF($D32="","",IFERROR(SUMIFS(EXPENSES!$D:$D,EXPENSES!$A:$A,"&gt;="&amp;$C32,EXPENSES!$A:$A,"&lt;="&amp;$D32),"na"))</f>
        <v>0</v>
      </c>
      <c r="F32" s="124">
        <f>IF($D32="","",IFERROR(SUMIFS(INCOME!$C:$C,INCOME!$A:$A,"&gt;="&amp;$C32,INCOME!$A:$A,"&lt;="&amp;$D32),"na"))</f>
        <v>0</v>
      </c>
      <c r="G32" s="124">
        <f t="shared" si="3"/>
        <v>0</v>
      </c>
      <c r="H32" s="125" t="str">
        <f t="shared" si="4"/>
        <v>na</v>
      </c>
      <c r="I32" s="125" t="str">
        <f t="shared" si="5"/>
        <v>na</v>
      </c>
      <c r="J32" s="126">
        <f>IFERROR(SUMPRODUCT(EXPENSES!$D:$D),0)</f>
        <v>84425.18</v>
      </c>
      <c r="K32" s="126">
        <f t="shared" si="8"/>
        <v>113748</v>
      </c>
      <c r="L32" s="126">
        <f t="shared" si="6"/>
        <v>29322.82</v>
      </c>
      <c r="M32" s="127"/>
      <c r="N32" s="11"/>
      <c r="O32" s="11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122">
        <f t="shared" si="1"/>
        <v>29</v>
      </c>
      <c r="C33" s="123">
        <f t="shared" si="7"/>
        <v>46539</v>
      </c>
      <c r="D33" s="123">
        <f t="shared" si="2"/>
        <v>46568</v>
      </c>
      <c r="E33" s="124">
        <f>IF($D33="","",IFERROR(SUMIFS(EXPENSES!$D:$D,EXPENSES!$A:$A,"&gt;="&amp;$C33,EXPENSES!$A:$A,"&lt;="&amp;$D33),"na"))</f>
        <v>0</v>
      </c>
      <c r="F33" s="124">
        <f>IF($D33="","",IFERROR(SUMIFS(INCOME!$C:$C,INCOME!$A:$A,"&gt;="&amp;$C33,INCOME!$A:$A,"&lt;="&amp;$D33),"na"))</f>
        <v>0</v>
      </c>
      <c r="G33" s="124">
        <f t="shared" si="3"/>
        <v>0</v>
      </c>
      <c r="H33" s="125" t="str">
        <f t="shared" si="4"/>
        <v>na</v>
      </c>
      <c r="I33" s="125" t="str">
        <f t="shared" si="5"/>
        <v>na</v>
      </c>
      <c r="J33" s="126">
        <f>IFERROR(SUMPRODUCT(EXPENSES!$D:$D),0)</f>
        <v>84425.18</v>
      </c>
      <c r="K33" s="126">
        <f t="shared" si="8"/>
        <v>113748</v>
      </c>
      <c r="L33" s="126">
        <f t="shared" si="6"/>
        <v>29322.82</v>
      </c>
      <c r="M33" s="127"/>
      <c r="N33" s="11"/>
      <c r="O33" s="11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122">
        <f t="shared" si="1"/>
        <v>30</v>
      </c>
      <c r="C34" s="123">
        <f t="shared" si="7"/>
        <v>46569</v>
      </c>
      <c r="D34" s="123">
        <f t="shared" si="2"/>
        <v>46599</v>
      </c>
      <c r="E34" s="124">
        <f>IF($D34="","",IFERROR(SUMIFS(EXPENSES!$D:$D,EXPENSES!$A:$A,"&gt;="&amp;$C34,EXPENSES!$A:$A,"&lt;="&amp;$D34),"na"))</f>
        <v>0</v>
      </c>
      <c r="F34" s="124">
        <f>IF($D34="","",IFERROR(SUMIFS(INCOME!$C:$C,INCOME!$A:$A,"&gt;="&amp;$C34,INCOME!$A:$A,"&lt;="&amp;$D34),"na"))</f>
        <v>0</v>
      </c>
      <c r="G34" s="124">
        <f t="shared" si="3"/>
        <v>0</v>
      </c>
      <c r="H34" s="125" t="str">
        <f t="shared" si="4"/>
        <v>na</v>
      </c>
      <c r="I34" s="125" t="str">
        <f t="shared" si="5"/>
        <v>na</v>
      </c>
      <c r="J34" s="126">
        <f>IFERROR(SUMPRODUCT(EXPENSES!$D:$D),0)</f>
        <v>84425.18</v>
      </c>
      <c r="K34" s="126">
        <f t="shared" si="8"/>
        <v>113748</v>
      </c>
      <c r="L34" s="126">
        <f t="shared" si="6"/>
        <v>29322.82</v>
      </c>
      <c r="M34" s="127"/>
      <c r="N34" s="11"/>
      <c r="O34" s="11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122">
        <f t="shared" si="1"/>
        <v>31</v>
      </c>
      <c r="C35" s="123">
        <f t="shared" si="7"/>
        <v>46600</v>
      </c>
      <c r="D35" s="123">
        <f t="shared" si="2"/>
        <v>46630</v>
      </c>
      <c r="E35" s="124">
        <f>IF($D35="","",IFERROR(SUMIFS(EXPENSES!$D:$D,EXPENSES!$A:$A,"&gt;="&amp;$C35,EXPENSES!$A:$A,"&lt;="&amp;$D35),"na"))</f>
        <v>0</v>
      </c>
      <c r="F35" s="124">
        <f>IF($D35="","",IFERROR(SUMIFS(INCOME!$C:$C,INCOME!$A:$A,"&gt;="&amp;$C35,INCOME!$A:$A,"&lt;="&amp;$D35),"na"))</f>
        <v>0</v>
      </c>
      <c r="G35" s="124">
        <f t="shared" si="3"/>
        <v>0</v>
      </c>
      <c r="H35" s="125" t="str">
        <f t="shared" si="4"/>
        <v>na</v>
      </c>
      <c r="I35" s="125" t="str">
        <f t="shared" si="5"/>
        <v>na</v>
      </c>
      <c r="J35" s="126">
        <f>IFERROR(SUMPRODUCT(EXPENSES!$D:$D),0)</f>
        <v>84425.18</v>
      </c>
      <c r="K35" s="126">
        <f t="shared" si="8"/>
        <v>113748</v>
      </c>
      <c r="L35" s="126">
        <f t="shared" si="6"/>
        <v>29322.82</v>
      </c>
      <c r="M35" s="127"/>
      <c r="N35" s="11"/>
      <c r="O35" s="11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122">
        <f t="shared" si="1"/>
        <v>32</v>
      </c>
      <c r="C36" s="123">
        <f t="shared" si="7"/>
        <v>46631</v>
      </c>
      <c r="D36" s="123">
        <f t="shared" si="2"/>
        <v>46660</v>
      </c>
      <c r="E36" s="124">
        <f>IF($D36="","",IFERROR(SUMIFS(EXPENSES!$D:$D,EXPENSES!$A:$A,"&gt;="&amp;$C36,EXPENSES!$A:$A,"&lt;="&amp;$D36),"na"))</f>
        <v>0</v>
      </c>
      <c r="F36" s="124">
        <f>IF($D36="","",IFERROR(SUMIFS(INCOME!$C:$C,INCOME!$A:$A,"&gt;="&amp;$C36,INCOME!$A:$A,"&lt;="&amp;$D36),"na"))</f>
        <v>0</v>
      </c>
      <c r="G36" s="124">
        <f t="shared" si="3"/>
        <v>0</v>
      </c>
      <c r="H36" s="125" t="str">
        <f t="shared" si="4"/>
        <v>na</v>
      </c>
      <c r="I36" s="125" t="str">
        <f t="shared" si="5"/>
        <v>na</v>
      </c>
      <c r="J36" s="126">
        <f>IFERROR(SUMPRODUCT(EXPENSES!$D:$D),0)</f>
        <v>84425.18</v>
      </c>
      <c r="K36" s="126">
        <f t="shared" si="8"/>
        <v>113748</v>
      </c>
      <c r="L36" s="126">
        <f t="shared" si="6"/>
        <v>29322.82</v>
      </c>
      <c r="M36" s="127"/>
      <c r="N36" s="11"/>
      <c r="O36" s="11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122">
        <f t="shared" si="1"/>
        <v>33</v>
      </c>
      <c r="C37" s="123">
        <f t="shared" si="7"/>
        <v>46661</v>
      </c>
      <c r="D37" s="123">
        <f t="shared" si="2"/>
        <v>46691</v>
      </c>
      <c r="E37" s="124">
        <f>IF($D37="","",IFERROR(SUMIFS(EXPENSES!$D:$D,EXPENSES!$A:$A,"&gt;="&amp;$C37,EXPENSES!$A:$A,"&lt;="&amp;$D37),"na"))</f>
        <v>0</v>
      </c>
      <c r="F37" s="124">
        <f>IF($D37="","",IFERROR(SUMIFS(INCOME!$C:$C,INCOME!$A:$A,"&gt;="&amp;$C37,INCOME!$A:$A,"&lt;="&amp;$D37),"na"))</f>
        <v>0</v>
      </c>
      <c r="G37" s="124">
        <f t="shared" si="3"/>
        <v>0</v>
      </c>
      <c r="H37" s="125" t="str">
        <f t="shared" si="4"/>
        <v>na</v>
      </c>
      <c r="I37" s="125" t="str">
        <f t="shared" si="5"/>
        <v>na</v>
      </c>
      <c r="J37" s="126">
        <f>IFERROR(SUMPRODUCT(EXPENSES!$D:$D),0)</f>
        <v>84425.18</v>
      </c>
      <c r="K37" s="126">
        <f t="shared" si="8"/>
        <v>113748</v>
      </c>
      <c r="L37" s="126">
        <f t="shared" si="6"/>
        <v>29322.82</v>
      </c>
      <c r="M37" s="127"/>
      <c r="N37" s="11"/>
      <c r="O37" s="11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122">
        <f t="shared" si="1"/>
        <v>34</v>
      </c>
      <c r="C38" s="123">
        <f t="shared" si="7"/>
        <v>46692</v>
      </c>
      <c r="D38" s="123">
        <f t="shared" si="2"/>
        <v>46721</v>
      </c>
      <c r="E38" s="124">
        <f>IF($D38="","",IFERROR(SUMIFS(EXPENSES!$D:$D,EXPENSES!$A:$A,"&gt;="&amp;$C38,EXPENSES!$A:$A,"&lt;="&amp;$D38),"na"))</f>
        <v>0</v>
      </c>
      <c r="F38" s="124">
        <f>IF($D38="","",IFERROR(SUMIFS(INCOME!$C:$C,INCOME!$A:$A,"&gt;="&amp;$C38,INCOME!$A:$A,"&lt;="&amp;$D38),"na"))</f>
        <v>0</v>
      </c>
      <c r="G38" s="124">
        <f t="shared" si="3"/>
        <v>0</v>
      </c>
      <c r="H38" s="125" t="str">
        <f t="shared" si="4"/>
        <v>na</v>
      </c>
      <c r="I38" s="125" t="str">
        <f t="shared" si="5"/>
        <v>na</v>
      </c>
      <c r="J38" s="126">
        <f>IFERROR(SUMPRODUCT(EXPENSES!$D:$D),0)</f>
        <v>84425.18</v>
      </c>
      <c r="K38" s="126">
        <f t="shared" si="8"/>
        <v>113748</v>
      </c>
      <c r="L38" s="126">
        <f t="shared" si="6"/>
        <v>29322.82</v>
      </c>
      <c r="M38" s="127"/>
      <c r="N38" s="11"/>
      <c r="O38" s="11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122">
        <f t="shared" si="1"/>
        <v>35</v>
      </c>
      <c r="C39" s="123">
        <f t="shared" si="7"/>
        <v>46722</v>
      </c>
      <c r="D39" s="123">
        <f t="shared" si="2"/>
        <v>46752</v>
      </c>
      <c r="E39" s="124">
        <f>IF($D39="","",IFERROR(SUMIFS(EXPENSES!$D:$D,EXPENSES!$A:$A,"&gt;="&amp;$C39,EXPENSES!$A:$A,"&lt;="&amp;$D39),"na"))</f>
        <v>0</v>
      </c>
      <c r="F39" s="124">
        <f>IF($D39="","",IFERROR(SUMIFS(INCOME!$C:$C,INCOME!$A:$A,"&gt;="&amp;$C39,INCOME!$A:$A,"&lt;="&amp;$D39),"na"))</f>
        <v>0</v>
      </c>
      <c r="G39" s="124">
        <f t="shared" si="3"/>
        <v>0</v>
      </c>
      <c r="H39" s="125" t="str">
        <f t="shared" si="4"/>
        <v>na</v>
      </c>
      <c r="I39" s="125" t="str">
        <f t="shared" si="5"/>
        <v>na</v>
      </c>
      <c r="J39" s="126">
        <f>IFERROR(SUMPRODUCT(EXPENSES!$D:$D),0)</f>
        <v>84425.18</v>
      </c>
      <c r="K39" s="126">
        <f t="shared" si="8"/>
        <v>113748</v>
      </c>
      <c r="L39" s="126">
        <f t="shared" si="6"/>
        <v>29322.82</v>
      </c>
      <c r="M39" s="127"/>
      <c r="N39" s="11"/>
      <c r="O39" s="11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122">
        <f t="shared" si="1"/>
        <v>36</v>
      </c>
      <c r="C40" s="123">
        <f t="shared" si="7"/>
        <v>46753</v>
      </c>
      <c r="D40" s="123">
        <f t="shared" si="2"/>
        <v>46783</v>
      </c>
      <c r="E40" s="124">
        <f>IF($D40="","",IFERROR(SUMIFS(EXPENSES!$D:$D,EXPENSES!$A:$A,"&gt;="&amp;$C40,EXPENSES!$A:$A,"&lt;="&amp;$D40),"na"))</f>
        <v>0</v>
      </c>
      <c r="F40" s="124">
        <f>IF($D40="","",IFERROR(SUMIFS(INCOME!$C:$C,INCOME!$A:$A,"&gt;="&amp;$C40,INCOME!$A:$A,"&lt;="&amp;$D40),"na"))</f>
        <v>0</v>
      </c>
      <c r="G40" s="124">
        <f t="shared" si="3"/>
        <v>0</v>
      </c>
      <c r="H40" s="125" t="str">
        <f t="shared" si="4"/>
        <v>na</v>
      </c>
      <c r="I40" s="125" t="str">
        <f t="shared" si="5"/>
        <v>na</v>
      </c>
      <c r="J40" s="126">
        <f>IFERROR(SUMPRODUCT(EXPENSES!$D:$D),0)</f>
        <v>84425.18</v>
      </c>
      <c r="K40" s="126">
        <f t="shared" si="8"/>
        <v>113748</v>
      </c>
      <c r="L40" s="126">
        <f t="shared" si="6"/>
        <v>29322.82</v>
      </c>
      <c r="M40" s="127"/>
      <c r="N40" s="11"/>
      <c r="O40" s="11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122">
        <f t="shared" si="1"/>
        <v>37</v>
      </c>
      <c r="C41" s="123">
        <f t="shared" si="7"/>
        <v>46784</v>
      </c>
      <c r="D41" s="123">
        <f t="shared" si="2"/>
        <v>46812</v>
      </c>
      <c r="E41" s="124">
        <f>IF($D41="","",IFERROR(SUMIFS(EXPENSES!$D:$D,EXPENSES!$A:$A,"&gt;="&amp;$C41,EXPENSES!$A:$A,"&lt;="&amp;$D41),"na"))</f>
        <v>0</v>
      </c>
      <c r="F41" s="124">
        <f>IF($D41="","",IFERROR(SUMIFS(INCOME!$C:$C,INCOME!$A:$A,"&gt;="&amp;$C41,INCOME!$A:$A,"&lt;="&amp;$D41),"na"))</f>
        <v>0</v>
      </c>
      <c r="G41" s="124">
        <f t="shared" si="3"/>
        <v>0</v>
      </c>
      <c r="H41" s="125" t="str">
        <f t="shared" si="4"/>
        <v>na</v>
      </c>
      <c r="I41" s="125" t="str">
        <f t="shared" si="5"/>
        <v>na</v>
      </c>
      <c r="J41" s="126">
        <f>IFERROR(SUMPRODUCT(EXPENSES!$D:$D),0)</f>
        <v>84425.18</v>
      </c>
      <c r="K41" s="126">
        <f t="shared" si="8"/>
        <v>113748</v>
      </c>
      <c r="L41" s="126">
        <f t="shared" si="6"/>
        <v>29322.82</v>
      </c>
      <c r="M41" s="127"/>
      <c r="N41" s="11"/>
      <c r="O41" s="11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122">
        <f t="shared" si="1"/>
        <v>38</v>
      </c>
      <c r="C42" s="123">
        <f t="shared" si="7"/>
        <v>46813</v>
      </c>
      <c r="D42" s="123">
        <f t="shared" si="2"/>
        <v>46843</v>
      </c>
      <c r="E42" s="124">
        <f>IF($D42="","",IFERROR(SUMIFS(EXPENSES!$D:$D,EXPENSES!$A:$A,"&gt;="&amp;$C42,EXPENSES!$A:$A,"&lt;="&amp;$D42),"na"))</f>
        <v>0</v>
      </c>
      <c r="F42" s="124">
        <f>IF($D42="","",IFERROR(SUMIFS(INCOME!$C:$C,INCOME!$A:$A,"&gt;="&amp;$C42,INCOME!$A:$A,"&lt;="&amp;$D42),"na"))</f>
        <v>0</v>
      </c>
      <c r="G42" s="124">
        <f t="shared" si="3"/>
        <v>0</v>
      </c>
      <c r="H42" s="125" t="str">
        <f t="shared" si="4"/>
        <v>na</v>
      </c>
      <c r="I42" s="125" t="str">
        <f t="shared" si="5"/>
        <v>na</v>
      </c>
      <c r="J42" s="126">
        <f>IFERROR(SUMPRODUCT(EXPENSES!$D:$D),0)</f>
        <v>84425.18</v>
      </c>
      <c r="K42" s="126">
        <f t="shared" si="8"/>
        <v>113748</v>
      </c>
      <c r="L42" s="126">
        <f t="shared" si="6"/>
        <v>29322.82</v>
      </c>
      <c r="M42" s="127"/>
      <c r="N42" s="11"/>
      <c r="O42" s="11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122">
        <f t="shared" si="1"/>
        <v>39</v>
      </c>
      <c r="C43" s="123">
        <f t="shared" si="7"/>
        <v>46844</v>
      </c>
      <c r="D43" s="123">
        <f t="shared" si="2"/>
        <v>46873</v>
      </c>
      <c r="E43" s="124">
        <f>IF($D43="","",IFERROR(SUMIFS(EXPENSES!$D:$D,EXPENSES!$A:$A,"&gt;="&amp;$C43,EXPENSES!$A:$A,"&lt;="&amp;$D43),"na"))</f>
        <v>0</v>
      </c>
      <c r="F43" s="124">
        <f>IF($D43="","",IFERROR(SUMIFS(INCOME!$C:$C,INCOME!$A:$A,"&gt;="&amp;$C43,INCOME!$A:$A,"&lt;="&amp;$D43),"na"))</f>
        <v>0</v>
      </c>
      <c r="G43" s="124">
        <f t="shared" si="3"/>
        <v>0</v>
      </c>
      <c r="H43" s="125" t="str">
        <f t="shared" si="4"/>
        <v>na</v>
      </c>
      <c r="I43" s="125" t="str">
        <f t="shared" si="5"/>
        <v>na</v>
      </c>
      <c r="J43" s="126">
        <f>IFERROR(SUMPRODUCT(EXPENSES!$D:$D),0)</f>
        <v>84425.18</v>
      </c>
      <c r="K43" s="126">
        <f t="shared" si="8"/>
        <v>113748</v>
      </c>
      <c r="L43" s="126">
        <f t="shared" si="6"/>
        <v>29322.82</v>
      </c>
      <c r="M43" s="127"/>
      <c r="N43" s="11"/>
      <c r="O43" s="11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122">
        <f t="shared" si="1"/>
        <v>40</v>
      </c>
      <c r="C44" s="123">
        <f t="shared" si="7"/>
        <v>46874</v>
      </c>
      <c r="D44" s="123">
        <f t="shared" si="2"/>
        <v>46904</v>
      </c>
      <c r="E44" s="124">
        <f>IF($D44="","",IFERROR(SUMIFS(EXPENSES!$D:$D,EXPENSES!$A:$A,"&gt;="&amp;$C44,EXPENSES!$A:$A,"&lt;="&amp;$D44),"na"))</f>
        <v>0</v>
      </c>
      <c r="F44" s="124">
        <f>IF($D44="","",IFERROR(SUMIFS(INCOME!$C:$C,INCOME!$A:$A,"&gt;="&amp;$C44,INCOME!$A:$A,"&lt;="&amp;$D44),"na"))</f>
        <v>0</v>
      </c>
      <c r="G44" s="124">
        <f t="shared" si="3"/>
        <v>0</v>
      </c>
      <c r="H44" s="125" t="str">
        <f t="shared" si="4"/>
        <v>na</v>
      </c>
      <c r="I44" s="125" t="str">
        <f t="shared" si="5"/>
        <v>na</v>
      </c>
      <c r="J44" s="126">
        <f>IFERROR(SUMPRODUCT(EXPENSES!$D:$D),0)</f>
        <v>84425.18</v>
      </c>
      <c r="K44" s="126">
        <f t="shared" si="8"/>
        <v>113748</v>
      </c>
      <c r="L44" s="126">
        <f t="shared" si="6"/>
        <v>29322.82</v>
      </c>
      <c r="M44" s="127"/>
      <c r="N44" s="11"/>
      <c r="O44" s="11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122">
        <f t="shared" si="1"/>
        <v>41</v>
      </c>
      <c r="C45" s="123">
        <f t="shared" si="7"/>
        <v>46905</v>
      </c>
      <c r="D45" s="123">
        <f t="shared" si="2"/>
        <v>46934</v>
      </c>
      <c r="E45" s="124">
        <f>IF($D45="","",IFERROR(SUMIFS(EXPENSES!$D:$D,EXPENSES!$A:$A,"&gt;="&amp;$C45,EXPENSES!$A:$A,"&lt;="&amp;$D45),"na"))</f>
        <v>0</v>
      </c>
      <c r="F45" s="124">
        <f>IF($D45="","",IFERROR(SUMIFS(INCOME!$C:$C,INCOME!$A:$A,"&gt;="&amp;$C45,INCOME!$A:$A,"&lt;="&amp;$D45),"na"))</f>
        <v>0</v>
      </c>
      <c r="G45" s="124">
        <f t="shared" si="3"/>
        <v>0</v>
      </c>
      <c r="H45" s="125" t="str">
        <f t="shared" si="4"/>
        <v>na</v>
      </c>
      <c r="I45" s="125" t="str">
        <f t="shared" si="5"/>
        <v>na</v>
      </c>
      <c r="J45" s="126">
        <f>IFERROR(SUMPRODUCT(EXPENSES!$D:$D),0)</f>
        <v>84425.18</v>
      </c>
      <c r="K45" s="126">
        <f t="shared" si="8"/>
        <v>113748</v>
      </c>
      <c r="L45" s="126">
        <f t="shared" si="6"/>
        <v>29322.82</v>
      </c>
      <c r="M45" s="127"/>
      <c r="N45" s="11"/>
      <c r="O45" s="11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122">
        <f t="shared" si="1"/>
        <v>42</v>
      </c>
      <c r="C46" s="123">
        <f t="shared" si="7"/>
        <v>46935</v>
      </c>
      <c r="D46" s="123">
        <f t="shared" si="2"/>
        <v>46965</v>
      </c>
      <c r="E46" s="124">
        <f>IF($D46="","",IFERROR(SUMIFS(EXPENSES!$D:$D,EXPENSES!$A:$A,"&gt;="&amp;$C46,EXPENSES!$A:$A,"&lt;="&amp;$D46),"na"))</f>
        <v>0</v>
      </c>
      <c r="F46" s="124">
        <f>IF($D46="","",IFERROR(SUMIFS(INCOME!$C:$C,INCOME!$A:$A,"&gt;="&amp;$C46,INCOME!$A:$A,"&lt;="&amp;$D46),"na"))</f>
        <v>0</v>
      </c>
      <c r="G46" s="124">
        <f t="shared" si="3"/>
        <v>0</v>
      </c>
      <c r="H46" s="125" t="str">
        <f t="shared" si="4"/>
        <v>na</v>
      </c>
      <c r="I46" s="125" t="str">
        <f t="shared" si="5"/>
        <v>na</v>
      </c>
      <c r="J46" s="126">
        <f>IFERROR(SUMPRODUCT(EXPENSES!$D:$D),0)</f>
        <v>84425.18</v>
      </c>
      <c r="K46" s="126">
        <f t="shared" si="8"/>
        <v>113748</v>
      </c>
      <c r="L46" s="126">
        <f t="shared" si="6"/>
        <v>29322.82</v>
      </c>
      <c r="M46" s="127"/>
      <c r="N46" s="11"/>
      <c r="O46" s="11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122">
        <f t="shared" si="1"/>
        <v>43</v>
      </c>
      <c r="C47" s="123">
        <f t="shared" si="7"/>
        <v>46966</v>
      </c>
      <c r="D47" s="123">
        <f t="shared" si="2"/>
        <v>46996</v>
      </c>
      <c r="E47" s="124">
        <f>IF($D47="","",IFERROR(SUMIFS(EXPENSES!$D:$D,EXPENSES!$A:$A,"&gt;="&amp;$C47,EXPENSES!$A:$A,"&lt;="&amp;$D47),"na"))</f>
        <v>0</v>
      </c>
      <c r="F47" s="124">
        <f>IF($D47="","",IFERROR(SUMIFS(INCOME!$C:$C,INCOME!$A:$A,"&gt;="&amp;$C47,INCOME!$A:$A,"&lt;="&amp;$D47),"na"))</f>
        <v>0</v>
      </c>
      <c r="G47" s="124">
        <f t="shared" si="3"/>
        <v>0</v>
      </c>
      <c r="H47" s="125" t="str">
        <f t="shared" si="4"/>
        <v>na</v>
      </c>
      <c r="I47" s="125" t="str">
        <f t="shared" si="5"/>
        <v>na</v>
      </c>
      <c r="J47" s="126">
        <f>IFERROR(SUMPRODUCT(EXPENSES!$D:$D),0)</f>
        <v>84425.18</v>
      </c>
      <c r="K47" s="126">
        <f t="shared" si="8"/>
        <v>113748</v>
      </c>
      <c r="L47" s="126">
        <f t="shared" si="6"/>
        <v>29322.82</v>
      </c>
      <c r="M47" s="127"/>
      <c r="N47" s="11"/>
      <c r="O47" s="11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122">
        <f t="shared" si="1"/>
        <v>44</v>
      </c>
      <c r="C48" s="123">
        <f t="shared" si="7"/>
        <v>46997</v>
      </c>
      <c r="D48" s="123">
        <f t="shared" si="2"/>
        <v>47026</v>
      </c>
      <c r="E48" s="124">
        <f>IF($D48="","",IFERROR(SUMIFS(EXPENSES!$D:$D,EXPENSES!$A:$A,"&gt;="&amp;$C48,EXPENSES!$A:$A,"&lt;="&amp;$D48),"na"))</f>
        <v>0</v>
      </c>
      <c r="F48" s="124">
        <f>IF($D48="","",IFERROR(SUMIFS(INCOME!$C:$C,INCOME!$A:$A,"&gt;="&amp;$C48,INCOME!$A:$A,"&lt;="&amp;$D48),"na"))</f>
        <v>0</v>
      </c>
      <c r="G48" s="124">
        <f t="shared" si="3"/>
        <v>0</v>
      </c>
      <c r="H48" s="125" t="str">
        <f t="shared" si="4"/>
        <v>na</v>
      </c>
      <c r="I48" s="125" t="str">
        <f t="shared" si="5"/>
        <v>na</v>
      </c>
      <c r="J48" s="126">
        <f>IFERROR(SUMPRODUCT(EXPENSES!$D:$D),0)</f>
        <v>84425.18</v>
      </c>
      <c r="K48" s="126">
        <f t="shared" si="8"/>
        <v>113748</v>
      </c>
      <c r="L48" s="126">
        <f t="shared" si="6"/>
        <v>29322.82</v>
      </c>
      <c r="M48" s="127"/>
      <c r="N48" s="11"/>
      <c r="O48" s="11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122">
        <f t="shared" si="1"/>
        <v>45</v>
      </c>
      <c r="C49" s="123">
        <f t="shared" si="7"/>
        <v>47027</v>
      </c>
      <c r="D49" s="123">
        <f t="shared" si="2"/>
        <v>47057</v>
      </c>
      <c r="E49" s="124">
        <f>IF($D49="","",IFERROR(SUMIFS(EXPENSES!$D:$D,EXPENSES!$A:$A,"&gt;="&amp;$C49,EXPENSES!$A:$A,"&lt;="&amp;$D49),"na"))</f>
        <v>0</v>
      </c>
      <c r="F49" s="124">
        <f>IF($D49="","",IFERROR(SUMIFS(INCOME!$C:$C,INCOME!$A:$A,"&gt;="&amp;$C49,INCOME!$A:$A,"&lt;="&amp;$D49),"na"))</f>
        <v>0</v>
      </c>
      <c r="G49" s="124">
        <f t="shared" si="3"/>
        <v>0</v>
      </c>
      <c r="H49" s="125" t="str">
        <f t="shared" si="4"/>
        <v>na</v>
      </c>
      <c r="I49" s="125" t="str">
        <f t="shared" si="5"/>
        <v>na</v>
      </c>
      <c r="J49" s="126">
        <f>IFERROR(SUMPRODUCT(EXPENSES!$D:$D),0)</f>
        <v>84425.18</v>
      </c>
      <c r="K49" s="126">
        <f t="shared" si="8"/>
        <v>113748</v>
      </c>
      <c r="L49" s="126">
        <f t="shared" si="6"/>
        <v>29322.82</v>
      </c>
      <c r="M49" s="127"/>
      <c r="N49" s="11"/>
      <c r="O49" s="11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122">
        <f t="shared" si="1"/>
        <v>46</v>
      </c>
      <c r="C50" s="123">
        <f t="shared" si="7"/>
        <v>47058</v>
      </c>
      <c r="D50" s="123">
        <f t="shared" si="2"/>
        <v>47087</v>
      </c>
      <c r="E50" s="124">
        <f>IF($D50="","",IFERROR(SUMIFS(EXPENSES!$D:$D,EXPENSES!$A:$A,"&gt;="&amp;$C50,EXPENSES!$A:$A,"&lt;="&amp;$D50),"na"))</f>
        <v>0</v>
      </c>
      <c r="F50" s="124">
        <f>IF($D50="","",IFERROR(SUMIFS(INCOME!$C:$C,INCOME!$A:$A,"&gt;="&amp;$C50,INCOME!$A:$A,"&lt;="&amp;$D50),"na"))</f>
        <v>0</v>
      </c>
      <c r="G50" s="124">
        <f t="shared" si="3"/>
        <v>0</v>
      </c>
      <c r="H50" s="125" t="str">
        <f t="shared" si="4"/>
        <v>na</v>
      </c>
      <c r="I50" s="125" t="str">
        <f t="shared" si="5"/>
        <v>na</v>
      </c>
      <c r="J50" s="126">
        <f>IFERROR(SUMPRODUCT(EXPENSES!$D:$D),0)</f>
        <v>84425.18</v>
      </c>
      <c r="K50" s="126">
        <f t="shared" si="8"/>
        <v>113748</v>
      </c>
      <c r="L50" s="126">
        <f t="shared" si="6"/>
        <v>29322.82</v>
      </c>
      <c r="M50" s="127"/>
      <c r="N50" s="11"/>
      <c r="O50" s="11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122">
        <f t="shared" si="1"/>
        <v>47</v>
      </c>
      <c r="C51" s="123">
        <f t="shared" si="7"/>
        <v>47088</v>
      </c>
      <c r="D51" s="123">
        <f t="shared" si="2"/>
        <v>47118</v>
      </c>
      <c r="E51" s="124">
        <f>IF($D51="","",IFERROR(SUMIFS(EXPENSES!$D:$D,EXPENSES!$A:$A,"&gt;="&amp;$C51,EXPENSES!$A:$A,"&lt;="&amp;$D51),"na"))</f>
        <v>0</v>
      </c>
      <c r="F51" s="124">
        <f>IF($D51="","",IFERROR(SUMIFS(INCOME!$C:$C,INCOME!$A:$A,"&gt;="&amp;$C51,INCOME!$A:$A,"&lt;="&amp;$D51),"na"))</f>
        <v>0</v>
      </c>
      <c r="G51" s="124">
        <f t="shared" si="3"/>
        <v>0</v>
      </c>
      <c r="H51" s="125" t="str">
        <f t="shared" si="4"/>
        <v>na</v>
      </c>
      <c r="I51" s="125" t="str">
        <f t="shared" si="5"/>
        <v>na</v>
      </c>
      <c r="J51" s="126">
        <f>IFERROR(SUMPRODUCT(EXPENSES!$D:$D),0)</f>
        <v>84425.18</v>
      </c>
      <c r="K51" s="126">
        <f t="shared" si="8"/>
        <v>113748</v>
      </c>
      <c r="L51" s="126">
        <f t="shared" si="6"/>
        <v>29322.82</v>
      </c>
      <c r="M51" s="127"/>
      <c r="N51" s="11"/>
      <c r="O51" s="11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122">
        <f t="shared" si="1"/>
        <v>48</v>
      </c>
      <c r="C52" s="123">
        <f t="shared" si="7"/>
        <v>47119</v>
      </c>
      <c r="D52" s="123">
        <f t="shared" si="2"/>
        <v>47149</v>
      </c>
      <c r="E52" s="124">
        <f>IF($D52="","",IFERROR(SUMIFS(EXPENSES!$D:$D,EXPENSES!$A:$A,"&gt;="&amp;$C52,EXPENSES!$A:$A,"&lt;="&amp;$D52),"na"))</f>
        <v>0</v>
      </c>
      <c r="F52" s="124">
        <f>IF($D52="","",IFERROR(SUMIFS(INCOME!$C:$C,INCOME!$A:$A,"&gt;="&amp;$C52,INCOME!$A:$A,"&lt;="&amp;$D52),"na"))</f>
        <v>0</v>
      </c>
      <c r="G52" s="124">
        <f t="shared" si="3"/>
        <v>0</v>
      </c>
      <c r="H52" s="125" t="str">
        <f t="shared" si="4"/>
        <v>na</v>
      </c>
      <c r="I52" s="125" t="str">
        <f t="shared" si="5"/>
        <v>na</v>
      </c>
      <c r="J52" s="126">
        <f>IFERROR(SUMPRODUCT(EXPENSES!$D:$D),0)</f>
        <v>84425.18</v>
      </c>
      <c r="K52" s="126">
        <f t="shared" si="8"/>
        <v>113748</v>
      </c>
      <c r="L52" s="126">
        <f t="shared" si="6"/>
        <v>29322.82</v>
      </c>
      <c r="M52" s="127"/>
      <c r="N52" s="11"/>
      <c r="O52" s="11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122">
        <f t="shared" si="1"/>
        <v>49</v>
      </c>
      <c r="C53" s="123">
        <f t="shared" si="7"/>
        <v>47150</v>
      </c>
      <c r="D53" s="123">
        <f t="shared" si="2"/>
        <v>47177</v>
      </c>
      <c r="E53" s="124">
        <f>IF($D53="","",IFERROR(SUMIFS(EXPENSES!$D:$D,EXPENSES!$A:$A,"&gt;="&amp;$C53,EXPENSES!$A:$A,"&lt;="&amp;$D53),"na"))</f>
        <v>0</v>
      </c>
      <c r="F53" s="124">
        <f>IF($D53="","",IFERROR(SUMIFS(INCOME!$C:$C,INCOME!$A:$A,"&gt;="&amp;$C53,INCOME!$A:$A,"&lt;="&amp;$D53),"na"))</f>
        <v>0</v>
      </c>
      <c r="G53" s="124">
        <f t="shared" si="3"/>
        <v>0</v>
      </c>
      <c r="H53" s="125" t="str">
        <f t="shared" si="4"/>
        <v>na</v>
      </c>
      <c r="I53" s="125" t="str">
        <f t="shared" si="5"/>
        <v>na</v>
      </c>
      <c r="J53" s="126">
        <f>IFERROR(SUMPRODUCT(EXPENSES!$D:$D),0)</f>
        <v>84425.18</v>
      </c>
      <c r="K53" s="126">
        <f t="shared" si="8"/>
        <v>113748</v>
      </c>
      <c r="L53" s="126">
        <f t="shared" si="6"/>
        <v>29322.82</v>
      </c>
      <c r="M53" s="127"/>
      <c r="N53" s="11"/>
      <c r="O53" s="11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122">
        <f t="shared" si="1"/>
        <v>50</v>
      </c>
      <c r="C54" s="123">
        <f t="shared" si="7"/>
        <v>47178</v>
      </c>
      <c r="D54" s="123">
        <f t="shared" si="2"/>
        <v>47208</v>
      </c>
      <c r="E54" s="124">
        <f>IF($D54="","",IFERROR(SUMIFS(EXPENSES!$D:$D,EXPENSES!$A:$A,"&gt;="&amp;$C54,EXPENSES!$A:$A,"&lt;="&amp;$D54),"na"))</f>
        <v>0</v>
      </c>
      <c r="F54" s="124">
        <f>IF($D54="","",IFERROR(SUMIFS(INCOME!$C:$C,INCOME!$A:$A,"&gt;="&amp;$C54,INCOME!$A:$A,"&lt;="&amp;$D54),"na"))</f>
        <v>0</v>
      </c>
      <c r="G54" s="124">
        <f t="shared" si="3"/>
        <v>0</v>
      </c>
      <c r="H54" s="125" t="str">
        <f t="shared" si="4"/>
        <v>na</v>
      </c>
      <c r="I54" s="125" t="str">
        <f t="shared" si="5"/>
        <v>na</v>
      </c>
      <c r="J54" s="126">
        <f>IFERROR(SUMPRODUCT(EXPENSES!$D:$D),0)</f>
        <v>84425.18</v>
      </c>
      <c r="K54" s="126">
        <f t="shared" si="8"/>
        <v>113748</v>
      </c>
      <c r="L54" s="126">
        <f t="shared" si="6"/>
        <v>29322.82</v>
      </c>
      <c r="M54" s="127"/>
      <c r="N54" s="11"/>
      <c r="O54" s="11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122">
        <f t="shared" si="1"/>
        <v>51</v>
      </c>
      <c r="C55" s="123">
        <f t="shared" si="7"/>
        <v>47209</v>
      </c>
      <c r="D55" s="123">
        <f t="shared" si="2"/>
        <v>47238</v>
      </c>
      <c r="E55" s="124">
        <f>IF($D55="","",IFERROR(SUMIFS(EXPENSES!$D:$D,EXPENSES!$A:$A,"&gt;="&amp;$C55,EXPENSES!$A:$A,"&lt;="&amp;$D55),"na"))</f>
        <v>0</v>
      </c>
      <c r="F55" s="124">
        <f>IF($D55="","",IFERROR(SUMIFS(INCOME!$C:$C,INCOME!$A:$A,"&gt;="&amp;$C55,INCOME!$A:$A,"&lt;="&amp;$D55),"na"))</f>
        <v>0</v>
      </c>
      <c r="G55" s="124">
        <f t="shared" si="3"/>
        <v>0</v>
      </c>
      <c r="H55" s="125" t="str">
        <f t="shared" si="4"/>
        <v>na</v>
      </c>
      <c r="I55" s="125" t="str">
        <f t="shared" si="5"/>
        <v>na</v>
      </c>
      <c r="J55" s="126">
        <f>IFERROR(SUMPRODUCT(EXPENSES!$D:$D),0)</f>
        <v>84425.18</v>
      </c>
      <c r="K55" s="126">
        <f t="shared" si="8"/>
        <v>113748</v>
      </c>
      <c r="L55" s="126">
        <f t="shared" si="6"/>
        <v>29322.82</v>
      </c>
      <c r="M55" s="127"/>
      <c r="N55" s="11"/>
      <c r="O55" s="11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122">
        <f t="shared" si="1"/>
        <v>52</v>
      </c>
      <c r="C56" s="123">
        <f t="shared" si="7"/>
        <v>47239</v>
      </c>
      <c r="D56" s="123">
        <f t="shared" si="2"/>
        <v>47269</v>
      </c>
      <c r="E56" s="124">
        <f>IF($D56="","",IFERROR(SUMIFS(EXPENSES!$D:$D,EXPENSES!$A:$A,"&gt;="&amp;$C56,EXPENSES!$A:$A,"&lt;="&amp;$D56),"na"))</f>
        <v>0</v>
      </c>
      <c r="F56" s="124">
        <f>IF($D56="","",IFERROR(SUMIFS(INCOME!$C:$C,INCOME!$A:$A,"&gt;="&amp;$C56,INCOME!$A:$A,"&lt;="&amp;$D56),"na"))</f>
        <v>0</v>
      </c>
      <c r="G56" s="124">
        <f t="shared" si="3"/>
        <v>0</v>
      </c>
      <c r="H56" s="125" t="str">
        <f t="shared" si="4"/>
        <v>na</v>
      </c>
      <c r="I56" s="125" t="str">
        <f t="shared" si="5"/>
        <v>na</v>
      </c>
      <c r="J56" s="126">
        <f>IFERROR(SUMPRODUCT(EXPENSES!$D:$D),0)</f>
        <v>84425.18</v>
      </c>
      <c r="K56" s="126">
        <f t="shared" si="8"/>
        <v>113748</v>
      </c>
      <c r="L56" s="126">
        <f t="shared" si="6"/>
        <v>29322.82</v>
      </c>
      <c r="M56" s="127"/>
      <c r="N56" s="11"/>
      <c r="O56" s="11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122">
        <f t="shared" si="1"/>
        <v>53</v>
      </c>
      <c r="C57" s="123">
        <f t="shared" si="7"/>
        <v>47270</v>
      </c>
      <c r="D57" s="123">
        <f t="shared" si="2"/>
        <v>47299</v>
      </c>
      <c r="E57" s="124">
        <f>IF($D57="","",IFERROR(SUMIFS(EXPENSES!$D:$D,EXPENSES!$A:$A,"&gt;="&amp;$C57,EXPENSES!$A:$A,"&lt;="&amp;$D57),"na"))</f>
        <v>0</v>
      </c>
      <c r="F57" s="124">
        <f>IF($D57="","",IFERROR(SUMIFS(INCOME!$C:$C,INCOME!$A:$A,"&gt;="&amp;$C57,INCOME!$A:$A,"&lt;="&amp;$D57),"na"))</f>
        <v>0</v>
      </c>
      <c r="G57" s="124">
        <f t="shared" si="3"/>
        <v>0</v>
      </c>
      <c r="H57" s="125" t="str">
        <f t="shared" si="4"/>
        <v>na</v>
      </c>
      <c r="I57" s="125" t="str">
        <f t="shared" si="5"/>
        <v>na</v>
      </c>
      <c r="J57" s="126">
        <f>IFERROR(SUMPRODUCT(EXPENSES!$D:$D),0)</f>
        <v>84425.18</v>
      </c>
      <c r="K57" s="126">
        <f t="shared" si="8"/>
        <v>113748</v>
      </c>
      <c r="L57" s="126">
        <f t="shared" si="6"/>
        <v>29322.82</v>
      </c>
      <c r="M57" s="127"/>
      <c r="N57" s="11"/>
      <c r="O57" s="11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122">
        <f t="shared" si="1"/>
        <v>54</v>
      </c>
      <c r="C58" s="123">
        <f t="shared" si="7"/>
        <v>47300</v>
      </c>
      <c r="D58" s="123">
        <f t="shared" si="2"/>
        <v>47330</v>
      </c>
      <c r="E58" s="124">
        <f>IF($D58="","",IFERROR(SUMIFS(EXPENSES!$D:$D,EXPENSES!$A:$A,"&gt;="&amp;$C58,EXPENSES!$A:$A,"&lt;="&amp;$D58),"na"))</f>
        <v>0</v>
      </c>
      <c r="F58" s="124">
        <f>IF($D58="","",IFERROR(SUMIFS(INCOME!$C:$C,INCOME!$A:$A,"&gt;="&amp;$C58,INCOME!$A:$A,"&lt;="&amp;$D58),"na"))</f>
        <v>0</v>
      </c>
      <c r="G58" s="124">
        <f t="shared" si="3"/>
        <v>0</v>
      </c>
      <c r="H58" s="125" t="str">
        <f t="shared" si="4"/>
        <v>na</v>
      </c>
      <c r="I58" s="125" t="str">
        <f t="shared" si="5"/>
        <v>na</v>
      </c>
      <c r="J58" s="126">
        <f>IFERROR(SUMPRODUCT(EXPENSES!$D:$D),0)</f>
        <v>84425.18</v>
      </c>
      <c r="K58" s="126">
        <f t="shared" si="8"/>
        <v>113748</v>
      </c>
      <c r="L58" s="126">
        <f t="shared" si="6"/>
        <v>29322.82</v>
      </c>
      <c r="M58" s="127"/>
      <c r="N58" s="11"/>
      <c r="O58" s="11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122">
        <f t="shared" si="1"/>
        <v>55</v>
      </c>
      <c r="C59" s="123">
        <f t="shared" si="7"/>
        <v>47331</v>
      </c>
      <c r="D59" s="123">
        <f t="shared" si="2"/>
        <v>47361</v>
      </c>
      <c r="E59" s="124">
        <f>IF($D59="","",IFERROR(SUMIFS(EXPENSES!$D:$D,EXPENSES!$A:$A,"&gt;="&amp;$C59,EXPENSES!$A:$A,"&lt;="&amp;$D59),"na"))</f>
        <v>0</v>
      </c>
      <c r="F59" s="124">
        <f>IF($D59="","",IFERROR(SUMIFS(INCOME!$C:$C,INCOME!$A:$A,"&gt;="&amp;$C59,INCOME!$A:$A,"&lt;="&amp;$D59),"na"))</f>
        <v>0</v>
      </c>
      <c r="G59" s="124">
        <f t="shared" si="3"/>
        <v>0</v>
      </c>
      <c r="H59" s="125" t="str">
        <f t="shared" si="4"/>
        <v>na</v>
      </c>
      <c r="I59" s="125" t="str">
        <f t="shared" si="5"/>
        <v>na</v>
      </c>
      <c r="J59" s="126">
        <f>IFERROR(SUMPRODUCT(EXPENSES!$D:$D),0)</f>
        <v>84425.18</v>
      </c>
      <c r="K59" s="126">
        <f t="shared" si="8"/>
        <v>113748</v>
      </c>
      <c r="L59" s="126">
        <f t="shared" si="6"/>
        <v>29322.82</v>
      </c>
      <c r="M59" s="127"/>
      <c r="N59" s="11"/>
      <c r="O59" s="11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122">
        <f t="shared" si="1"/>
        <v>56</v>
      </c>
      <c r="C60" s="123">
        <f t="shared" si="7"/>
        <v>47362</v>
      </c>
      <c r="D60" s="123">
        <f t="shared" si="2"/>
        <v>47391</v>
      </c>
      <c r="E60" s="124">
        <f>IF($D60="","",IFERROR(SUMIFS(EXPENSES!$D:$D,EXPENSES!$A:$A,"&gt;="&amp;$C60,EXPENSES!$A:$A,"&lt;="&amp;$D60),"na"))</f>
        <v>0</v>
      </c>
      <c r="F60" s="124">
        <f>IF($D60="","",IFERROR(SUMIFS(INCOME!$C:$C,INCOME!$A:$A,"&gt;="&amp;$C60,INCOME!$A:$A,"&lt;="&amp;$D60),"na"))</f>
        <v>0</v>
      </c>
      <c r="G60" s="124">
        <f t="shared" si="3"/>
        <v>0</v>
      </c>
      <c r="H60" s="125" t="str">
        <f t="shared" si="4"/>
        <v>na</v>
      </c>
      <c r="I60" s="125" t="str">
        <f t="shared" si="5"/>
        <v>na</v>
      </c>
      <c r="J60" s="126">
        <f>IFERROR(SUMPRODUCT(EXPENSES!$D:$D),0)</f>
        <v>84425.18</v>
      </c>
      <c r="K60" s="126">
        <f t="shared" si="8"/>
        <v>113748</v>
      </c>
      <c r="L60" s="126">
        <f t="shared" si="6"/>
        <v>29322.82</v>
      </c>
      <c r="M60" s="127"/>
      <c r="N60" s="11"/>
      <c r="O60" s="11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122">
        <f t="shared" si="1"/>
        <v>57</v>
      </c>
      <c r="C61" s="123">
        <f t="shared" si="7"/>
        <v>47392</v>
      </c>
      <c r="D61" s="123">
        <f t="shared" si="2"/>
        <v>47422</v>
      </c>
      <c r="E61" s="124">
        <f>IF($D61="","",IFERROR(SUMIFS(EXPENSES!$D:$D,EXPENSES!$A:$A,"&gt;="&amp;$C61,EXPENSES!$A:$A,"&lt;="&amp;$D61),"na"))</f>
        <v>0</v>
      </c>
      <c r="F61" s="124">
        <f>IF($D61="","",IFERROR(SUMIFS(INCOME!$C:$C,INCOME!$A:$A,"&gt;="&amp;$C61,INCOME!$A:$A,"&lt;="&amp;$D61),"na"))</f>
        <v>0</v>
      </c>
      <c r="G61" s="124">
        <f t="shared" si="3"/>
        <v>0</v>
      </c>
      <c r="H61" s="125" t="str">
        <f t="shared" si="4"/>
        <v>na</v>
      </c>
      <c r="I61" s="125" t="str">
        <f t="shared" si="5"/>
        <v>na</v>
      </c>
      <c r="J61" s="126">
        <f>IFERROR(SUMPRODUCT(EXPENSES!$D:$D),0)</f>
        <v>84425.18</v>
      </c>
      <c r="K61" s="126">
        <f t="shared" si="8"/>
        <v>113748</v>
      </c>
      <c r="L61" s="126">
        <f t="shared" si="6"/>
        <v>29322.82</v>
      </c>
      <c r="M61" s="127"/>
      <c r="N61" s="11"/>
      <c r="O61" s="11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122">
        <f t="shared" si="1"/>
        <v>58</v>
      </c>
      <c r="C62" s="123">
        <f t="shared" si="7"/>
        <v>47423</v>
      </c>
      <c r="D62" s="123">
        <f t="shared" si="2"/>
        <v>47452</v>
      </c>
      <c r="E62" s="124">
        <f>IF($D62="","",IFERROR(SUMIFS(EXPENSES!$D:$D,EXPENSES!$A:$A,"&gt;="&amp;$C62,EXPENSES!$A:$A,"&lt;="&amp;$D62),"na"))</f>
        <v>0</v>
      </c>
      <c r="F62" s="124">
        <f>IF($D62="","",IFERROR(SUMIFS(INCOME!$C:$C,INCOME!$A:$A,"&gt;="&amp;$C62,INCOME!$A:$A,"&lt;="&amp;$D62),"na"))</f>
        <v>0</v>
      </c>
      <c r="G62" s="124">
        <f t="shared" si="3"/>
        <v>0</v>
      </c>
      <c r="H62" s="125" t="str">
        <f t="shared" si="4"/>
        <v>na</v>
      </c>
      <c r="I62" s="125" t="str">
        <f t="shared" si="5"/>
        <v>na</v>
      </c>
      <c r="J62" s="126">
        <f>IFERROR(SUMPRODUCT(EXPENSES!$D:$D),0)</f>
        <v>84425.18</v>
      </c>
      <c r="K62" s="126">
        <f t="shared" si="8"/>
        <v>113748</v>
      </c>
      <c r="L62" s="126">
        <f t="shared" si="6"/>
        <v>29322.82</v>
      </c>
      <c r="M62" s="127"/>
      <c r="N62" s="11"/>
      <c r="O62" s="11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122">
        <f t="shared" si="1"/>
        <v>59</v>
      </c>
      <c r="C63" s="123">
        <f t="shared" si="7"/>
        <v>47453</v>
      </c>
      <c r="D63" s="123">
        <f t="shared" si="2"/>
        <v>47483</v>
      </c>
      <c r="E63" s="124">
        <f>IF($D63="","",IFERROR(SUMIFS(EXPENSES!$D:$D,EXPENSES!$A:$A,"&gt;="&amp;$C63,EXPENSES!$A:$A,"&lt;="&amp;$D63),"na"))</f>
        <v>0</v>
      </c>
      <c r="F63" s="124">
        <f>IF($D63="","",IFERROR(SUMIFS(INCOME!$C:$C,INCOME!$A:$A,"&gt;="&amp;$C63,INCOME!$A:$A,"&lt;="&amp;$D63),"na"))</f>
        <v>0</v>
      </c>
      <c r="G63" s="124">
        <f t="shared" si="3"/>
        <v>0</v>
      </c>
      <c r="H63" s="125" t="str">
        <f t="shared" si="4"/>
        <v>na</v>
      </c>
      <c r="I63" s="125" t="str">
        <f t="shared" si="5"/>
        <v>na</v>
      </c>
      <c r="J63" s="126">
        <f>IFERROR(SUMPRODUCT(EXPENSES!$D:$D),0)</f>
        <v>84425.18</v>
      </c>
      <c r="K63" s="126">
        <f t="shared" si="8"/>
        <v>113748</v>
      </c>
      <c r="L63" s="126">
        <f t="shared" si="6"/>
        <v>29322.82</v>
      </c>
      <c r="M63" s="127"/>
      <c r="N63" s="11"/>
      <c r="O63" s="11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122">
        <f t="shared" si="1"/>
        <v>60</v>
      </c>
      <c r="C64" s="123">
        <f t="shared" si="7"/>
        <v>47484</v>
      </c>
      <c r="D64" s="123">
        <f t="shared" si="2"/>
        <v>47514</v>
      </c>
      <c r="E64" s="124">
        <f>IF($D64="","",IFERROR(SUMIFS(EXPENSES!$D:$D,EXPENSES!$A:$A,"&gt;="&amp;$C64,EXPENSES!$A:$A,"&lt;="&amp;$D64),"na"))</f>
        <v>0</v>
      </c>
      <c r="F64" s="124">
        <f>IF($D64="","",IFERROR(SUMIFS(INCOME!$C:$C,INCOME!$A:$A,"&gt;="&amp;$C64,INCOME!$A:$A,"&lt;="&amp;$D64),"na"))</f>
        <v>0</v>
      </c>
      <c r="G64" s="124">
        <f t="shared" si="3"/>
        <v>0</v>
      </c>
      <c r="H64" s="125" t="str">
        <f t="shared" si="4"/>
        <v>na</v>
      </c>
      <c r="I64" s="125" t="str">
        <f t="shared" si="5"/>
        <v>na</v>
      </c>
      <c r="J64" s="126">
        <f>IFERROR(SUMPRODUCT(EXPENSES!$D:$D),0)</f>
        <v>84425.18</v>
      </c>
      <c r="K64" s="126">
        <f t="shared" si="8"/>
        <v>113748</v>
      </c>
      <c r="L64" s="126">
        <f t="shared" si="6"/>
        <v>29322.82</v>
      </c>
      <c r="M64" s="127"/>
      <c r="N64" s="11"/>
      <c r="O64" s="11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122">
        <f t="shared" si="1"/>
        <v>61</v>
      </c>
      <c r="C65" s="123">
        <f t="shared" si="7"/>
        <v>47515</v>
      </c>
      <c r="D65" s="123">
        <f t="shared" si="2"/>
        <v>47542</v>
      </c>
      <c r="E65" s="124">
        <f>IF($D65="","",IFERROR(SUMIFS(EXPENSES!$D:$D,EXPENSES!$A:$A,"&gt;="&amp;$C65,EXPENSES!$A:$A,"&lt;="&amp;$D65),"na"))</f>
        <v>0</v>
      </c>
      <c r="F65" s="124">
        <f>IF($D65="","",IFERROR(SUMIFS(INCOME!$C:$C,INCOME!$A:$A,"&gt;="&amp;$C65,INCOME!$A:$A,"&lt;="&amp;$D65),"na"))</f>
        <v>0</v>
      </c>
      <c r="G65" s="124">
        <f t="shared" si="3"/>
        <v>0</v>
      </c>
      <c r="H65" s="125" t="str">
        <f t="shared" si="4"/>
        <v>na</v>
      </c>
      <c r="I65" s="125" t="str">
        <f t="shared" si="5"/>
        <v>na</v>
      </c>
      <c r="J65" s="126">
        <f>IFERROR(SUMPRODUCT(EXPENSES!$D:$D),0)</f>
        <v>84425.18</v>
      </c>
      <c r="K65" s="126">
        <f t="shared" si="8"/>
        <v>113748</v>
      </c>
      <c r="L65" s="126">
        <f t="shared" si="6"/>
        <v>29322.82</v>
      </c>
      <c r="M65" s="127"/>
      <c r="N65" s="11"/>
      <c r="O65" s="11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122">
        <f t="shared" si="1"/>
        <v>62</v>
      </c>
      <c r="C66" s="123">
        <f t="shared" si="7"/>
        <v>47543</v>
      </c>
      <c r="D66" s="123">
        <f t="shared" si="2"/>
        <v>47573</v>
      </c>
      <c r="E66" s="124">
        <f>IF($D66="","",IFERROR(SUMIFS(EXPENSES!$D:$D,EXPENSES!$A:$A,"&gt;="&amp;$C66,EXPENSES!$A:$A,"&lt;="&amp;$D66),"na"))</f>
        <v>0</v>
      </c>
      <c r="F66" s="124">
        <f>IF($D66="","",IFERROR(SUMIFS(INCOME!$C:$C,INCOME!$A:$A,"&gt;="&amp;$C66,INCOME!$A:$A,"&lt;="&amp;$D66),"na"))</f>
        <v>0</v>
      </c>
      <c r="G66" s="124">
        <f t="shared" si="3"/>
        <v>0</v>
      </c>
      <c r="H66" s="125" t="str">
        <f t="shared" si="4"/>
        <v>na</v>
      </c>
      <c r="I66" s="125" t="str">
        <f t="shared" si="5"/>
        <v>na</v>
      </c>
      <c r="J66" s="126">
        <f>IFERROR(SUMPRODUCT(EXPENSES!$D:$D),0)</f>
        <v>84425.18</v>
      </c>
      <c r="K66" s="126">
        <f t="shared" si="8"/>
        <v>113748</v>
      </c>
      <c r="L66" s="126">
        <f t="shared" si="6"/>
        <v>29322.82</v>
      </c>
      <c r="M66" s="127"/>
      <c r="N66" s="11"/>
      <c r="O66" s="11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122">
        <f t="shared" si="1"/>
        <v>63</v>
      </c>
      <c r="C67" s="123">
        <f t="shared" si="7"/>
        <v>47574</v>
      </c>
      <c r="D67" s="123">
        <f t="shared" si="2"/>
        <v>47603</v>
      </c>
      <c r="E67" s="124">
        <f>IF($D67="","",IFERROR(SUMIFS(EXPENSES!$D:$D,EXPENSES!$A:$A,"&gt;="&amp;$C67,EXPENSES!$A:$A,"&lt;="&amp;$D67),"na"))</f>
        <v>0</v>
      </c>
      <c r="F67" s="124">
        <f>IF($D67="","",IFERROR(SUMIFS(INCOME!$C:$C,INCOME!$A:$A,"&gt;="&amp;$C67,INCOME!$A:$A,"&lt;="&amp;$D67),"na"))</f>
        <v>0</v>
      </c>
      <c r="G67" s="124">
        <f t="shared" si="3"/>
        <v>0</v>
      </c>
      <c r="H67" s="125" t="str">
        <f t="shared" si="4"/>
        <v>na</v>
      </c>
      <c r="I67" s="125" t="str">
        <f t="shared" si="5"/>
        <v>na</v>
      </c>
      <c r="J67" s="126">
        <f>IFERROR(SUMPRODUCT(EXPENSES!$D:$D),0)</f>
        <v>84425.18</v>
      </c>
      <c r="K67" s="126">
        <f t="shared" si="8"/>
        <v>113748</v>
      </c>
      <c r="L67" s="126">
        <f t="shared" si="6"/>
        <v>29322.82</v>
      </c>
      <c r="M67" s="127"/>
      <c r="N67" s="11"/>
      <c r="O67" s="11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122">
        <f t="shared" si="1"/>
        <v>64</v>
      </c>
      <c r="C68" s="123">
        <f t="shared" si="7"/>
        <v>47604</v>
      </c>
      <c r="D68" s="123">
        <f t="shared" si="2"/>
        <v>47634</v>
      </c>
      <c r="E68" s="124">
        <f>IF($D68="","",IFERROR(SUMIFS(EXPENSES!$D:$D,EXPENSES!$A:$A,"&gt;="&amp;$C68,EXPENSES!$A:$A,"&lt;="&amp;$D68),"na"))</f>
        <v>0</v>
      </c>
      <c r="F68" s="124">
        <f>IF($D68="","",IFERROR(SUMIFS(INCOME!$C:$C,INCOME!$A:$A,"&gt;="&amp;$C68,INCOME!$A:$A,"&lt;="&amp;$D68),"na"))</f>
        <v>0</v>
      </c>
      <c r="G68" s="124">
        <f t="shared" si="3"/>
        <v>0</v>
      </c>
      <c r="H68" s="125" t="str">
        <f t="shared" si="4"/>
        <v>na</v>
      </c>
      <c r="I68" s="125" t="str">
        <f t="shared" si="5"/>
        <v>na</v>
      </c>
      <c r="J68" s="126">
        <f>IFERROR(SUMPRODUCT(EXPENSES!$D:$D),0)</f>
        <v>84425.18</v>
      </c>
      <c r="K68" s="126">
        <f t="shared" si="8"/>
        <v>113748</v>
      </c>
      <c r="L68" s="126">
        <f t="shared" si="6"/>
        <v>29322.82</v>
      </c>
      <c r="M68" s="127"/>
      <c r="N68" s="11"/>
      <c r="O68" s="11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122">
        <f t="shared" si="1"/>
        <v>65</v>
      </c>
      <c r="C69" s="123">
        <f t="shared" si="7"/>
        <v>47635</v>
      </c>
      <c r="D69" s="123">
        <f t="shared" si="2"/>
        <v>47664</v>
      </c>
      <c r="E69" s="124">
        <f>IF($D69="","",IFERROR(SUMIFS(EXPENSES!$D:$D,EXPENSES!$A:$A,"&gt;="&amp;$C69,EXPENSES!$A:$A,"&lt;="&amp;$D69),"na"))</f>
        <v>0</v>
      </c>
      <c r="F69" s="124">
        <f>IF($D69="","",IFERROR(SUMIFS(INCOME!$C:$C,INCOME!$A:$A,"&gt;="&amp;$C69,INCOME!$A:$A,"&lt;="&amp;$D69),"na"))</f>
        <v>0</v>
      </c>
      <c r="G69" s="124">
        <f t="shared" si="3"/>
        <v>0</v>
      </c>
      <c r="H69" s="125" t="str">
        <f t="shared" si="4"/>
        <v>na</v>
      </c>
      <c r="I69" s="125" t="str">
        <f t="shared" si="5"/>
        <v>na</v>
      </c>
      <c r="J69" s="126">
        <f>IFERROR(SUMPRODUCT(EXPENSES!$D:$D),0)</f>
        <v>84425.18</v>
      </c>
      <c r="K69" s="126">
        <f t="shared" si="8"/>
        <v>113748</v>
      </c>
      <c r="L69" s="126">
        <f t="shared" si="6"/>
        <v>29322.82</v>
      </c>
      <c r="M69" s="127"/>
      <c r="N69" s="11"/>
      <c r="O69" s="11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122">
        <f t="shared" si="1"/>
        <v>66</v>
      </c>
      <c r="C70" s="123">
        <f t="shared" si="7"/>
        <v>47665</v>
      </c>
      <c r="D70" s="123">
        <f t="shared" si="2"/>
        <v>47695</v>
      </c>
      <c r="E70" s="124">
        <f>IF($D70="","",IFERROR(SUMIFS(EXPENSES!$D:$D,EXPENSES!$A:$A,"&gt;="&amp;$C70,EXPENSES!$A:$A,"&lt;="&amp;$D70),"na"))</f>
        <v>0</v>
      </c>
      <c r="F70" s="124">
        <f>IF($D70="","",IFERROR(SUMIFS(INCOME!$C:$C,INCOME!$A:$A,"&gt;="&amp;$C70,INCOME!$A:$A,"&lt;="&amp;$D70),"na"))</f>
        <v>0</v>
      </c>
      <c r="G70" s="124">
        <f t="shared" si="3"/>
        <v>0</v>
      </c>
      <c r="H70" s="125" t="str">
        <f t="shared" si="4"/>
        <v>na</v>
      </c>
      <c r="I70" s="125" t="str">
        <f t="shared" si="5"/>
        <v>na</v>
      </c>
      <c r="J70" s="126">
        <f>IFERROR(SUMPRODUCT(EXPENSES!$D:$D),0)</f>
        <v>84425.18</v>
      </c>
      <c r="K70" s="126">
        <f t="shared" si="8"/>
        <v>113748</v>
      </c>
      <c r="L70" s="126">
        <f t="shared" si="6"/>
        <v>29322.82</v>
      </c>
      <c r="M70" s="127"/>
      <c r="N70" s="11"/>
      <c r="O70" s="11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122">
        <f t="shared" si="1"/>
        <v>67</v>
      </c>
      <c r="C71" s="123">
        <f t="shared" si="7"/>
        <v>47696</v>
      </c>
      <c r="D71" s="123">
        <f t="shared" si="2"/>
        <v>47726</v>
      </c>
      <c r="E71" s="124">
        <f>IF($D71="","",IFERROR(SUMIFS(EXPENSES!$D:$D,EXPENSES!$A:$A,"&gt;="&amp;$C71,EXPENSES!$A:$A,"&lt;="&amp;$D71),"na"))</f>
        <v>0</v>
      </c>
      <c r="F71" s="124">
        <f>IF($D71="","",IFERROR(SUMIFS(INCOME!$C:$C,INCOME!$A:$A,"&gt;="&amp;$C71,INCOME!$A:$A,"&lt;="&amp;$D71),"na"))</f>
        <v>0</v>
      </c>
      <c r="G71" s="124">
        <f t="shared" si="3"/>
        <v>0</v>
      </c>
      <c r="H71" s="125" t="str">
        <f t="shared" si="4"/>
        <v>na</v>
      </c>
      <c r="I71" s="125" t="str">
        <f t="shared" si="5"/>
        <v>na</v>
      </c>
      <c r="J71" s="126">
        <f>IFERROR(SUMPRODUCT(EXPENSES!$D:$D),0)</f>
        <v>84425.18</v>
      </c>
      <c r="K71" s="126">
        <f t="shared" si="8"/>
        <v>113748</v>
      </c>
      <c r="L71" s="126">
        <f t="shared" si="6"/>
        <v>29322.82</v>
      </c>
      <c r="M71" s="127"/>
      <c r="N71" s="11"/>
      <c r="O71" s="11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122">
        <f t="shared" si="1"/>
        <v>68</v>
      </c>
      <c r="C72" s="123">
        <f t="shared" si="7"/>
        <v>47727</v>
      </c>
      <c r="D72" s="123">
        <f t="shared" si="2"/>
        <v>47756</v>
      </c>
      <c r="E72" s="124">
        <f>IF($D72="","",IFERROR(SUMIFS(EXPENSES!$D:$D,EXPENSES!$A:$A,"&gt;="&amp;$C72,EXPENSES!$A:$A,"&lt;="&amp;$D72),"na"))</f>
        <v>0</v>
      </c>
      <c r="F72" s="124">
        <f>IF($D72="","",IFERROR(SUMIFS(INCOME!$C:$C,INCOME!$A:$A,"&gt;="&amp;$C72,INCOME!$A:$A,"&lt;="&amp;$D72),"na"))</f>
        <v>0</v>
      </c>
      <c r="G72" s="124">
        <f t="shared" si="3"/>
        <v>0</v>
      </c>
      <c r="H72" s="125" t="str">
        <f t="shared" si="4"/>
        <v>na</v>
      </c>
      <c r="I72" s="125" t="str">
        <f t="shared" si="5"/>
        <v>na</v>
      </c>
      <c r="J72" s="126">
        <f>IFERROR(SUMPRODUCT(EXPENSES!$D:$D),0)</f>
        <v>84425.18</v>
      </c>
      <c r="K72" s="126">
        <f t="shared" si="8"/>
        <v>113748</v>
      </c>
      <c r="L72" s="126">
        <f t="shared" si="6"/>
        <v>29322.82</v>
      </c>
      <c r="M72" s="127"/>
      <c r="N72" s="11"/>
      <c r="O72" s="11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122">
        <f t="shared" si="1"/>
        <v>69</v>
      </c>
      <c r="C73" s="123">
        <f t="shared" si="7"/>
        <v>47757</v>
      </c>
      <c r="D73" s="123">
        <f t="shared" si="2"/>
        <v>47787</v>
      </c>
      <c r="E73" s="124">
        <f>IF($D73="","",IFERROR(SUMIFS(EXPENSES!$D:$D,EXPENSES!$A:$A,"&gt;="&amp;$C73,EXPENSES!$A:$A,"&lt;="&amp;$D73),"na"))</f>
        <v>0</v>
      </c>
      <c r="F73" s="124">
        <f>IF($D73="","",IFERROR(SUMIFS(INCOME!$C:$C,INCOME!$A:$A,"&gt;="&amp;$C73,INCOME!$A:$A,"&lt;="&amp;$D73),"na"))</f>
        <v>0</v>
      </c>
      <c r="G73" s="124">
        <f t="shared" si="3"/>
        <v>0</v>
      </c>
      <c r="H73" s="125" t="str">
        <f t="shared" si="4"/>
        <v>na</v>
      </c>
      <c r="I73" s="125" t="str">
        <f t="shared" si="5"/>
        <v>na</v>
      </c>
      <c r="J73" s="126">
        <f>IFERROR(SUMPRODUCT(EXPENSES!$D:$D),0)</f>
        <v>84425.18</v>
      </c>
      <c r="K73" s="126">
        <f t="shared" si="8"/>
        <v>113748</v>
      </c>
      <c r="L73" s="126">
        <f t="shared" si="6"/>
        <v>29322.82</v>
      </c>
      <c r="M73" s="127"/>
      <c r="N73" s="11"/>
      <c r="O73" s="11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122">
        <f t="shared" si="1"/>
        <v>70</v>
      </c>
      <c r="C74" s="123">
        <f t="shared" si="7"/>
        <v>47788</v>
      </c>
      <c r="D74" s="123">
        <f t="shared" si="2"/>
        <v>47817</v>
      </c>
      <c r="E74" s="124">
        <f>IF($D74="","",IFERROR(SUMIFS(EXPENSES!$D:$D,EXPENSES!$A:$A,"&gt;="&amp;$C74,EXPENSES!$A:$A,"&lt;="&amp;$D74),"na"))</f>
        <v>0</v>
      </c>
      <c r="F74" s="124">
        <f>IF($D74="","",IFERROR(SUMIFS(INCOME!$C:$C,INCOME!$A:$A,"&gt;="&amp;$C74,INCOME!$A:$A,"&lt;="&amp;$D74),"na"))</f>
        <v>0</v>
      </c>
      <c r="G74" s="124">
        <f t="shared" si="3"/>
        <v>0</v>
      </c>
      <c r="H74" s="125" t="str">
        <f t="shared" si="4"/>
        <v>na</v>
      </c>
      <c r="I74" s="125" t="str">
        <f t="shared" si="5"/>
        <v>na</v>
      </c>
      <c r="J74" s="126">
        <f>IFERROR(SUMPRODUCT(EXPENSES!$D:$D),0)</f>
        <v>84425.18</v>
      </c>
      <c r="K74" s="126">
        <f t="shared" si="8"/>
        <v>113748</v>
      </c>
      <c r="L74" s="126">
        <f t="shared" si="6"/>
        <v>29322.82</v>
      </c>
      <c r="M74" s="127"/>
      <c r="N74" s="11"/>
      <c r="O74" s="11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122">
        <f t="shared" si="1"/>
        <v>71</v>
      </c>
      <c r="C75" s="123">
        <f t="shared" si="7"/>
        <v>47818</v>
      </c>
      <c r="D75" s="123">
        <f t="shared" si="2"/>
        <v>47848</v>
      </c>
      <c r="E75" s="124">
        <f>IF($D75="","",IFERROR(SUMIFS(EXPENSES!$D:$D,EXPENSES!$A:$A,"&gt;="&amp;$C75,EXPENSES!$A:$A,"&lt;="&amp;$D75),"na"))</f>
        <v>0</v>
      </c>
      <c r="F75" s="124">
        <f>IF($D75="","",IFERROR(SUMIFS(INCOME!$C:$C,INCOME!$A:$A,"&gt;="&amp;$C75,INCOME!$A:$A,"&lt;="&amp;$D75),"na"))</f>
        <v>0</v>
      </c>
      <c r="G75" s="124">
        <f t="shared" si="3"/>
        <v>0</v>
      </c>
      <c r="H75" s="125" t="str">
        <f t="shared" si="4"/>
        <v>na</v>
      </c>
      <c r="I75" s="125" t="str">
        <f t="shared" si="5"/>
        <v>na</v>
      </c>
      <c r="J75" s="126">
        <f>IFERROR(SUMPRODUCT(EXPENSES!$D:$D),0)</f>
        <v>84425.18</v>
      </c>
      <c r="K75" s="126">
        <f t="shared" si="8"/>
        <v>113748</v>
      </c>
      <c r="L75" s="126">
        <f t="shared" si="6"/>
        <v>29322.82</v>
      </c>
      <c r="M75" s="127"/>
      <c r="N75" s="11"/>
      <c r="O75" s="11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122">
        <f t="shared" si="1"/>
        <v>72</v>
      </c>
      <c r="C76" s="123">
        <f t="shared" si="7"/>
        <v>47849</v>
      </c>
      <c r="D76" s="123">
        <f t="shared" si="2"/>
        <v>47879</v>
      </c>
      <c r="E76" s="124">
        <f>IF($D76="","",IFERROR(SUMIFS(EXPENSES!$D:$D,EXPENSES!$A:$A,"&gt;="&amp;$C76,EXPENSES!$A:$A,"&lt;="&amp;$D76),"na"))</f>
        <v>0</v>
      </c>
      <c r="F76" s="124">
        <f>IF($D76="","",IFERROR(SUMIFS(INCOME!$C:$C,INCOME!$A:$A,"&gt;="&amp;$C76,INCOME!$A:$A,"&lt;="&amp;$D76),"na"))</f>
        <v>0</v>
      </c>
      <c r="G76" s="124">
        <f t="shared" si="3"/>
        <v>0</v>
      </c>
      <c r="H76" s="125" t="str">
        <f t="shared" si="4"/>
        <v>na</v>
      </c>
      <c r="I76" s="125" t="str">
        <f t="shared" si="5"/>
        <v>na</v>
      </c>
      <c r="J76" s="126">
        <f>IFERROR(SUMPRODUCT(EXPENSES!$D:$D),0)</f>
        <v>84425.18</v>
      </c>
      <c r="K76" s="126">
        <f t="shared" si="8"/>
        <v>113748</v>
      </c>
      <c r="L76" s="126">
        <f t="shared" si="6"/>
        <v>29322.82</v>
      </c>
      <c r="M76" s="127"/>
      <c r="N76" s="11"/>
      <c r="O76" s="11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122">
        <f t="shared" si="1"/>
        <v>73</v>
      </c>
      <c r="C77" s="123">
        <f t="shared" si="7"/>
        <v>47880</v>
      </c>
      <c r="D77" s="123">
        <f t="shared" si="2"/>
        <v>47907</v>
      </c>
      <c r="E77" s="124">
        <f>IF($D77="","",IFERROR(SUMIFS(EXPENSES!$D:$D,EXPENSES!$A:$A,"&gt;="&amp;$C77,EXPENSES!$A:$A,"&lt;="&amp;$D77),"na"))</f>
        <v>0</v>
      </c>
      <c r="F77" s="124">
        <f>IF($D77="","",IFERROR(SUMIFS(INCOME!$C:$C,INCOME!$A:$A,"&gt;="&amp;$C77,INCOME!$A:$A,"&lt;="&amp;$D77),"na"))</f>
        <v>0</v>
      </c>
      <c r="G77" s="124">
        <f t="shared" si="3"/>
        <v>0</v>
      </c>
      <c r="H77" s="125" t="str">
        <f t="shared" si="4"/>
        <v>na</v>
      </c>
      <c r="I77" s="125" t="str">
        <f t="shared" si="5"/>
        <v>na</v>
      </c>
      <c r="J77" s="126">
        <f>IFERROR(SUMPRODUCT(EXPENSES!$D:$D),0)</f>
        <v>84425.18</v>
      </c>
      <c r="K77" s="126">
        <f t="shared" si="8"/>
        <v>113748</v>
      </c>
      <c r="L77" s="126">
        <f t="shared" si="6"/>
        <v>29322.82</v>
      </c>
      <c r="M77" s="127"/>
      <c r="N77" s="11"/>
      <c r="O77" s="11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122">
        <f t="shared" si="1"/>
        <v>74</v>
      </c>
      <c r="C78" s="123">
        <f t="shared" si="7"/>
        <v>47908</v>
      </c>
      <c r="D78" s="123">
        <f t="shared" si="2"/>
        <v>47938</v>
      </c>
      <c r="E78" s="124">
        <f>IF($D78="","",IFERROR(SUMIFS(EXPENSES!$D:$D,EXPENSES!$A:$A,"&gt;="&amp;$C78,EXPENSES!$A:$A,"&lt;="&amp;$D78),"na"))</f>
        <v>0</v>
      </c>
      <c r="F78" s="124">
        <f>IF($D78="","",IFERROR(SUMIFS(INCOME!$C:$C,INCOME!$A:$A,"&gt;="&amp;$C78,INCOME!$A:$A,"&lt;="&amp;$D78),"na"))</f>
        <v>0</v>
      </c>
      <c r="G78" s="124">
        <f t="shared" si="3"/>
        <v>0</v>
      </c>
      <c r="H78" s="125" t="str">
        <f t="shared" si="4"/>
        <v>na</v>
      </c>
      <c r="I78" s="125" t="str">
        <f t="shared" si="5"/>
        <v>na</v>
      </c>
      <c r="J78" s="126">
        <f>IFERROR(SUMPRODUCT(EXPENSES!$D:$D),0)</f>
        <v>84425.18</v>
      </c>
      <c r="K78" s="126">
        <f t="shared" si="8"/>
        <v>113748</v>
      </c>
      <c r="L78" s="126">
        <f t="shared" si="6"/>
        <v>29322.82</v>
      </c>
      <c r="M78" s="127"/>
      <c r="N78" s="11"/>
      <c r="O78" s="11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122">
        <f t="shared" si="1"/>
        <v>75</v>
      </c>
      <c r="C79" s="123">
        <f t="shared" si="7"/>
        <v>47939</v>
      </c>
      <c r="D79" s="123">
        <f t="shared" si="2"/>
        <v>47968</v>
      </c>
      <c r="E79" s="124">
        <f>IF($D79="","",IFERROR(SUMIFS(EXPENSES!$D:$D,EXPENSES!$A:$A,"&gt;="&amp;$C79,EXPENSES!$A:$A,"&lt;="&amp;$D79),"na"))</f>
        <v>0</v>
      </c>
      <c r="F79" s="124">
        <f>IF($D79="","",IFERROR(SUMIFS(INCOME!$C:$C,INCOME!$A:$A,"&gt;="&amp;$C79,INCOME!$A:$A,"&lt;="&amp;$D79),"na"))</f>
        <v>0</v>
      </c>
      <c r="G79" s="124">
        <f t="shared" si="3"/>
        <v>0</v>
      </c>
      <c r="H79" s="125" t="str">
        <f t="shared" si="4"/>
        <v>na</v>
      </c>
      <c r="I79" s="125" t="str">
        <f t="shared" si="5"/>
        <v>na</v>
      </c>
      <c r="J79" s="126">
        <f>IFERROR(SUMPRODUCT(EXPENSES!$D:$D),0)</f>
        <v>84425.18</v>
      </c>
      <c r="K79" s="126">
        <f t="shared" si="8"/>
        <v>113748</v>
      </c>
      <c r="L79" s="126">
        <f t="shared" si="6"/>
        <v>29322.82</v>
      </c>
      <c r="M79" s="127"/>
      <c r="N79" s="11"/>
      <c r="O79" s="11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122">
        <f t="shared" si="1"/>
        <v>76</v>
      </c>
      <c r="C80" s="123">
        <f t="shared" si="7"/>
        <v>47969</v>
      </c>
      <c r="D80" s="123">
        <f t="shared" si="2"/>
        <v>47999</v>
      </c>
      <c r="E80" s="124">
        <f>IF($D80="","",IFERROR(SUMIFS(EXPENSES!$D:$D,EXPENSES!$A:$A,"&gt;="&amp;$C80,EXPENSES!$A:$A,"&lt;="&amp;$D80),"na"))</f>
        <v>0</v>
      </c>
      <c r="F80" s="124">
        <f>IF($D80="","",IFERROR(SUMIFS(INCOME!$C:$C,INCOME!$A:$A,"&gt;="&amp;$C80,INCOME!$A:$A,"&lt;="&amp;$D80),"na"))</f>
        <v>0</v>
      </c>
      <c r="G80" s="124">
        <f t="shared" si="3"/>
        <v>0</v>
      </c>
      <c r="H80" s="125" t="str">
        <f t="shared" si="4"/>
        <v>na</v>
      </c>
      <c r="I80" s="125" t="str">
        <f t="shared" si="5"/>
        <v>na</v>
      </c>
      <c r="J80" s="126">
        <f>IFERROR(SUMPRODUCT(EXPENSES!$D:$D),0)</f>
        <v>84425.18</v>
      </c>
      <c r="K80" s="126">
        <f t="shared" si="8"/>
        <v>113748</v>
      </c>
      <c r="L80" s="126">
        <f t="shared" si="6"/>
        <v>29322.82</v>
      </c>
      <c r="M80" s="127"/>
      <c r="N80" s="11"/>
      <c r="O80" s="11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122">
        <f t="shared" si="1"/>
        <v>77</v>
      </c>
      <c r="C81" s="123">
        <f t="shared" si="7"/>
        <v>48000</v>
      </c>
      <c r="D81" s="123">
        <f t="shared" si="2"/>
        <v>48029</v>
      </c>
      <c r="E81" s="124">
        <f>IF($D81="","",IFERROR(SUMIFS(EXPENSES!$D:$D,EXPENSES!$A:$A,"&gt;="&amp;$C81,EXPENSES!$A:$A,"&lt;="&amp;$D81),"na"))</f>
        <v>0</v>
      </c>
      <c r="F81" s="124">
        <f>IF($D81="","",IFERROR(SUMIFS(INCOME!$C:$C,INCOME!$A:$A,"&gt;="&amp;$C81,INCOME!$A:$A,"&lt;="&amp;$D81),"na"))</f>
        <v>0</v>
      </c>
      <c r="G81" s="124">
        <f t="shared" si="3"/>
        <v>0</v>
      </c>
      <c r="H81" s="125" t="str">
        <f t="shared" si="4"/>
        <v>na</v>
      </c>
      <c r="I81" s="125" t="str">
        <f t="shared" si="5"/>
        <v>na</v>
      </c>
      <c r="J81" s="126">
        <f>IFERROR(SUMPRODUCT(EXPENSES!$D:$D),0)</f>
        <v>84425.18</v>
      </c>
      <c r="K81" s="126">
        <f t="shared" si="8"/>
        <v>113748</v>
      </c>
      <c r="L81" s="126">
        <f t="shared" si="6"/>
        <v>29322.82</v>
      </c>
      <c r="M81" s="127"/>
      <c r="N81" s="11"/>
      <c r="O81" s="11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122">
        <f t="shared" si="1"/>
        <v>78</v>
      </c>
      <c r="C82" s="123">
        <f t="shared" si="7"/>
        <v>48030</v>
      </c>
      <c r="D82" s="123">
        <f t="shared" si="2"/>
        <v>48060</v>
      </c>
      <c r="E82" s="124">
        <f>IF($D82="","",IFERROR(SUMIFS(EXPENSES!$D:$D,EXPENSES!$A:$A,"&gt;="&amp;$C82,EXPENSES!$A:$A,"&lt;="&amp;$D82),"na"))</f>
        <v>0</v>
      </c>
      <c r="F82" s="124">
        <f>IF($D82="","",IFERROR(SUMIFS(INCOME!$C:$C,INCOME!$A:$A,"&gt;="&amp;$C82,INCOME!$A:$A,"&lt;="&amp;$D82),"na"))</f>
        <v>0</v>
      </c>
      <c r="G82" s="124">
        <f t="shared" si="3"/>
        <v>0</v>
      </c>
      <c r="H82" s="125" t="str">
        <f t="shared" si="4"/>
        <v>na</v>
      </c>
      <c r="I82" s="125" t="str">
        <f t="shared" si="5"/>
        <v>na</v>
      </c>
      <c r="J82" s="126">
        <f>IFERROR(SUMPRODUCT(EXPENSES!$D:$D),0)</f>
        <v>84425.18</v>
      </c>
      <c r="K82" s="126">
        <f t="shared" si="8"/>
        <v>113748</v>
      </c>
      <c r="L82" s="126">
        <f t="shared" si="6"/>
        <v>29322.82</v>
      </c>
      <c r="M82" s="127"/>
      <c r="N82" s="11"/>
      <c r="O82" s="11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122">
        <f t="shared" si="1"/>
        <v>79</v>
      </c>
      <c r="C83" s="123">
        <f t="shared" si="7"/>
        <v>48061</v>
      </c>
      <c r="D83" s="123">
        <f t="shared" si="2"/>
        <v>48091</v>
      </c>
      <c r="E83" s="124">
        <f>IF($D83="","",IFERROR(SUMIFS(EXPENSES!$D:$D,EXPENSES!$A:$A,"&gt;="&amp;$C83,EXPENSES!$A:$A,"&lt;="&amp;$D83),"na"))</f>
        <v>0</v>
      </c>
      <c r="F83" s="124">
        <f>IF($D83="","",IFERROR(SUMIFS(INCOME!$C:$C,INCOME!$A:$A,"&gt;="&amp;$C83,INCOME!$A:$A,"&lt;="&amp;$D83),"na"))</f>
        <v>0</v>
      </c>
      <c r="G83" s="124">
        <f t="shared" si="3"/>
        <v>0</v>
      </c>
      <c r="H83" s="125" t="str">
        <f t="shared" si="4"/>
        <v>na</v>
      </c>
      <c r="I83" s="125" t="str">
        <f t="shared" si="5"/>
        <v>na</v>
      </c>
      <c r="J83" s="126">
        <f>IFERROR(SUMPRODUCT(EXPENSES!$D:$D),0)</f>
        <v>84425.18</v>
      </c>
      <c r="K83" s="126">
        <f t="shared" si="8"/>
        <v>113748</v>
      </c>
      <c r="L83" s="126">
        <f t="shared" si="6"/>
        <v>29322.82</v>
      </c>
      <c r="M83" s="127"/>
      <c r="N83" s="11"/>
      <c r="O83" s="11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122">
        <f t="shared" si="1"/>
        <v>80</v>
      </c>
      <c r="C84" s="123">
        <f t="shared" si="7"/>
        <v>48092</v>
      </c>
      <c r="D84" s="123">
        <f t="shared" si="2"/>
        <v>48121</v>
      </c>
      <c r="E84" s="124">
        <f>IF($D84="","",IFERROR(SUMIFS(EXPENSES!$D:$D,EXPENSES!$A:$A,"&gt;="&amp;$C84,EXPENSES!$A:$A,"&lt;="&amp;$D84),"na"))</f>
        <v>0</v>
      </c>
      <c r="F84" s="124">
        <f>IF($D84="","",IFERROR(SUMIFS(INCOME!$C:$C,INCOME!$A:$A,"&gt;="&amp;$C84,INCOME!$A:$A,"&lt;="&amp;$D84),"na"))</f>
        <v>0</v>
      </c>
      <c r="G84" s="124">
        <f t="shared" si="3"/>
        <v>0</v>
      </c>
      <c r="H84" s="125" t="str">
        <f t="shared" si="4"/>
        <v>na</v>
      </c>
      <c r="I84" s="125" t="str">
        <f t="shared" si="5"/>
        <v>na</v>
      </c>
      <c r="J84" s="126">
        <f>IFERROR(SUMPRODUCT(EXPENSES!$D:$D),0)</f>
        <v>84425.18</v>
      </c>
      <c r="K84" s="126">
        <f t="shared" si="8"/>
        <v>113748</v>
      </c>
      <c r="L84" s="126">
        <f t="shared" si="6"/>
        <v>29322.82</v>
      </c>
      <c r="M84" s="127"/>
      <c r="N84" s="11"/>
      <c r="O84" s="11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122">
        <f t="shared" si="1"/>
        <v>81</v>
      </c>
      <c r="C85" s="123">
        <f t="shared" si="7"/>
        <v>48122</v>
      </c>
      <c r="D85" s="123">
        <f t="shared" si="2"/>
        <v>48152</v>
      </c>
      <c r="E85" s="124">
        <f>IF($D85="","",IFERROR(SUMIFS(EXPENSES!$D:$D,EXPENSES!$A:$A,"&gt;="&amp;$C85,EXPENSES!$A:$A,"&lt;="&amp;$D85),"na"))</f>
        <v>0</v>
      </c>
      <c r="F85" s="124">
        <f>IF($D85="","",IFERROR(SUMIFS(INCOME!$C:$C,INCOME!$A:$A,"&gt;="&amp;$C85,INCOME!$A:$A,"&lt;="&amp;$D85),"na"))</f>
        <v>0</v>
      </c>
      <c r="G85" s="124">
        <f t="shared" si="3"/>
        <v>0</v>
      </c>
      <c r="H85" s="125" t="str">
        <f t="shared" si="4"/>
        <v>na</v>
      </c>
      <c r="I85" s="125" t="str">
        <f t="shared" si="5"/>
        <v>na</v>
      </c>
      <c r="J85" s="126">
        <f>IFERROR(SUMPRODUCT(EXPENSES!$D:$D),0)</f>
        <v>84425.18</v>
      </c>
      <c r="K85" s="126">
        <f t="shared" si="8"/>
        <v>113748</v>
      </c>
      <c r="L85" s="126">
        <f t="shared" si="6"/>
        <v>29322.82</v>
      </c>
      <c r="M85" s="127"/>
      <c r="N85" s="11"/>
      <c r="O85" s="11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122">
        <f t="shared" si="1"/>
        <v>82</v>
      </c>
      <c r="C86" s="123">
        <f t="shared" si="7"/>
        <v>48153</v>
      </c>
      <c r="D86" s="123">
        <f t="shared" si="2"/>
        <v>48182</v>
      </c>
      <c r="E86" s="124">
        <f>IF($D86="","",IFERROR(SUMIFS(EXPENSES!$D:$D,EXPENSES!$A:$A,"&gt;="&amp;$C86,EXPENSES!$A:$A,"&lt;="&amp;$D86),"na"))</f>
        <v>0</v>
      </c>
      <c r="F86" s="124">
        <f>IF($D86="","",IFERROR(SUMIFS(INCOME!$C:$C,INCOME!$A:$A,"&gt;="&amp;$C86,INCOME!$A:$A,"&lt;="&amp;$D86),"na"))</f>
        <v>0</v>
      </c>
      <c r="G86" s="124">
        <f t="shared" si="3"/>
        <v>0</v>
      </c>
      <c r="H86" s="125" t="str">
        <f t="shared" si="4"/>
        <v>na</v>
      </c>
      <c r="I86" s="125" t="str">
        <f t="shared" si="5"/>
        <v>na</v>
      </c>
      <c r="J86" s="126">
        <f>IFERROR(SUMPRODUCT(EXPENSES!$D:$D),0)</f>
        <v>84425.18</v>
      </c>
      <c r="K86" s="126">
        <f t="shared" si="8"/>
        <v>113748</v>
      </c>
      <c r="L86" s="126">
        <f t="shared" si="6"/>
        <v>29322.82</v>
      </c>
      <c r="M86" s="127"/>
      <c r="N86" s="11"/>
      <c r="O86" s="11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122">
        <f t="shared" si="1"/>
        <v>83</v>
      </c>
      <c r="C87" s="123">
        <f t="shared" si="7"/>
        <v>48183</v>
      </c>
      <c r="D87" s="123">
        <f t="shared" si="2"/>
        <v>48213</v>
      </c>
      <c r="E87" s="124">
        <f>IF($D87="","",IFERROR(SUMIFS(EXPENSES!$D:$D,EXPENSES!$A:$A,"&gt;="&amp;$C87,EXPENSES!$A:$A,"&lt;="&amp;$D87),"na"))</f>
        <v>0</v>
      </c>
      <c r="F87" s="124">
        <f>IF($D87="","",IFERROR(SUMIFS(INCOME!$C:$C,INCOME!$A:$A,"&gt;="&amp;$C87,INCOME!$A:$A,"&lt;="&amp;$D87),"na"))</f>
        <v>0</v>
      </c>
      <c r="G87" s="124">
        <f t="shared" si="3"/>
        <v>0</v>
      </c>
      <c r="H87" s="125" t="str">
        <f t="shared" si="4"/>
        <v>na</v>
      </c>
      <c r="I87" s="125" t="str">
        <f t="shared" si="5"/>
        <v>na</v>
      </c>
      <c r="J87" s="126">
        <f>IFERROR(SUMPRODUCT(EXPENSES!$D:$D),0)</f>
        <v>84425.18</v>
      </c>
      <c r="K87" s="126">
        <f t="shared" si="8"/>
        <v>113748</v>
      </c>
      <c r="L87" s="126">
        <f t="shared" si="6"/>
        <v>29322.82</v>
      </c>
      <c r="M87" s="127"/>
      <c r="N87" s="11"/>
      <c r="O87" s="11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122">
        <f t="shared" si="1"/>
        <v>84</v>
      </c>
      <c r="C88" s="123">
        <f t="shared" si="7"/>
        <v>48214</v>
      </c>
      <c r="D88" s="123">
        <f t="shared" si="2"/>
        <v>48244</v>
      </c>
      <c r="E88" s="124">
        <f>IF($D88="","",IFERROR(SUMIFS(EXPENSES!$D:$D,EXPENSES!$A:$A,"&gt;="&amp;$C88,EXPENSES!$A:$A,"&lt;="&amp;$D88),"na"))</f>
        <v>0</v>
      </c>
      <c r="F88" s="124">
        <f>IF($D88="","",IFERROR(SUMIFS(INCOME!$C:$C,INCOME!$A:$A,"&gt;="&amp;$C88,INCOME!$A:$A,"&lt;="&amp;$D88),"na"))</f>
        <v>0</v>
      </c>
      <c r="G88" s="124">
        <f t="shared" si="3"/>
        <v>0</v>
      </c>
      <c r="H88" s="125" t="str">
        <f t="shared" si="4"/>
        <v>na</v>
      </c>
      <c r="I88" s="125" t="str">
        <f t="shared" si="5"/>
        <v>na</v>
      </c>
      <c r="J88" s="126">
        <f>IFERROR(SUMPRODUCT(EXPENSES!$D:$D),0)</f>
        <v>84425.18</v>
      </c>
      <c r="K88" s="126">
        <f t="shared" si="8"/>
        <v>113748</v>
      </c>
      <c r="L88" s="126">
        <f t="shared" si="6"/>
        <v>29322.82</v>
      </c>
      <c r="M88" s="127"/>
      <c r="N88" s="11"/>
      <c r="O88" s="11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122">
        <f t="shared" si="1"/>
        <v>85</v>
      </c>
      <c r="C89" s="123">
        <f t="shared" si="7"/>
        <v>48245</v>
      </c>
      <c r="D89" s="123">
        <f t="shared" si="2"/>
        <v>48273</v>
      </c>
      <c r="E89" s="124">
        <f>IF($D89="","",IFERROR(SUMIFS(EXPENSES!$D:$D,EXPENSES!$A:$A,"&gt;="&amp;$C89,EXPENSES!$A:$A,"&lt;="&amp;$D89),"na"))</f>
        <v>0</v>
      </c>
      <c r="F89" s="124">
        <f>IF($D89="","",IFERROR(SUMIFS(INCOME!$C:$C,INCOME!$A:$A,"&gt;="&amp;$C89,INCOME!$A:$A,"&lt;="&amp;$D89),"na"))</f>
        <v>0</v>
      </c>
      <c r="G89" s="124">
        <f t="shared" si="3"/>
        <v>0</v>
      </c>
      <c r="H89" s="125" t="str">
        <f t="shared" si="4"/>
        <v>na</v>
      </c>
      <c r="I89" s="125" t="str">
        <f t="shared" si="5"/>
        <v>na</v>
      </c>
      <c r="J89" s="126">
        <f>IFERROR(SUMPRODUCT(EXPENSES!$D:$D),0)</f>
        <v>84425.18</v>
      </c>
      <c r="K89" s="126">
        <f t="shared" si="8"/>
        <v>113748</v>
      </c>
      <c r="L89" s="126">
        <f t="shared" si="6"/>
        <v>29322.82</v>
      </c>
      <c r="M89" s="127"/>
      <c r="N89" s="11"/>
      <c r="O89" s="11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122">
        <f t="shared" si="1"/>
        <v>86</v>
      </c>
      <c r="C90" s="123">
        <f t="shared" si="7"/>
        <v>48274</v>
      </c>
      <c r="D90" s="123">
        <f t="shared" si="2"/>
        <v>48304</v>
      </c>
      <c r="E90" s="124">
        <f>IF($D90="","",IFERROR(SUMIFS(EXPENSES!$D:$D,EXPENSES!$A:$A,"&gt;="&amp;$C90,EXPENSES!$A:$A,"&lt;="&amp;$D90),"na"))</f>
        <v>0</v>
      </c>
      <c r="F90" s="124">
        <f>IF($D90="","",IFERROR(SUMIFS(INCOME!$C:$C,INCOME!$A:$A,"&gt;="&amp;$C90,INCOME!$A:$A,"&lt;="&amp;$D90),"na"))</f>
        <v>0</v>
      </c>
      <c r="G90" s="124">
        <f t="shared" si="3"/>
        <v>0</v>
      </c>
      <c r="H90" s="125" t="str">
        <f t="shared" si="4"/>
        <v>na</v>
      </c>
      <c r="I90" s="125" t="str">
        <f t="shared" si="5"/>
        <v>na</v>
      </c>
      <c r="J90" s="126">
        <f>IFERROR(SUMPRODUCT(EXPENSES!$D:$D),0)</f>
        <v>84425.18</v>
      </c>
      <c r="K90" s="126">
        <f t="shared" si="8"/>
        <v>113748</v>
      </c>
      <c r="L90" s="126">
        <f t="shared" si="6"/>
        <v>29322.82</v>
      </c>
      <c r="M90" s="127"/>
      <c r="N90" s="11"/>
      <c r="O90" s="11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122">
        <f t="shared" si="1"/>
        <v>87</v>
      </c>
      <c r="C91" s="123">
        <f t="shared" si="7"/>
        <v>48305</v>
      </c>
      <c r="D91" s="123">
        <f t="shared" si="2"/>
        <v>48334</v>
      </c>
      <c r="E91" s="124">
        <f>IF($D91="","",IFERROR(SUMIFS(EXPENSES!$D:$D,EXPENSES!$A:$A,"&gt;="&amp;$C91,EXPENSES!$A:$A,"&lt;="&amp;$D91),"na"))</f>
        <v>0</v>
      </c>
      <c r="F91" s="124">
        <f>IF($D91="","",IFERROR(SUMIFS(INCOME!$C:$C,INCOME!$A:$A,"&gt;="&amp;$C91,INCOME!$A:$A,"&lt;="&amp;$D91),"na"))</f>
        <v>0</v>
      </c>
      <c r="G91" s="124">
        <f t="shared" si="3"/>
        <v>0</v>
      </c>
      <c r="H91" s="125" t="str">
        <f t="shared" si="4"/>
        <v>na</v>
      </c>
      <c r="I91" s="125" t="str">
        <f t="shared" si="5"/>
        <v>na</v>
      </c>
      <c r="J91" s="126">
        <f>IFERROR(SUMPRODUCT(EXPENSES!$D:$D),0)</f>
        <v>84425.18</v>
      </c>
      <c r="K91" s="126">
        <f t="shared" si="8"/>
        <v>113748</v>
      </c>
      <c r="L91" s="126">
        <f t="shared" si="6"/>
        <v>29322.82</v>
      </c>
      <c r="M91" s="127"/>
      <c r="N91" s="11"/>
      <c r="O91" s="11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122">
        <f t="shared" si="1"/>
        <v>88</v>
      </c>
      <c r="C92" s="123">
        <f t="shared" si="7"/>
        <v>48335</v>
      </c>
      <c r="D92" s="123">
        <f t="shared" si="2"/>
        <v>48365</v>
      </c>
      <c r="E92" s="124">
        <f>IF($D92="","",IFERROR(SUMIFS(EXPENSES!$D:$D,EXPENSES!$A:$A,"&gt;="&amp;$C92,EXPENSES!$A:$A,"&lt;="&amp;$D92),"na"))</f>
        <v>0</v>
      </c>
      <c r="F92" s="124">
        <f>IF($D92="","",IFERROR(SUMIFS(INCOME!$C:$C,INCOME!$A:$A,"&gt;="&amp;$C92,INCOME!$A:$A,"&lt;="&amp;$D92),"na"))</f>
        <v>0</v>
      </c>
      <c r="G92" s="124">
        <f t="shared" si="3"/>
        <v>0</v>
      </c>
      <c r="H92" s="125" t="str">
        <f t="shared" si="4"/>
        <v>na</v>
      </c>
      <c r="I92" s="125" t="str">
        <f t="shared" si="5"/>
        <v>na</v>
      </c>
      <c r="J92" s="126">
        <f>IFERROR(SUMPRODUCT(EXPENSES!$D:$D),0)</f>
        <v>84425.18</v>
      </c>
      <c r="K92" s="126">
        <f t="shared" si="8"/>
        <v>113748</v>
      </c>
      <c r="L92" s="126">
        <f t="shared" si="6"/>
        <v>29322.82</v>
      </c>
      <c r="M92" s="127"/>
      <c r="N92" s="11"/>
      <c r="O92" s="11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122">
        <f t="shared" si="1"/>
        <v>89</v>
      </c>
      <c r="C93" s="123">
        <f t="shared" si="7"/>
        <v>48366</v>
      </c>
      <c r="D93" s="123">
        <f t="shared" si="2"/>
        <v>48395</v>
      </c>
      <c r="E93" s="124">
        <f>IF($D93="","",IFERROR(SUMIFS(EXPENSES!$D:$D,EXPENSES!$A:$A,"&gt;="&amp;$C93,EXPENSES!$A:$A,"&lt;="&amp;$D93),"na"))</f>
        <v>0</v>
      </c>
      <c r="F93" s="124">
        <f>IF($D93="","",IFERROR(SUMIFS(INCOME!$C:$C,INCOME!$A:$A,"&gt;="&amp;$C93,INCOME!$A:$A,"&lt;="&amp;$D93),"na"))</f>
        <v>0</v>
      </c>
      <c r="G93" s="124">
        <f t="shared" si="3"/>
        <v>0</v>
      </c>
      <c r="H93" s="125" t="str">
        <f t="shared" si="4"/>
        <v>na</v>
      </c>
      <c r="I93" s="125" t="str">
        <f t="shared" si="5"/>
        <v>na</v>
      </c>
      <c r="J93" s="126">
        <f>IFERROR(SUMPRODUCT(EXPENSES!$D:$D),0)</f>
        <v>84425.18</v>
      </c>
      <c r="K93" s="126">
        <f t="shared" si="8"/>
        <v>113748</v>
      </c>
      <c r="L93" s="126">
        <f t="shared" si="6"/>
        <v>29322.82</v>
      </c>
      <c r="M93" s="127"/>
      <c r="N93" s="11"/>
      <c r="O93" s="11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122">
        <f t="shared" si="1"/>
        <v>90</v>
      </c>
      <c r="C94" s="123">
        <f t="shared" si="7"/>
        <v>48396</v>
      </c>
      <c r="D94" s="123">
        <f t="shared" si="2"/>
        <v>48426</v>
      </c>
      <c r="E94" s="124">
        <f>IF($D94="","",IFERROR(SUMIFS(EXPENSES!$D:$D,EXPENSES!$A:$A,"&gt;="&amp;$C94,EXPENSES!$A:$A,"&lt;="&amp;$D94),"na"))</f>
        <v>0</v>
      </c>
      <c r="F94" s="124">
        <f>IF($D94="","",IFERROR(SUMIFS(INCOME!$C:$C,INCOME!$A:$A,"&gt;="&amp;$C94,INCOME!$A:$A,"&lt;="&amp;$D94),"na"))</f>
        <v>0</v>
      </c>
      <c r="G94" s="124">
        <f t="shared" si="3"/>
        <v>0</v>
      </c>
      <c r="H94" s="125" t="str">
        <f t="shared" si="4"/>
        <v>na</v>
      </c>
      <c r="I94" s="125" t="str">
        <f t="shared" si="5"/>
        <v>na</v>
      </c>
      <c r="J94" s="126">
        <f>IFERROR(SUMPRODUCT(EXPENSES!$D:$D),0)</f>
        <v>84425.18</v>
      </c>
      <c r="K94" s="126">
        <f t="shared" si="8"/>
        <v>113748</v>
      </c>
      <c r="L94" s="126">
        <f t="shared" si="6"/>
        <v>29322.82</v>
      </c>
      <c r="M94" s="127"/>
      <c r="N94" s="11"/>
      <c r="O94" s="11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122">
        <f t="shared" si="1"/>
        <v>91</v>
      </c>
      <c r="C95" s="123">
        <f t="shared" si="7"/>
        <v>48427</v>
      </c>
      <c r="D95" s="123">
        <f t="shared" si="2"/>
        <v>48457</v>
      </c>
      <c r="E95" s="124">
        <f>IF($D95="","",IFERROR(SUMIFS(EXPENSES!$D:$D,EXPENSES!$A:$A,"&gt;="&amp;$C95,EXPENSES!$A:$A,"&lt;="&amp;$D95),"na"))</f>
        <v>0</v>
      </c>
      <c r="F95" s="124">
        <f>IF($D95="","",IFERROR(SUMIFS(INCOME!$C:$C,INCOME!$A:$A,"&gt;="&amp;$C95,INCOME!$A:$A,"&lt;="&amp;$D95),"na"))</f>
        <v>0</v>
      </c>
      <c r="G95" s="124">
        <f t="shared" si="3"/>
        <v>0</v>
      </c>
      <c r="H95" s="125" t="str">
        <f t="shared" si="4"/>
        <v>na</v>
      </c>
      <c r="I95" s="125" t="str">
        <f t="shared" si="5"/>
        <v>na</v>
      </c>
      <c r="J95" s="126">
        <f>IFERROR(SUMPRODUCT(EXPENSES!$D:$D),0)</f>
        <v>84425.18</v>
      </c>
      <c r="K95" s="126">
        <f t="shared" si="8"/>
        <v>113748</v>
      </c>
      <c r="L95" s="126">
        <f t="shared" si="6"/>
        <v>29322.82</v>
      </c>
      <c r="M95" s="127"/>
      <c r="N95" s="11"/>
      <c r="O95" s="11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122">
        <f t="shared" si="1"/>
        <v>92</v>
      </c>
      <c r="C96" s="123">
        <f t="shared" si="7"/>
        <v>48458</v>
      </c>
      <c r="D96" s="123">
        <f t="shared" si="2"/>
        <v>48487</v>
      </c>
      <c r="E96" s="124">
        <f>IF($D96="","",IFERROR(SUMIFS(EXPENSES!$D:$D,EXPENSES!$A:$A,"&gt;="&amp;$C96,EXPENSES!$A:$A,"&lt;="&amp;$D96),"na"))</f>
        <v>0</v>
      </c>
      <c r="F96" s="124">
        <f>IF($D96="","",IFERROR(SUMIFS(INCOME!$C:$C,INCOME!$A:$A,"&gt;="&amp;$C96,INCOME!$A:$A,"&lt;="&amp;$D96),"na"))</f>
        <v>0</v>
      </c>
      <c r="G96" s="124">
        <f t="shared" si="3"/>
        <v>0</v>
      </c>
      <c r="H96" s="125" t="str">
        <f t="shared" si="4"/>
        <v>na</v>
      </c>
      <c r="I96" s="125" t="str">
        <f t="shared" si="5"/>
        <v>na</v>
      </c>
      <c r="J96" s="126">
        <f>IFERROR(SUMPRODUCT(EXPENSES!$D:$D),0)</f>
        <v>84425.18</v>
      </c>
      <c r="K96" s="126">
        <f t="shared" si="8"/>
        <v>113748</v>
      </c>
      <c r="L96" s="126">
        <f t="shared" si="6"/>
        <v>29322.82</v>
      </c>
      <c r="M96" s="127"/>
      <c r="N96" s="11"/>
      <c r="O96" s="11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122">
        <f t="shared" si="1"/>
        <v>93</v>
      </c>
      <c r="C97" s="123">
        <f t="shared" si="7"/>
        <v>48488</v>
      </c>
      <c r="D97" s="123">
        <f t="shared" si="2"/>
        <v>48518</v>
      </c>
      <c r="E97" s="124">
        <f>IF($D97="","",IFERROR(SUMIFS(EXPENSES!$D:$D,EXPENSES!$A:$A,"&gt;="&amp;$C97,EXPENSES!$A:$A,"&lt;="&amp;$D97),"na"))</f>
        <v>0</v>
      </c>
      <c r="F97" s="124">
        <f>IF($D97="","",IFERROR(SUMIFS(INCOME!$C:$C,INCOME!$A:$A,"&gt;="&amp;$C97,INCOME!$A:$A,"&lt;="&amp;$D97),"na"))</f>
        <v>0</v>
      </c>
      <c r="G97" s="124">
        <f t="shared" si="3"/>
        <v>0</v>
      </c>
      <c r="H97" s="125" t="str">
        <f t="shared" si="4"/>
        <v>na</v>
      </c>
      <c r="I97" s="125" t="str">
        <f t="shared" si="5"/>
        <v>na</v>
      </c>
      <c r="J97" s="126">
        <f>IFERROR(SUMPRODUCT(EXPENSES!$D:$D),0)</f>
        <v>84425.18</v>
      </c>
      <c r="K97" s="126">
        <f t="shared" si="8"/>
        <v>113748</v>
      </c>
      <c r="L97" s="126">
        <f t="shared" si="6"/>
        <v>29322.82</v>
      </c>
      <c r="M97" s="127"/>
      <c r="N97" s="11"/>
      <c r="O97" s="11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122">
        <f t="shared" si="1"/>
        <v>94</v>
      </c>
      <c r="C98" s="123">
        <f t="shared" si="7"/>
        <v>48519</v>
      </c>
      <c r="D98" s="123">
        <f t="shared" si="2"/>
        <v>48548</v>
      </c>
      <c r="E98" s="124">
        <f>IF($D98="","",IFERROR(SUMIFS(EXPENSES!$D:$D,EXPENSES!$A:$A,"&gt;="&amp;$C98,EXPENSES!$A:$A,"&lt;="&amp;$D98),"na"))</f>
        <v>0</v>
      </c>
      <c r="F98" s="124">
        <f>IF($D98="","",IFERROR(SUMIFS(INCOME!$C:$C,INCOME!$A:$A,"&gt;="&amp;$C98,INCOME!$A:$A,"&lt;="&amp;$D98),"na"))</f>
        <v>0</v>
      </c>
      <c r="G98" s="124">
        <f t="shared" si="3"/>
        <v>0</v>
      </c>
      <c r="H98" s="125" t="str">
        <f t="shared" si="4"/>
        <v>na</v>
      </c>
      <c r="I98" s="125" t="str">
        <f t="shared" si="5"/>
        <v>na</v>
      </c>
      <c r="J98" s="126">
        <f>IFERROR(SUMPRODUCT(EXPENSES!$D:$D),0)</f>
        <v>84425.18</v>
      </c>
      <c r="K98" s="126">
        <f t="shared" si="8"/>
        <v>113748</v>
      </c>
      <c r="L98" s="126">
        <f t="shared" si="6"/>
        <v>29322.82</v>
      </c>
      <c r="M98" s="127"/>
      <c r="N98" s="11"/>
      <c r="O98" s="11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122">
        <f t="shared" si="1"/>
        <v>95</v>
      </c>
      <c r="C99" s="123">
        <f t="shared" si="7"/>
        <v>48549</v>
      </c>
      <c r="D99" s="123">
        <f t="shared" si="2"/>
        <v>48579</v>
      </c>
      <c r="E99" s="124">
        <f>IF($D99="","",IFERROR(SUMIFS(EXPENSES!$D:$D,EXPENSES!$A:$A,"&gt;="&amp;$C99,EXPENSES!$A:$A,"&lt;="&amp;$D99),"na"))</f>
        <v>0</v>
      </c>
      <c r="F99" s="124">
        <f>IF($D99="","",IFERROR(SUMIFS(INCOME!$C:$C,INCOME!$A:$A,"&gt;="&amp;$C99,INCOME!$A:$A,"&lt;="&amp;$D99),"na"))</f>
        <v>0</v>
      </c>
      <c r="G99" s="124">
        <f t="shared" si="3"/>
        <v>0</v>
      </c>
      <c r="H99" s="125" t="str">
        <f t="shared" si="4"/>
        <v>na</v>
      </c>
      <c r="I99" s="125" t="str">
        <f t="shared" si="5"/>
        <v>na</v>
      </c>
      <c r="J99" s="126">
        <f>IFERROR(SUMPRODUCT(EXPENSES!$D:$D),0)</f>
        <v>84425.18</v>
      </c>
      <c r="K99" s="126">
        <f t="shared" si="8"/>
        <v>113748</v>
      </c>
      <c r="L99" s="126">
        <f t="shared" si="6"/>
        <v>29322.82</v>
      </c>
      <c r="M99" s="127"/>
      <c r="N99" s="11"/>
      <c r="O99" s="11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122">
        <f t="shared" si="1"/>
        <v>96</v>
      </c>
      <c r="C100" s="123">
        <f t="shared" si="7"/>
        <v>48580</v>
      </c>
      <c r="D100" s="123">
        <f t="shared" si="2"/>
        <v>48610</v>
      </c>
      <c r="E100" s="124">
        <f>IF($D100="","",IFERROR(SUMIFS(EXPENSES!$D:$D,EXPENSES!$A:$A,"&gt;="&amp;$C100,EXPENSES!$A:$A,"&lt;="&amp;$D100),"na"))</f>
        <v>0</v>
      </c>
      <c r="F100" s="124">
        <f>IF($D100="","",IFERROR(SUMIFS(INCOME!$C:$C,INCOME!$A:$A,"&gt;="&amp;$C100,INCOME!$A:$A,"&lt;="&amp;$D100),"na"))</f>
        <v>0</v>
      </c>
      <c r="G100" s="124">
        <f t="shared" si="3"/>
        <v>0</v>
      </c>
      <c r="H100" s="125" t="str">
        <f t="shared" si="4"/>
        <v>na</v>
      </c>
      <c r="I100" s="125" t="str">
        <f t="shared" si="5"/>
        <v>na</v>
      </c>
      <c r="J100" s="126">
        <f>IFERROR(SUMPRODUCT(EXPENSES!$D:$D),0)</f>
        <v>84425.18</v>
      </c>
      <c r="K100" s="126">
        <f t="shared" si="8"/>
        <v>113748</v>
      </c>
      <c r="L100" s="126">
        <f t="shared" si="6"/>
        <v>29322.82</v>
      </c>
      <c r="M100" s="127"/>
      <c r="N100" s="11"/>
      <c r="O100" s="11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122">
        <f t="shared" si="1"/>
        <v>97</v>
      </c>
      <c r="C101" s="123">
        <f t="shared" si="7"/>
        <v>48611</v>
      </c>
      <c r="D101" s="123">
        <f t="shared" si="2"/>
        <v>48638</v>
      </c>
      <c r="E101" s="124">
        <f>IF($D101="","",IFERROR(SUMIFS(EXPENSES!$D:$D,EXPENSES!$A:$A,"&gt;="&amp;$C101,EXPENSES!$A:$A,"&lt;="&amp;$D101),"na"))</f>
        <v>0</v>
      </c>
      <c r="F101" s="124">
        <f>IF($D101="","",IFERROR(SUMIFS(INCOME!$C:$C,INCOME!$A:$A,"&gt;="&amp;$C101,INCOME!$A:$A,"&lt;="&amp;$D101),"na"))</f>
        <v>0</v>
      </c>
      <c r="G101" s="124">
        <f t="shared" si="3"/>
        <v>0</v>
      </c>
      <c r="H101" s="125" t="str">
        <f t="shared" si="4"/>
        <v>na</v>
      </c>
      <c r="I101" s="125" t="str">
        <f t="shared" si="5"/>
        <v>na</v>
      </c>
      <c r="J101" s="126">
        <f>IFERROR(SUMPRODUCT(EXPENSES!$D:$D),0)</f>
        <v>84425.18</v>
      </c>
      <c r="K101" s="126">
        <f t="shared" si="8"/>
        <v>113748</v>
      </c>
      <c r="L101" s="126">
        <f t="shared" si="6"/>
        <v>29322.82</v>
      </c>
      <c r="M101" s="127"/>
      <c r="N101" s="11"/>
      <c r="O101" s="11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122">
        <f t="shared" si="1"/>
        <v>98</v>
      </c>
      <c r="C102" s="123">
        <f t="shared" si="7"/>
        <v>48639</v>
      </c>
      <c r="D102" s="123">
        <f t="shared" si="2"/>
        <v>48669</v>
      </c>
      <c r="E102" s="124">
        <f>IF($D102="","",IFERROR(SUMIFS(EXPENSES!$D:$D,EXPENSES!$A:$A,"&gt;="&amp;$C102,EXPENSES!$A:$A,"&lt;="&amp;$D102),"na"))</f>
        <v>0</v>
      </c>
      <c r="F102" s="124">
        <f>IF($D102="","",IFERROR(SUMIFS(INCOME!$C:$C,INCOME!$A:$A,"&gt;="&amp;$C102,INCOME!$A:$A,"&lt;="&amp;$D102),"na"))</f>
        <v>0</v>
      </c>
      <c r="G102" s="124">
        <f t="shared" si="3"/>
        <v>0</v>
      </c>
      <c r="H102" s="125" t="str">
        <f t="shared" si="4"/>
        <v>na</v>
      </c>
      <c r="I102" s="125" t="str">
        <f t="shared" si="5"/>
        <v>na</v>
      </c>
      <c r="J102" s="126">
        <f>IFERROR(SUMPRODUCT(EXPENSES!$D:$D),0)</f>
        <v>84425.18</v>
      </c>
      <c r="K102" s="126">
        <f t="shared" si="8"/>
        <v>113748</v>
      </c>
      <c r="L102" s="126">
        <f t="shared" si="6"/>
        <v>29322.82</v>
      </c>
      <c r="M102" s="127"/>
      <c r="N102" s="11"/>
      <c r="O102" s="11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122">
        <f t="shared" si="1"/>
        <v>99</v>
      </c>
      <c r="C103" s="123">
        <f t="shared" si="7"/>
        <v>48670</v>
      </c>
      <c r="D103" s="123">
        <f t="shared" si="2"/>
        <v>48699</v>
      </c>
      <c r="E103" s="124">
        <f>IF($D103="","",IFERROR(SUMIFS(EXPENSES!$D:$D,EXPENSES!$A:$A,"&gt;="&amp;$C103,EXPENSES!$A:$A,"&lt;="&amp;$D103),"na"))</f>
        <v>0</v>
      </c>
      <c r="F103" s="124">
        <f>IF($D103="","",IFERROR(SUMIFS(INCOME!$C:$C,INCOME!$A:$A,"&gt;="&amp;$C103,INCOME!$A:$A,"&lt;="&amp;$D103),"na"))</f>
        <v>0</v>
      </c>
      <c r="G103" s="124">
        <f t="shared" si="3"/>
        <v>0</v>
      </c>
      <c r="H103" s="125" t="str">
        <f t="shared" si="4"/>
        <v>na</v>
      </c>
      <c r="I103" s="125" t="str">
        <f t="shared" si="5"/>
        <v>na</v>
      </c>
      <c r="J103" s="126">
        <f>IFERROR(SUMPRODUCT(EXPENSES!$D:$D),0)</f>
        <v>84425.18</v>
      </c>
      <c r="K103" s="126">
        <f t="shared" si="8"/>
        <v>113748</v>
      </c>
      <c r="L103" s="126">
        <f t="shared" si="6"/>
        <v>29322.82</v>
      </c>
      <c r="M103" s="127"/>
      <c r="N103" s="11"/>
      <c r="O103" s="11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122">
        <f t="shared" si="1"/>
        <v>100</v>
      </c>
      <c r="C104" s="123">
        <f t="shared" si="7"/>
        <v>48700</v>
      </c>
      <c r="D104" s="123">
        <f t="shared" si="2"/>
        <v>48730</v>
      </c>
      <c r="E104" s="124">
        <f>IF($D104="","",IFERROR(SUMIFS(EXPENSES!$D:$D,EXPENSES!$A:$A,"&gt;="&amp;$C104,EXPENSES!$A:$A,"&lt;="&amp;$D104),"na"))</f>
        <v>0</v>
      </c>
      <c r="F104" s="124">
        <f>IF($D104="","",IFERROR(SUMIFS(INCOME!$C:$C,INCOME!$A:$A,"&gt;="&amp;$C104,INCOME!$A:$A,"&lt;="&amp;$D104),"na"))</f>
        <v>0</v>
      </c>
      <c r="G104" s="124">
        <f t="shared" si="3"/>
        <v>0</v>
      </c>
      <c r="H104" s="125" t="str">
        <f t="shared" si="4"/>
        <v>na</v>
      </c>
      <c r="I104" s="125" t="str">
        <f t="shared" si="5"/>
        <v>na</v>
      </c>
      <c r="J104" s="126">
        <f>IFERROR(SUMPRODUCT(EXPENSES!$D:$D),0)</f>
        <v>84425.18</v>
      </c>
      <c r="K104" s="126">
        <f t="shared" si="8"/>
        <v>113748</v>
      </c>
      <c r="L104" s="126">
        <f t="shared" si="6"/>
        <v>29322.82</v>
      </c>
      <c r="M104" s="127"/>
      <c r="N104" s="11"/>
      <c r="O104" s="11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122">
        <f t="shared" si="1"/>
        <v>101</v>
      </c>
      <c r="C105" s="123">
        <f t="shared" si="7"/>
        <v>48731</v>
      </c>
      <c r="D105" s="123">
        <f t="shared" si="2"/>
        <v>48760</v>
      </c>
      <c r="E105" s="124">
        <f>IF($D105="","",IFERROR(SUMIFS(EXPENSES!$D:$D,EXPENSES!$A:$A,"&gt;="&amp;$C105,EXPENSES!$A:$A,"&lt;="&amp;$D105),"na"))</f>
        <v>0</v>
      </c>
      <c r="F105" s="124">
        <f>IF($D105="","",IFERROR(SUMIFS(INCOME!$C:$C,INCOME!$A:$A,"&gt;="&amp;$C105,INCOME!$A:$A,"&lt;="&amp;$D105),"na"))</f>
        <v>0</v>
      </c>
      <c r="G105" s="124">
        <f t="shared" si="3"/>
        <v>0</v>
      </c>
      <c r="H105" s="125" t="str">
        <f t="shared" si="4"/>
        <v>na</v>
      </c>
      <c r="I105" s="125" t="str">
        <f t="shared" si="5"/>
        <v>na</v>
      </c>
      <c r="J105" s="126">
        <f>IFERROR(SUMPRODUCT(EXPENSES!$D:$D),0)</f>
        <v>84425.18</v>
      </c>
      <c r="K105" s="126">
        <f t="shared" si="8"/>
        <v>113748</v>
      </c>
      <c r="L105" s="126">
        <f t="shared" si="6"/>
        <v>29322.82</v>
      </c>
      <c r="M105" s="127"/>
      <c r="N105" s="11"/>
      <c r="O105" s="11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122">
        <f t="shared" si="1"/>
        <v>102</v>
      </c>
      <c r="C106" s="123">
        <f t="shared" si="7"/>
        <v>48761</v>
      </c>
      <c r="D106" s="123">
        <f t="shared" si="2"/>
        <v>48791</v>
      </c>
      <c r="E106" s="124">
        <f>IF($D106="","",IFERROR(SUMIFS(EXPENSES!$D:$D,EXPENSES!$A:$A,"&gt;="&amp;$C106,EXPENSES!$A:$A,"&lt;="&amp;$D106),"na"))</f>
        <v>0</v>
      </c>
      <c r="F106" s="124">
        <f>IF($D106="","",IFERROR(SUMIFS(INCOME!$C:$C,INCOME!$A:$A,"&gt;="&amp;$C106,INCOME!$A:$A,"&lt;="&amp;$D106),"na"))</f>
        <v>0</v>
      </c>
      <c r="G106" s="124">
        <f t="shared" si="3"/>
        <v>0</v>
      </c>
      <c r="H106" s="125" t="str">
        <f t="shared" si="4"/>
        <v>na</v>
      </c>
      <c r="I106" s="125" t="str">
        <f t="shared" si="5"/>
        <v>na</v>
      </c>
      <c r="J106" s="126">
        <f>IFERROR(SUMPRODUCT(EXPENSES!$D:$D),0)</f>
        <v>84425.18</v>
      </c>
      <c r="K106" s="126">
        <f t="shared" si="8"/>
        <v>113748</v>
      </c>
      <c r="L106" s="126">
        <f t="shared" si="6"/>
        <v>29322.82</v>
      </c>
      <c r="M106" s="127"/>
      <c r="N106" s="11"/>
      <c r="O106" s="11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122">
        <f t="shared" si="1"/>
        <v>103</v>
      </c>
      <c r="C107" s="123">
        <f t="shared" si="7"/>
        <v>48792</v>
      </c>
      <c r="D107" s="123">
        <f t="shared" si="2"/>
        <v>48822</v>
      </c>
      <c r="E107" s="124">
        <f>IF($D107="","",IFERROR(SUMIFS(EXPENSES!$D:$D,EXPENSES!$A:$A,"&gt;="&amp;$C107,EXPENSES!$A:$A,"&lt;="&amp;$D107),"na"))</f>
        <v>0</v>
      </c>
      <c r="F107" s="124">
        <f>IF($D107="","",IFERROR(SUMIFS(INCOME!$C:$C,INCOME!$A:$A,"&gt;="&amp;$C107,INCOME!$A:$A,"&lt;="&amp;$D107),"na"))</f>
        <v>0</v>
      </c>
      <c r="G107" s="124">
        <f t="shared" si="3"/>
        <v>0</v>
      </c>
      <c r="H107" s="125" t="str">
        <f t="shared" si="4"/>
        <v>na</v>
      </c>
      <c r="I107" s="125" t="str">
        <f t="shared" si="5"/>
        <v>na</v>
      </c>
      <c r="J107" s="126">
        <f>IFERROR(SUMPRODUCT(EXPENSES!$D:$D),0)</f>
        <v>84425.18</v>
      </c>
      <c r="K107" s="126">
        <f t="shared" si="8"/>
        <v>113748</v>
      </c>
      <c r="L107" s="126">
        <f t="shared" si="6"/>
        <v>29322.82</v>
      </c>
      <c r="M107" s="127"/>
      <c r="N107" s="11"/>
      <c r="O107" s="11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122">
        <f t="shared" si="1"/>
        <v>104</v>
      </c>
      <c r="C108" s="123">
        <f t="shared" si="7"/>
        <v>48823</v>
      </c>
      <c r="D108" s="123">
        <f t="shared" si="2"/>
        <v>48852</v>
      </c>
      <c r="E108" s="124">
        <f>IF($D108="","",IFERROR(SUMIFS(EXPENSES!$D:$D,EXPENSES!$A:$A,"&gt;="&amp;$C108,EXPENSES!$A:$A,"&lt;="&amp;$D108),"na"))</f>
        <v>0</v>
      </c>
      <c r="F108" s="124">
        <f>IF($D108="","",IFERROR(SUMIFS(INCOME!$C:$C,INCOME!$A:$A,"&gt;="&amp;$C108,INCOME!$A:$A,"&lt;="&amp;$D108),"na"))</f>
        <v>0</v>
      </c>
      <c r="G108" s="124">
        <f t="shared" si="3"/>
        <v>0</v>
      </c>
      <c r="H108" s="125" t="str">
        <f t="shared" si="4"/>
        <v>na</v>
      </c>
      <c r="I108" s="125" t="str">
        <f t="shared" si="5"/>
        <v>na</v>
      </c>
      <c r="J108" s="126">
        <f>IFERROR(SUMPRODUCT(EXPENSES!$D:$D),0)</f>
        <v>84425.18</v>
      </c>
      <c r="K108" s="126">
        <f t="shared" si="8"/>
        <v>113748</v>
      </c>
      <c r="L108" s="126">
        <f t="shared" si="6"/>
        <v>29322.82</v>
      </c>
      <c r="M108" s="127"/>
      <c r="N108" s="11"/>
      <c r="O108" s="11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122">
        <f t="shared" si="1"/>
        <v>105</v>
      </c>
      <c r="C109" s="123">
        <f t="shared" si="7"/>
        <v>48853</v>
      </c>
      <c r="D109" s="123">
        <f t="shared" si="2"/>
        <v>48883</v>
      </c>
      <c r="E109" s="124">
        <f>IF($D109="","",IFERROR(SUMIFS(EXPENSES!$D:$D,EXPENSES!$A:$A,"&gt;="&amp;$C109,EXPENSES!$A:$A,"&lt;="&amp;$D109),"na"))</f>
        <v>0</v>
      </c>
      <c r="F109" s="124">
        <f>IF($D109="","",IFERROR(SUMIFS(INCOME!$C:$C,INCOME!$A:$A,"&gt;="&amp;$C109,INCOME!$A:$A,"&lt;="&amp;$D109),"na"))</f>
        <v>0</v>
      </c>
      <c r="G109" s="124">
        <f t="shared" si="3"/>
        <v>0</v>
      </c>
      <c r="H109" s="125" t="str">
        <f t="shared" si="4"/>
        <v>na</v>
      </c>
      <c r="I109" s="125" t="str">
        <f t="shared" si="5"/>
        <v>na</v>
      </c>
      <c r="J109" s="126">
        <f>IFERROR(SUMPRODUCT(EXPENSES!$D:$D),0)</f>
        <v>84425.18</v>
      </c>
      <c r="K109" s="126">
        <f t="shared" si="8"/>
        <v>113748</v>
      </c>
      <c r="L109" s="126">
        <f t="shared" si="6"/>
        <v>29322.82</v>
      </c>
      <c r="M109" s="127"/>
      <c r="N109" s="11"/>
      <c r="O109" s="11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122">
        <f t="shared" si="1"/>
        <v>106</v>
      </c>
      <c r="C110" s="123">
        <f t="shared" si="7"/>
        <v>48884</v>
      </c>
      <c r="D110" s="123">
        <f t="shared" si="2"/>
        <v>48913</v>
      </c>
      <c r="E110" s="124">
        <f>IF($D110="","",IFERROR(SUMIFS(EXPENSES!$D:$D,EXPENSES!$A:$A,"&gt;="&amp;$C110,EXPENSES!$A:$A,"&lt;="&amp;$D110),"na"))</f>
        <v>0</v>
      </c>
      <c r="F110" s="124">
        <f>IF($D110="","",IFERROR(SUMIFS(INCOME!$C:$C,INCOME!$A:$A,"&gt;="&amp;$C110,INCOME!$A:$A,"&lt;="&amp;$D110),"na"))</f>
        <v>0</v>
      </c>
      <c r="G110" s="124">
        <f t="shared" si="3"/>
        <v>0</v>
      </c>
      <c r="H110" s="125" t="str">
        <f t="shared" si="4"/>
        <v>na</v>
      </c>
      <c r="I110" s="125" t="str">
        <f t="shared" si="5"/>
        <v>na</v>
      </c>
      <c r="J110" s="126">
        <f>IFERROR(SUMPRODUCT(EXPENSES!$D:$D),0)</f>
        <v>84425.18</v>
      </c>
      <c r="K110" s="126">
        <f t="shared" si="8"/>
        <v>113748</v>
      </c>
      <c r="L110" s="126">
        <f t="shared" si="6"/>
        <v>29322.82</v>
      </c>
      <c r="M110" s="127"/>
      <c r="N110" s="11"/>
      <c r="O110" s="11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122">
        <f t="shared" si="1"/>
        <v>107</v>
      </c>
      <c r="C111" s="123">
        <f t="shared" si="7"/>
        <v>48914</v>
      </c>
      <c r="D111" s="123">
        <f t="shared" si="2"/>
        <v>48944</v>
      </c>
      <c r="E111" s="124">
        <f>IF($D111="","",IFERROR(SUMIFS(EXPENSES!$D:$D,EXPENSES!$A:$A,"&gt;="&amp;$C111,EXPENSES!$A:$A,"&lt;="&amp;$D111),"na"))</f>
        <v>0</v>
      </c>
      <c r="F111" s="124">
        <f>IF($D111="","",IFERROR(SUMIFS(INCOME!$C:$C,INCOME!$A:$A,"&gt;="&amp;$C111,INCOME!$A:$A,"&lt;="&amp;$D111),"na"))</f>
        <v>0</v>
      </c>
      <c r="G111" s="124">
        <f t="shared" si="3"/>
        <v>0</v>
      </c>
      <c r="H111" s="125" t="str">
        <f t="shared" si="4"/>
        <v>na</v>
      </c>
      <c r="I111" s="125" t="str">
        <f t="shared" si="5"/>
        <v>na</v>
      </c>
      <c r="J111" s="126">
        <f>IFERROR(SUMPRODUCT(EXPENSES!$D:$D),0)</f>
        <v>84425.18</v>
      </c>
      <c r="K111" s="126">
        <f t="shared" si="8"/>
        <v>113748</v>
      </c>
      <c r="L111" s="126">
        <f t="shared" si="6"/>
        <v>29322.82</v>
      </c>
      <c r="M111" s="127"/>
      <c r="N111" s="11"/>
      <c r="O111" s="11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122">
        <f t="shared" si="1"/>
        <v>108</v>
      </c>
      <c r="C112" s="123">
        <f t="shared" si="7"/>
        <v>48945</v>
      </c>
      <c r="D112" s="123">
        <f t="shared" si="2"/>
        <v>48975</v>
      </c>
      <c r="E112" s="124">
        <f>IF($D112="","",IFERROR(SUMIFS(EXPENSES!$D:$D,EXPENSES!$A:$A,"&gt;="&amp;$C112,EXPENSES!$A:$A,"&lt;="&amp;$D112),"na"))</f>
        <v>0</v>
      </c>
      <c r="F112" s="124">
        <f>IF($D112="","",IFERROR(SUMIFS(INCOME!$C:$C,INCOME!$A:$A,"&gt;="&amp;$C112,INCOME!$A:$A,"&lt;="&amp;$D112),"na"))</f>
        <v>0</v>
      </c>
      <c r="G112" s="124">
        <f t="shared" si="3"/>
        <v>0</v>
      </c>
      <c r="H112" s="125" t="str">
        <f t="shared" si="4"/>
        <v>na</v>
      </c>
      <c r="I112" s="125" t="str">
        <f t="shared" si="5"/>
        <v>na</v>
      </c>
      <c r="J112" s="126">
        <f>IFERROR(SUMPRODUCT(EXPENSES!$D:$D),0)</f>
        <v>84425.18</v>
      </c>
      <c r="K112" s="126">
        <f t="shared" si="8"/>
        <v>113748</v>
      </c>
      <c r="L112" s="126">
        <f t="shared" si="6"/>
        <v>29322.82</v>
      </c>
      <c r="M112" s="127"/>
      <c r="N112" s="11"/>
      <c r="O112" s="11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122">
        <f t="shared" si="1"/>
        <v>109</v>
      </c>
      <c r="C113" s="123">
        <f t="shared" si="7"/>
        <v>48976</v>
      </c>
      <c r="D113" s="123">
        <f t="shared" si="2"/>
        <v>49003</v>
      </c>
      <c r="E113" s="124">
        <f>IF($D113="","",IFERROR(SUMIFS(EXPENSES!$D:$D,EXPENSES!$A:$A,"&gt;="&amp;$C113,EXPENSES!$A:$A,"&lt;="&amp;$D113),"na"))</f>
        <v>0</v>
      </c>
      <c r="F113" s="124">
        <f>IF($D113="","",IFERROR(SUMIFS(INCOME!$C:$C,INCOME!$A:$A,"&gt;="&amp;$C113,INCOME!$A:$A,"&lt;="&amp;$D113),"na"))</f>
        <v>0</v>
      </c>
      <c r="G113" s="124">
        <f t="shared" si="3"/>
        <v>0</v>
      </c>
      <c r="H113" s="125" t="str">
        <f t="shared" si="4"/>
        <v>na</v>
      </c>
      <c r="I113" s="125" t="str">
        <f t="shared" si="5"/>
        <v>na</v>
      </c>
      <c r="J113" s="126">
        <f>IFERROR(SUMPRODUCT(EXPENSES!$D:$D),0)</f>
        <v>84425.18</v>
      </c>
      <c r="K113" s="126">
        <f t="shared" si="8"/>
        <v>113748</v>
      </c>
      <c r="L113" s="126">
        <f t="shared" si="6"/>
        <v>29322.82</v>
      </c>
      <c r="M113" s="127"/>
      <c r="N113" s="11"/>
      <c r="O113" s="11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122">
        <f t="shared" si="1"/>
        <v>110</v>
      </c>
      <c r="C114" s="123">
        <f t="shared" si="7"/>
        <v>49004</v>
      </c>
      <c r="D114" s="123">
        <f t="shared" si="2"/>
        <v>49034</v>
      </c>
      <c r="E114" s="124">
        <f>IF($D114="","",IFERROR(SUMIFS(EXPENSES!$D:$D,EXPENSES!$A:$A,"&gt;="&amp;$C114,EXPENSES!$A:$A,"&lt;="&amp;$D114),"na"))</f>
        <v>0</v>
      </c>
      <c r="F114" s="124">
        <f>IF($D114="","",IFERROR(SUMIFS(INCOME!$C:$C,INCOME!$A:$A,"&gt;="&amp;$C114,INCOME!$A:$A,"&lt;="&amp;$D114),"na"))</f>
        <v>0</v>
      </c>
      <c r="G114" s="124">
        <f t="shared" si="3"/>
        <v>0</v>
      </c>
      <c r="H114" s="125" t="str">
        <f t="shared" si="4"/>
        <v>na</v>
      </c>
      <c r="I114" s="125" t="str">
        <f t="shared" si="5"/>
        <v>na</v>
      </c>
      <c r="J114" s="126">
        <f>IFERROR(SUMPRODUCT(EXPENSES!$D:$D),0)</f>
        <v>84425.18</v>
      </c>
      <c r="K114" s="126">
        <f t="shared" si="8"/>
        <v>113748</v>
      </c>
      <c r="L114" s="126">
        <f t="shared" si="6"/>
        <v>29322.82</v>
      </c>
      <c r="M114" s="127"/>
      <c r="N114" s="11"/>
      <c r="O114" s="11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122">
        <f t="shared" si="1"/>
        <v>111</v>
      </c>
      <c r="C115" s="123">
        <f t="shared" si="7"/>
        <v>49035</v>
      </c>
      <c r="D115" s="123">
        <f t="shared" si="2"/>
        <v>49064</v>
      </c>
      <c r="E115" s="124">
        <f>IF($D115="","",IFERROR(SUMIFS(EXPENSES!$D:$D,EXPENSES!$A:$A,"&gt;="&amp;$C115,EXPENSES!$A:$A,"&lt;="&amp;$D115),"na"))</f>
        <v>0</v>
      </c>
      <c r="F115" s="124">
        <f>IF($D115="","",IFERROR(SUMIFS(INCOME!$C:$C,INCOME!$A:$A,"&gt;="&amp;$C115,INCOME!$A:$A,"&lt;="&amp;$D115),"na"))</f>
        <v>0</v>
      </c>
      <c r="G115" s="124">
        <f t="shared" si="3"/>
        <v>0</v>
      </c>
      <c r="H115" s="125" t="str">
        <f t="shared" si="4"/>
        <v>na</v>
      </c>
      <c r="I115" s="125" t="str">
        <f t="shared" si="5"/>
        <v>na</v>
      </c>
      <c r="J115" s="126">
        <f>IFERROR(SUMPRODUCT(EXPENSES!$D:$D),0)</f>
        <v>84425.18</v>
      </c>
      <c r="K115" s="126">
        <f t="shared" si="8"/>
        <v>113748</v>
      </c>
      <c r="L115" s="126">
        <f t="shared" si="6"/>
        <v>29322.82</v>
      </c>
      <c r="M115" s="127"/>
      <c r="N115" s="11"/>
      <c r="O115" s="11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122">
        <f t="shared" si="1"/>
        <v>112</v>
      </c>
      <c r="C116" s="123">
        <f t="shared" si="7"/>
        <v>49065</v>
      </c>
      <c r="D116" s="123">
        <f t="shared" si="2"/>
        <v>49095</v>
      </c>
      <c r="E116" s="124">
        <f>IF($D116="","",IFERROR(SUMIFS(EXPENSES!$D:$D,EXPENSES!$A:$A,"&gt;="&amp;$C116,EXPENSES!$A:$A,"&lt;="&amp;$D116),"na"))</f>
        <v>0</v>
      </c>
      <c r="F116" s="124">
        <f>IF($D116="","",IFERROR(SUMIFS(INCOME!$C:$C,INCOME!$A:$A,"&gt;="&amp;$C116,INCOME!$A:$A,"&lt;="&amp;$D116),"na"))</f>
        <v>0</v>
      </c>
      <c r="G116" s="124">
        <f t="shared" si="3"/>
        <v>0</v>
      </c>
      <c r="H116" s="125" t="str">
        <f t="shared" si="4"/>
        <v>na</v>
      </c>
      <c r="I116" s="125" t="str">
        <f t="shared" si="5"/>
        <v>na</v>
      </c>
      <c r="J116" s="126">
        <f>IFERROR(SUMPRODUCT(EXPENSES!$D:$D),0)</f>
        <v>84425.18</v>
      </c>
      <c r="K116" s="126">
        <f t="shared" si="8"/>
        <v>113748</v>
      </c>
      <c r="L116" s="126">
        <f t="shared" si="6"/>
        <v>29322.82</v>
      </c>
      <c r="M116" s="127"/>
      <c r="N116" s="11"/>
      <c r="O116" s="11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122">
        <f t="shared" si="1"/>
        <v>113</v>
      </c>
      <c r="C117" s="123">
        <f t="shared" si="7"/>
        <v>49096</v>
      </c>
      <c r="D117" s="123">
        <f t="shared" si="2"/>
        <v>49125</v>
      </c>
      <c r="E117" s="124">
        <f>IF($D117="","",IFERROR(SUMIFS(EXPENSES!$D:$D,EXPENSES!$A:$A,"&gt;="&amp;$C117,EXPENSES!$A:$A,"&lt;="&amp;$D117),"na"))</f>
        <v>0</v>
      </c>
      <c r="F117" s="124">
        <f>IF($D117="","",IFERROR(SUMIFS(INCOME!$C:$C,INCOME!$A:$A,"&gt;="&amp;$C117,INCOME!$A:$A,"&lt;="&amp;$D117),"na"))</f>
        <v>0</v>
      </c>
      <c r="G117" s="124">
        <f t="shared" si="3"/>
        <v>0</v>
      </c>
      <c r="H117" s="125" t="str">
        <f t="shared" si="4"/>
        <v>na</v>
      </c>
      <c r="I117" s="125" t="str">
        <f t="shared" si="5"/>
        <v>na</v>
      </c>
      <c r="J117" s="126">
        <f>IFERROR(SUMPRODUCT(EXPENSES!$D:$D),0)</f>
        <v>84425.18</v>
      </c>
      <c r="K117" s="126">
        <f t="shared" si="8"/>
        <v>113748</v>
      </c>
      <c r="L117" s="126">
        <f t="shared" si="6"/>
        <v>29322.82</v>
      </c>
      <c r="M117" s="127"/>
      <c r="N117" s="11"/>
      <c r="O117" s="11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122">
        <f t="shared" si="1"/>
        <v>114</v>
      </c>
      <c r="C118" s="123">
        <f t="shared" si="7"/>
        <v>49126</v>
      </c>
      <c r="D118" s="123">
        <f t="shared" si="2"/>
        <v>49156</v>
      </c>
      <c r="E118" s="124">
        <f>IF($D118="","",IFERROR(SUMIFS(EXPENSES!$D:$D,EXPENSES!$A:$A,"&gt;="&amp;$C118,EXPENSES!$A:$A,"&lt;="&amp;$D118),"na"))</f>
        <v>0</v>
      </c>
      <c r="F118" s="124">
        <f>IF($D118="","",IFERROR(SUMIFS(INCOME!$C:$C,INCOME!$A:$A,"&gt;="&amp;$C118,INCOME!$A:$A,"&lt;="&amp;$D118),"na"))</f>
        <v>0</v>
      </c>
      <c r="G118" s="124">
        <f t="shared" si="3"/>
        <v>0</v>
      </c>
      <c r="H118" s="125" t="str">
        <f t="shared" si="4"/>
        <v>na</v>
      </c>
      <c r="I118" s="125" t="str">
        <f t="shared" si="5"/>
        <v>na</v>
      </c>
      <c r="J118" s="126">
        <f>IFERROR(SUMPRODUCT(EXPENSES!$D:$D),0)</f>
        <v>84425.18</v>
      </c>
      <c r="K118" s="126">
        <f t="shared" si="8"/>
        <v>113748</v>
      </c>
      <c r="L118" s="126">
        <f t="shared" si="6"/>
        <v>29322.82</v>
      </c>
      <c r="M118" s="127"/>
      <c r="N118" s="11"/>
      <c r="O118" s="11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122">
        <f t="shared" si="1"/>
        <v>115</v>
      </c>
      <c r="C119" s="123">
        <f t="shared" si="7"/>
        <v>49157</v>
      </c>
      <c r="D119" s="123">
        <f t="shared" si="2"/>
        <v>49187</v>
      </c>
      <c r="E119" s="124">
        <f>IF($D119="","",IFERROR(SUMIFS(EXPENSES!$D:$D,EXPENSES!$A:$A,"&gt;="&amp;$C119,EXPENSES!$A:$A,"&lt;="&amp;$D119),"na"))</f>
        <v>0</v>
      </c>
      <c r="F119" s="124">
        <f>IF($D119="","",IFERROR(SUMIFS(INCOME!$C:$C,INCOME!$A:$A,"&gt;="&amp;$C119,INCOME!$A:$A,"&lt;="&amp;$D119),"na"))</f>
        <v>0</v>
      </c>
      <c r="G119" s="124">
        <f t="shared" si="3"/>
        <v>0</v>
      </c>
      <c r="H119" s="125" t="str">
        <f t="shared" si="4"/>
        <v>na</v>
      </c>
      <c r="I119" s="125" t="str">
        <f t="shared" si="5"/>
        <v>na</v>
      </c>
      <c r="J119" s="126">
        <f>IFERROR(SUMPRODUCT(EXPENSES!$D:$D),0)</f>
        <v>84425.18</v>
      </c>
      <c r="K119" s="126">
        <f t="shared" si="8"/>
        <v>113748</v>
      </c>
      <c r="L119" s="126">
        <f t="shared" si="6"/>
        <v>29322.82</v>
      </c>
      <c r="M119" s="127"/>
      <c r="N119" s="11"/>
      <c r="O119" s="11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122">
        <f t="shared" si="1"/>
        <v>116</v>
      </c>
      <c r="C120" s="123">
        <f t="shared" si="7"/>
        <v>49188</v>
      </c>
      <c r="D120" s="123">
        <f t="shared" si="2"/>
        <v>49217</v>
      </c>
      <c r="E120" s="124">
        <f>IF($D120="","",IFERROR(SUMIFS(EXPENSES!$D:$D,EXPENSES!$A:$A,"&gt;="&amp;$C120,EXPENSES!$A:$A,"&lt;="&amp;$D120),"na"))</f>
        <v>0</v>
      </c>
      <c r="F120" s="124">
        <f>IF($D120="","",IFERROR(SUMIFS(INCOME!$C:$C,INCOME!$A:$A,"&gt;="&amp;$C120,INCOME!$A:$A,"&lt;="&amp;$D120),"na"))</f>
        <v>0</v>
      </c>
      <c r="G120" s="124">
        <f t="shared" si="3"/>
        <v>0</v>
      </c>
      <c r="H120" s="125" t="str">
        <f t="shared" si="4"/>
        <v>na</v>
      </c>
      <c r="I120" s="125" t="str">
        <f t="shared" si="5"/>
        <v>na</v>
      </c>
      <c r="J120" s="126">
        <f>IFERROR(SUMPRODUCT(EXPENSES!$D:$D),0)</f>
        <v>84425.18</v>
      </c>
      <c r="K120" s="126">
        <f t="shared" si="8"/>
        <v>113748</v>
      </c>
      <c r="L120" s="126">
        <f t="shared" si="6"/>
        <v>29322.82</v>
      </c>
      <c r="M120" s="127"/>
      <c r="N120" s="11"/>
      <c r="O120" s="11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122">
        <f t="shared" si="1"/>
        <v>117</v>
      </c>
      <c r="C121" s="123">
        <f t="shared" si="7"/>
        <v>49218</v>
      </c>
      <c r="D121" s="123">
        <f t="shared" si="2"/>
        <v>49248</v>
      </c>
      <c r="E121" s="124">
        <f>IF($D121="","",IFERROR(SUMIFS(EXPENSES!$D:$D,EXPENSES!$A:$A,"&gt;="&amp;$C121,EXPENSES!$A:$A,"&lt;="&amp;$D121),"na"))</f>
        <v>0</v>
      </c>
      <c r="F121" s="124">
        <f>IF($D121="","",IFERROR(SUMIFS(INCOME!$C:$C,INCOME!$A:$A,"&gt;="&amp;$C121,INCOME!$A:$A,"&lt;="&amp;$D121),"na"))</f>
        <v>0</v>
      </c>
      <c r="G121" s="124">
        <f t="shared" si="3"/>
        <v>0</v>
      </c>
      <c r="H121" s="125" t="str">
        <f t="shared" si="4"/>
        <v>na</v>
      </c>
      <c r="I121" s="125" t="str">
        <f t="shared" si="5"/>
        <v>na</v>
      </c>
      <c r="J121" s="126">
        <f>IFERROR(SUMPRODUCT(EXPENSES!$D:$D),0)</f>
        <v>84425.18</v>
      </c>
      <c r="K121" s="126">
        <f t="shared" si="8"/>
        <v>113748</v>
      </c>
      <c r="L121" s="126">
        <f t="shared" si="6"/>
        <v>29322.82</v>
      </c>
      <c r="M121" s="127"/>
      <c r="N121" s="11"/>
      <c r="O121" s="11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122">
        <f t="shared" si="1"/>
        <v>118</v>
      </c>
      <c r="C122" s="123">
        <f t="shared" si="7"/>
        <v>49249</v>
      </c>
      <c r="D122" s="123">
        <f t="shared" si="2"/>
        <v>49278</v>
      </c>
      <c r="E122" s="124">
        <f>IF($D122="","",IFERROR(SUMIFS(EXPENSES!$D:$D,EXPENSES!$A:$A,"&gt;="&amp;$C122,EXPENSES!$A:$A,"&lt;="&amp;$D122),"na"))</f>
        <v>0</v>
      </c>
      <c r="F122" s="124">
        <f>IF($D122="","",IFERROR(SUMIFS(INCOME!$C:$C,INCOME!$A:$A,"&gt;="&amp;$C122,INCOME!$A:$A,"&lt;="&amp;$D122),"na"))</f>
        <v>0</v>
      </c>
      <c r="G122" s="124">
        <f t="shared" si="3"/>
        <v>0</v>
      </c>
      <c r="H122" s="125" t="str">
        <f t="shared" si="4"/>
        <v>na</v>
      </c>
      <c r="I122" s="125" t="str">
        <f t="shared" si="5"/>
        <v>na</v>
      </c>
      <c r="J122" s="126">
        <f>IFERROR(SUMPRODUCT(EXPENSES!$D:$D),0)</f>
        <v>84425.18</v>
      </c>
      <c r="K122" s="126">
        <f t="shared" si="8"/>
        <v>113748</v>
      </c>
      <c r="L122" s="126">
        <f t="shared" si="6"/>
        <v>29322.82</v>
      </c>
      <c r="M122" s="127"/>
      <c r="N122" s="11"/>
      <c r="O122" s="11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122">
        <f t="shared" si="1"/>
        <v>119</v>
      </c>
      <c r="C123" s="123">
        <f t="shared" si="7"/>
        <v>49279</v>
      </c>
      <c r="D123" s="123">
        <f t="shared" si="2"/>
        <v>49309</v>
      </c>
      <c r="E123" s="124">
        <f>IF($D123="","",IFERROR(SUMIFS(EXPENSES!$D:$D,EXPENSES!$A:$A,"&gt;="&amp;$C123,EXPENSES!$A:$A,"&lt;="&amp;$D123),"na"))</f>
        <v>0</v>
      </c>
      <c r="F123" s="124">
        <f>IF($D123="","",IFERROR(SUMIFS(INCOME!$C:$C,INCOME!$A:$A,"&gt;="&amp;$C123,INCOME!$A:$A,"&lt;="&amp;$D123),"na"))</f>
        <v>0</v>
      </c>
      <c r="G123" s="124">
        <f t="shared" si="3"/>
        <v>0</v>
      </c>
      <c r="H123" s="125" t="str">
        <f t="shared" si="4"/>
        <v>na</v>
      </c>
      <c r="I123" s="125" t="str">
        <f t="shared" si="5"/>
        <v>na</v>
      </c>
      <c r="J123" s="126">
        <f>IFERROR(SUMPRODUCT(EXPENSES!$D:$D),0)</f>
        <v>84425.18</v>
      </c>
      <c r="K123" s="126">
        <f t="shared" si="8"/>
        <v>113748</v>
      </c>
      <c r="L123" s="126">
        <f t="shared" si="6"/>
        <v>29322.82</v>
      </c>
      <c r="M123" s="127"/>
      <c r="N123" s="11"/>
      <c r="O123" s="11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122">
        <f t="shared" si="1"/>
        <v>120</v>
      </c>
      <c r="C124" s="123">
        <f t="shared" si="7"/>
        <v>49310</v>
      </c>
      <c r="D124" s="123">
        <f t="shared" si="2"/>
        <v>49340</v>
      </c>
      <c r="E124" s="124">
        <f>IF($D124="","",IFERROR(SUMIFS(EXPENSES!$D:$D,EXPENSES!$A:$A,"&gt;="&amp;$C124,EXPENSES!$A:$A,"&lt;="&amp;$D124),"na"))</f>
        <v>0</v>
      </c>
      <c r="F124" s="124">
        <f>IF($D124="","",IFERROR(SUMIFS(INCOME!$C:$C,INCOME!$A:$A,"&gt;="&amp;$C124,INCOME!$A:$A,"&lt;="&amp;$D124),"na"))</f>
        <v>0</v>
      </c>
      <c r="G124" s="124">
        <f t="shared" si="3"/>
        <v>0</v>
      </c>
      <c r="H124" s="125" t="str">
        <f t="shared" si="4"/>
        <v>na</v>
      </c>
      <c r="I124" s="125" t="str">
        <f t="shared" si="5"/>
        <v>na</v>
      </c>
      <c r="J124" s="126">
        <f>IFERROR(SUMPRODUCT(EXPENSES!$D:$D),0)</f>
        <v>84425.18</v>
      </c>
      <c r="K124" s="126">
        <f t="shared" si="8"/>
        <v>113748</v>
      </c>
      <c r="L124" s="126">
        <f t="shared" si="6"/>
        <v>29322.82</v>
      </c>
      <c r="M124" s="127"/>
      <c r="N124" s="11"/>
      <c r="O124" s="11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122">
        <f t="shared" si="1"/>
        <v>121</v>
      </c>
      <c r="C125" s="123">
        <f t="shared" si="7"/>
        <v>49341</v>
      </c>
      <c r="D125" s="123">
        <f t="shared" si="2"/>
        <v>49368</v>
      </c>
      <c r="E125" s="124">
        <f>IF($D125="","",IFERROR(SUMIFS(EXPENSES!$D:$D,EXPENSES!$A:$A,"&gt;="&amp;$C125,EXPENSES!$A:$A,"&lt;="&amp;$D125),"na"))</f>
        <v>0</v>
      </c>
      <c r="F125" s="124">
        <f>IF($D125="","",IFERROR(SUMIFS(INCOME!$C:$C,INCOME!$A:$A,"&gt;="&amp;$C125,INCOME!$A:$A,"&lt;="&amp;$D125),"na"))</f>
        <v>0</v>
      </c>
      <c r="G125" s="124">
        <f t="shared" si="3"/>
        <v>0</v>
      </c>
      <c r="H125" s="125" t="str">
        <f t="shared" si="4"/>
        <v>na</v>
      </c>
      <c r="I125" s="125" t="str">
        <f t="shared" si="5"/>
        <v>na</v>
      </c>
      <c r="J125" s="126">
        <f>IFERROR(SUMPRODUCT(EXPENSES!$D:$D),0)</f>
        <v>84425.18</v>
      </c>
      <c r="K125" s="126">
        <f t="shared" si="8"/>
        <v>113748</v>
      </c>
      <c r="L125" s="126">
        <f t="shared" si="6"/>
        <v>29322.82</v>
      </c>
      <c r="M125" s="127"/>
      <c r="N125" s="11"/>
      <c r="O125" s="11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122">
        <f t="shared" si="1"/>
        <v>122</v>
      </c>
      <c r="C126" s="123">
        <f t="shared" si="7"/>
        <v>49369</v>
      </c>
      <c r="D126" s="123">
        <f t="shared" si="2"/>
        <v>49399</v>
      </c>
      <c r="E126" s="124">
        <f>IF($D126="","",IFERROR(SUMIFS(EXPENSES!$D:$D,EXPENSES!$A:$A,"&gt;="&amp;$C126,EXPENSES!$A:$A,"&lt;="&amp;$D126),"na"))</f>
        <v>0</v>
      </c>
      <c r="F126" s="124">
        <f>IF($D126="","",IFERROR(SUMIFS(INCOME!$C:$C,INCOME!$A:$A,"&gt;="&amp;$C126,INCOME!$A:$A,"&lt;="&amp;$D126),"na"))</f>
        <v>0</v>
      </c>
      <c r="G126" s="124">
        <f t="shared" si="3"/>
        <v>0</v>
      </c>
      <c r="H126" s="125" t="str">
        <f t="shared" si="4"/>
        <v>na</v>
      </c>
      <c r="I126" s="125" t="str">
        <f t="shared" si="5"/>
        <v>na</v>
      </c>
      <c r="J126" s="126">
        <f>IFERROR(SUMPRODUCT(EXPENSES!$D:$D),0)</f>
        <v>84425.18</v>
      </c>
      <c r="K126" s="126">
        <f t="shared" si="8"/>
        <v>113748</v>
      </c>
      <c r="L126" s="126">
        <f t="shared" si="6"/>
        <v>29322.82</v>
      </c>
      <c r="M126" s="127"/>
      <c r="N126" s="11"/>
      <c r="O126" s="11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122">
        <f t="shared" si="1"/>
        <v>123</v>
      </c>
      <c r="C127" s="123">
        <f t="shared" si="7"/>
        <v>49400</v>
      </c>
      <c r="D127" s="123">
        <f t="shared" si="2"/>
        <v>49429</v>
      </c>
      <c r="E127" s="124">
        <f>IF($D127="","",IFERROR(SUMIFS(EXPENSES!$D:$D,EXPENSES!$A:$A,"&gt;="&amp;$C127,EXPENSES!$A:$A,"&lt;="&amp;$D127),"na"))</f>
        <v>0</v>
      </c>
      <c r="F127" s="124">
        <f>IF($D127="","",IFERROR(SUMIFS(INCOME!$C:$C,INCOME!$A:$A,"&gt;="&amp;$C127,INCOME!$A:$A,"&lt;="&amp;$D127),"na"))</f>
        <v>0</v>
      </c>
      <c r="G127" s="124">
        <f t="shared" si="3"/>
        <v>0</v>
      </c>
      <c r="H127" s="125" t="str">
        <f t="shared" si="4"/>
        <v>na</v>
      </c>
      <c r="I127" s="125" t="str">
        <f t="shared" si="5"/>
        <v>na</v>
      </c>
      <c r="J127" s="126">
        <f>IFERROR(SUMPRODUCT(EXPENSES!$D:$D),0)</f>
        <v>84425.18</v>
      </c>
      <c r="K127" s="126">
        <f t="shared" si="8"/>
        <v>113748</v>
      </c>
      <c r="L127" s="126">
        <f t="shared" si="6"/>
        <v>29322.82</v>
      </c>
      <c r="M127" s="127"/>
      <c r="N127" s="11"/>
      <c r="O127" s="11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122">
        <f t="shared" si="1"/>
        <v>124</v>
      </c>
      <c r="C128" s="123">
        <f t="shared" si="7"/>
        <v>49430</v>
      </c>
      <c r="D128" s="123">
        <f t="shared" si="2"/>
        <v>49460</v>
      </c>
      <c r="E128" s="124">
        <f>IF($D128="","",IFERROR(SUMIFS(EXPENSES!$D:$D,EXPENSES!$A:$A,"&gt;="&amp;$C128,EXPENSES!$A:$A,"&lt;="&amp;$D128),"na"))</f>
        <v>0</v>
      </c>
      <c r="F128" s="124">
        <f>IF($D128="","",IFERROR(SUMIFS(INCOME!$C:$C,INCOME!$A:$A,"&gt;="&amp;$C128,INCOME!$A:$A,"&lt;="&amp;$D128),"na"))</f>
        <v>0</v>
      </c>
      <c r="G128" s="124">
        <f t="shared" si="3"/>
        <v>0</v>
      </c>
      <c r="H128" s="125" t="str">
        <f t="shared" si="4"/>
        <v>na</v>
      </c>
      <c r="I128" s="125" t="str">
        <f t="shared" si="5"/>
        <v>na</v>
      </c>
      <c r="J128" s="126">
        <f>IFERROR(SUMPRODUCT(EXPENSES!$D:$D),0)</f>
        <v>84425.18</v>
      </c>
      <c r="K128" s="126">
        <f t="shared" si="8"/>
        <v>113748</v>
      </c>
      <c r="L128" s="126">
        <f t="shared" si="6"/>
        <v>29322.82</v>
      </c>
      <c r="M128" s="127"/>
      <c r="N128" s="11"/>
      <c r="O128" s="11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122">
        <f t="shared" si="1"/>
        <v>125</v>
      </c>
      <c r="C129" s="123">
        <f t="shared" si="7"/>
        <v>49461</v>
      </c>
      <c r="D129" s="123">
        <f t="shared" si="2"/>
        <v>49490</v>
      </c>
      <c r="E129" s="124">
        <f>IF($D129="","",IFERROR(SUMIFS(EXPENSES!$D:$D,EXPENSES!$A:$A,"&gt;="&amp;$C129,EXPENSES!$A:$A,"&lt;="&amp;$D129),"na"))</f>
        <v>0</v>
      </c>
      <c r="F129" s="124">
        <f>IF($D129="","",IFERROR(SUMIFS(INCOME!$C:$C,INCOME!$A:$A,"&gt;="&amp;$C129,INCOME!$A:$A,"&lt;="&amp;$D129),"na"))</f>
        <v>0</v>
      </c>
      <c r="G129" s="124">
        <f t="shared" si="3"/>
        <v>0</v>
      </c>
      <c r="H129" s="125" t="str">
        <f t="shared" si="4"/>
        <v>na</v>
      </c>
      <c r="I129" s="125" t="str">
        <f t="shared" si="5"/>
        <v>na</v>
      </c>
      <c r="J129" s="126">
        <f>IFERROR(SUMPRODUCT(EXPENSES!$D:$D),0)</f>
        <v>84425.18</v>
      </c>
      <c r="K129" s="126">
        <f t="shared" si="8"/>
        <v>113748</v>
      </c>
      <c r="L129" s="126">
        <f t="shared" si="6"/>
        <v>29322.82</v>
      </c>
      <c r="M129" s="127"/>
      <c r="N129" s="11"/>
      <c r="O129" s="11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122">
        <f t="shared" si="1"/>
        <v>126</v>
      </c>
      <c r="C130" s="123">
        <f t="shared" si="7"/>
        <v>49491</v>
      </c>
      <c r="D130" s="123">
        <f t="shared" si="2"/>
        <v>49521</v>
      </c>
      <c r="E130" s="124">
        <f>IF($D130="","",IFERROR(SUMIFS(EXPENSES!$D:$D,EXPENSES!$A:$A,"&gt;="&amp;$C130,EXPENSES!$A:$A,"&lt;="&amp;$D130),"na"))</f>
        <v>0</v>
      </c>
      <c r="F130" s="124">
        <f>IF($D130="","",IFERROR(SUMIFS(INCOME!$C:$C,INCOME!$A:$A,"&gt;="&amp;$C130,INCOME!$A:$A,"&lt;="&amp;$D130),"na"))</f>
        <v>0</v>
      </c>
      <c r="G130" s="124">
        <f t="shared" si="3"/>
        <v>0</v>
      </c>
      <c r="H130" s="125" t="str">
        <f t="shared" si="4"/>
        <v>na</v>
      </c>
      <c r="I130" s="125" t="str">
        <f t="shared" si="5"/>
        <v>na</v>
      </c>
      <c r="J130" s="126">
        <f>IFERROR(SUMPRODUCT(EXPENSES!$D:$D),0)</f>
        <v>84425.18</v>
      </c>
      <c r="K130" s="126">
        <f t="shared" si="8"/>
        <v>113748</v>
      </c>
      <c r="L130" s="126">
        <f t="shared" si="6"/>
        <v>29322.82</v>
      </c>
      <c r="M130" s="127"/>
      <c r="N130" s="11"/>
      <c r="O130" s="11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122">
        <f t="shared" si="1"/>
        <v>127</v>
      </c>
      <c r="C131" s="123">
        <f t="shared" si="7"/>
        <v>49522</v>
      </c>
      <c r="D131" s="123">
        <f t="shared" si="2"/>
        <v>49552</v>
      </c>
      <c r="E131" s="124">
        <f>IF($D131="","",IFERROR(SUMIFS(EXPENSES!$D:$D,EXPENSES!$A:$A,"&gt;="&amp;$C131,EXPENSES!$A:$A,"&lt;="&amp;$D131),"na"))</f>
        <v>0</v>
      </c>
      <c r="F131" s="124">
        <f>IF($D131="","",IFERROR(SUMIFS(INCOME!$C:$C,INCOME!$A:$A,"&gt;="&amp;$C131,INCOME!$A:$A,"&lt;="&amp;$D131),"na"))</f>
        <v>0</v>
      </c>
      <c r="G131" s="124">
        <f t="shared" si="3"/>
        <v>0</v>
      </c>
      <c r="H131" s="125" t="str">
        <f t="shared" si="4"/>
        <v>na</v>
      </c>
      <c r="I131" s="125" t="str">
        <f t="shared" si="5"/>
        <v>na</v>
      </c>
      <c r="J131" s="126">
        <f>IFERROR(SUMPRODUCT(EXPENSES!$D:$D),0)</f>
        <v>84425.18</v>
      </c>
      <c r="K131" s="126">
        <f t="shared" si="8"/>
        <v>113748</v>
      </c>
      <c r="L131" s="126">
        <f t="shared" si="6"/>
        <v>29322.82</v>
      </c>
      <c r="M131" s="127"/>
      <c r="N131" s="11"/>
      <c r="O131" s="11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122">
        <f t="shared" si="1"/>
        <v>128</v>
      </c>
      <c r="C132" s="123">
        <f t="shared" si="7"/>
        <v>49553</v>
      </c>
      <c r="D132" s="123">
        <f t="shared" si="2"/>
        <v>49582</v>
      </c>
      <c r="E132" s="124">
        <f>IF($D132="","",IFERROR(SUMIFS(EXPENSES!$D:$D,EXPENSES!$A:$A,"&gt;="&amp;$C132,EXPENSES!$A:$A,"&lt;="&amp;$D132),"na"))</f>
        <v>0</v>
      </c>
      <c r="F132" s="124">
        <f>IF($D132="","",IFERROR(SUMIFS(INCOME!$C:$C,INCOME!$A:$A,"&gt;="&amp;$C132,INCOME!$A:$A,"&lt;="&amp;$D132),"na"))</f>
        <v>0</v>
      </c>
      <c r="G132" s="124">
        <f t="shared" si="3"/>
        <v>0</v>
      </c>
      <c r="H132" s="125" t="str">
        <f t="shared" si="4"/>
        <v>na</v>
      </c>
      <c r="I132" s="125" t="str">
        <f t="shared" si="5"/>
        <v>na</v>
      </c>
      <c r="J132" s="126">
        <f>IFERROR(SUMPRODUCT(EXPENSES!$D:$D),0)</f>
        <v>84425.18</v>
      </c>
      <c r="K132" s="126">
        <f t="shared" si="8"/>
        <v>113748</v>
      </c>
      <c r="L132" s="126">
        <f t="shared" si="6"/>
        <v>29322.82</v>
      </c>
      <c r="M132" s="127"/>
      <c r="N132" s="11"/>
      <c r="O132" s="11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122">
        <f t="shared" si="1"/>
        <v>129</v>
      </c>
      <c r="C133" s="123">
        <f t="shared" si="7"/>
        <v>49583</v>
      </c>
      <c r="D133" s="123">
        <f t="shared" si="2"/>
        <v>49613</v>
      </c>
      <c r="E133" s="124">
        <f>IF($D133="","",IFERROR(SUMIFS(EXPENSES!$D:$D,EXPENSES!$A:$A,"&gt;="&amp;$C133,EXPENSES!$A:$A,"&lt;="&amp;$D133),"na"))</f>
        <v>0</v>
      </c>
      <c r="F133" s="124">
        <f>IF($D133="","",IFERROR(SUMIFS(INCOME!$C:$C,INCOME!$A:$A,"&gt;="&amp;$C133,INCOME!$A:$A,"&lt;="&amp;$D133),"na"))</f>
        <v>0</v>
      </c>
      <c r="G133" s="124">
        <f t="shared" si="3"/>
        <v>0</v>
      </c>
      <c r="H133" s="125" t="str">
        <f t="shared" si="4"/>
        <v>na</v>
      </c>
      <c r="I133" s="125" t="str">
        <f t="shared" si="5"/>
        <v>na</v>
      </c>
      <c r="J133" s="126">
        <f>IFERROR(SUMPRODUCT(EXPENSES!$D:$D),0)</f>
        <v>84425.18</v>
      </c>
      <c r="K133" s="126">
        <f t="shared" si="8"/>
        <v>113748</v>
      </c>
      <c r="L133" s="126">
        <f t="shared" si="6"/>
        <v>29322.82</v>
      </c>
      <c r="M133" s="127"/>
      <c r="N133" s="11"/>
      <c r="O133" s="11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122">
        <f t="shared" si="1"/>
        <v>130</v>
      </c>
      <c r="C134" s="123">
        <f t="shared" si="7"/>
        <v>49614</v>
      </c>
      <c r="D134" s="123">
        <f t="shared" si="2"/>
        <v>49643</v>
      </c>
      <c r="E134" s="124">
        <f>IF($D134="","",IFERROR(SUMIFS(EXPENSES!$D:$D,EXPENSES!$A:$A,"&gt;="&amp;$C134,EXPENSES!$A:$A,"&lt;="&amp;$D134),"na"))</f>
        <v>0</v>
      </c>
      <c r="F134" s="124">
        <f>IF($D134="","",IFERROR(SUMIFS(INCOME!$C:$C,INCOME!$A:$A,"&gt;="&amp;$C134,INCOME!$A:$A,"&lt;="&amp;$D134),"na"))</f>
        <v>0</v>
      </c>
      <c r="G134" s="124">
        <f t="shared" si="3"/>
        <v>0</v>
      </c>
      <c r="H134" s="125" t="str">
        <f t="shared" si="4"/>
        <v>na</v>
      </c>
      <c r="I134" s="125" t="str">
        <f t="shared" si="5"/>
        <v>na</v>
      </c>
      <c r="J134" s="126">
        <f>IFERROR(SUMPRODUCT(EXPENSES!$D:$D),0)</f>
        <v>84425.18</v>
      </c>
      <c r="K134" s="126">
        <f t="shared" si="8"/>
        <v>113748</v>
      </c>
      <c r="L134" s="126">
        <f t="shared" si="6"/>
        <v>29322.82</v>
      </c>
      <c r="M134" s="127"/>
      <c r="N134" s="11"/>
      <c r="O134" s="11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122">
        <f t="shared" si="1"/>
        <v>131</v>
      </c>
      <c r="C135" s="123">
        <f t="shared" si="7"/>
        <v>49644</v>
      </c>
      <c r="D135" s="123">
        <f t="shared" si="2"/>
        <v>49674</v>
      </c>
      <c r="E135" s="124">
        <f>IF($D135="","",IFERROR(SUMIFS(EXPENSES!$D:$D,EXPENSES!$A:$A,"&gt;="&amp;$C135,EXPENSES!$A:$A,"&lt;="&amp;$D135),"na"))</f>
        <v>0</v>
      </c>
      <c r="F135" s="124">
        <f>IF($D135="","",IFERROR(SUMIFS(INCOME!$C:$C,INCOME!$A:$A,"&gt;="&amp;$C135,INCOME!$A:$A,"&lt;="&amp;$D135),"na"))</f>
        <v>0</v>
      </c>
      <c r="G135" s="124">
        <f t="shared" si="3"/>
        <v>0</v>
      </c>
      <c r="H135" s="125" t="str">
        <f t="shared" si="4"/>
        <v>na</v>
      </c>
      <c r="I135" s="125" t="str">
        <f t="shared" si="5"/>
        <v>na</v>
      </c>
      <c r="J135" s="126">
        <f>IFERROR(SUMPRODUCT(EXPENSES!$D:$D),0)</f>
        <v>84425.18</v>
      </c>
      <c r="K135" s="126">
        <f t="shared" si="8"/>
        <v>113748</v>
      </c>
      <c r="L135" s="126">
        <f t="shared" si="6"/>
        <v>29322.82</v>
      </c>
      <c r="M135" s="127"/>
      <c r="N135" s="11"/>
      <c r="O135" s="11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122">
        <f t="shared" si="1"/>
        <v>132</v>
      </c>
      <c r="C136" s="123">
        <f t="shared" si="7"/>
        <v>49675</v>
      </c>
      <c r="D136" s="123">
        <f t="shared" si="2"/>
        <v>49705</v>
      </c>
      <c r="E136" s="124">
        <f>IF($D136="","",IFERROR(SUMIFS(EXPENSES!$D:$D,EXPENSES!$A:$A,"&gt;="&amp;$C136,EXPENSES!$A:$A,"&lt;="&amp;$D136),"na"))</f>
        <v>0</v>
      </c>
      <c r="F136" s="124">
        <f>IF($D136="","",IFERROR(SUMIFS(INCOME!$C:$C,INCOME!$A:$A,"&gt;="&amp;$C136,INCOME!$A:$A,"&lt;="&amp;$D136),"na"))</f>
        <v>0</v>
      </c>
      <c r="G136" s="124">
        <f t="shared" si="3"/>
        <v>0</v>
      </c>
      <c r="H136" s="125" t="str">
        <f t="shared" si="4"/>
        <v>na</v>
      </c>
      <c r="I136" s="125" t="str">
        <f t="shared" si="5"/>
        <v>na</v>
      </c>
      <c r="J136" s="126">
        <f>IFERROR(SUMPRODUCT(EXPENSES!$D:$D),0)</f>
        <v>84425.18</v>
      </c>
      <c r="K136" s="126">
        <f t="shared" si="8"/>
        <v>113748</v>
      </c>
      <c r="L136" s="126">
        <f t="shared" si="6"/>
        <v>29322.82</v>
      </c>
      <c r="M136" s="127"/>
      <c r="N136" s="11"/>
      <c r="O136" s="11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122">
        <f t="shared" si="1"/>
        <v>133</v>
      </c>
      <c r="C137" s="123">
        <f t="shared" si="7"/>
        <v>49706</v>
      </c>
      <c r="D137" s="123">
        <f t="shared" si="2"/>
        <v>49734</v>
      </c>
      <c r="E137" s="124">
        <f>IF($D137="","",IFERROR(SUMIFS(EXPENSES!$D:$D,EXPENSES!$A:$A,"&gt;="&amp;$C137,EXPENSES!$A:$A,"&lt;="&amp;$D137),"na"))</f>
        <v>0</v>
      </c>
      <c r="F137" s="124">
        <f>IF($D137="","",IFERROR(SUMIFS(INCOME!$C:$C,INCOME!$A:$A,"&gt;="&amp;$C137,INCOME!$A:$A,"&lt;="&amp;$D137),"na"))</f>
        <v>0</v>
      </c>
      <c r="G137" s="124">
        <f t="shared" si="3"/>
        <v>0</v>
      </c>
      <c r="H137" s="125" t="str">
        <f t="shared" si="4"/>
        <v>na</v>
      </c>
      <c r="I137" s="125" t="str">
        <f t="shared" si="5"/>
        <v>na</v>
      </c>
      <c r="J137" s="126">
        <f>IFERROR(SUMPRODUCT(EXPENSES!$D:$D),0)</f>
        <v>84425.18</v>
      </c>
      <c r="K137" s="126">
        <f t="shared" si="8"/>
        <v>113748</v>
      </c>
      <c r="L137" s="126">
        <f t="shared" si="6"/>
        <v>29322.82</v>
      </c>
      <c r="M137" s="127"/>
      <c r="N137" s="11"/>
      <c r="O137" s="11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122">
        <f t="shared" si="1"/>
        <v>134</v>
      </c>
      <c r="C138" s="123">
        <f t="shared" si="7"/>
        <v>49735</v>
      </c>
      <c r="D138" s="123">
        <f t="shared" si="2"/>
        <v>49765</v>
      </c>
      <c r="E138" s="124">
        <f>IF($D138="","",IFERROR(SUMIFS(EXPENSES!$D:$D,EXPENSES!$A:$A,"&gt;="&amp;$C138,EXPENSES!$A:$A,"&lt;="&amp;$D138),"na"))</f>
        <v>0</v>
      </c>
      <c r="F138" s="124">
        <f>IF($D138="","",IFERROR(SUMIFS(INCOME!$C:$C,INCOME!$A:$A,"&gt;="&amp;$C138,INCOME!$A:$A,"&lt;="&amp;$D138),"na"))</f>
        <v>0</v>
      </c>
      <c r="G138" s="124">
        <f t="shared" si="3"/>
        <v>0</v>
      </c>
      <c r="H138" s="125" t="str">
        <f t="shared" si="4"/>
        <v>na</v>
      </c>
      <c r="I138" s="125" t="str">
        <f t="shared" si="5"/>
        <v>na</v>
      </c>
      <c r="J138" s="126">
        <f>IFERROR(SUMPRODUCT(EXPENSES!$D:$D),0)</f>
        <v>84425.18</v>
      </c>
      <c r="K138" s="126">
        <f t="shared" si="8"/>
        <v>113748</v>
      </c>
      <c r="L138" s="126">
        <f t="shared" si="6"/>
        <v>29322.82</v>
      </c>
      <c r="M138" s="127"/>
      <c r="N138" s="11"/>
      <c r="O138" s="11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122">
        <f t="shared" si="1"/>
        <v>135</v>
      </c>
      <c r="C139" s="123">
        <f t="shared" si="7"/>
        <v>49766</v>
      </c>
      <c r="D139" s="123">
        <f t="shared" si="2"/>
        <v>49795</v>
      </c>
      <c r="E139" s="124">
        <f>IF($D139="","",IFERROR(SUMIFS(EXPENSES!$D:$D,EXPENSES!$A:$A,"&gt;="&amp;$C139,EXPENSES!$A:$A,"&lt;="&amp;$D139),"na"))</f>
        <v>0</v>
      </c>
      <c r="F139" s="124">
        <f>IF($D139="","",IFERROR(SUMIFS(INCOME!$C:$C,INCOME!$A:$A,"&gt;="&amp;$C139,INCOME!$A:$A,"&lt;="&amp;$D139),"na"))</f>
        <v>0</v>
      </c>
      <c r="G139" s="124">
        <f t="shared" si="3"/>
        <v>0</v>
      </c>
      <c r="H139" s="125" t="str">
        <f t="shared" si="4"/>
        <v>na</v>
      </c>
      <c r="I139" s="125" t="str">
        <f t="shared" si="5"/>
        <v>na</v>
      </c>
      <c r="J139" s="126">
        <f>IFERROR(SUMPRODUCT(EXPENSES!$D:$D),0)</f>
        <v>84425.18</v>
      </c>
      <c r="K139" s="126">
        <f t="shared" si="8"/>
        <v>113748</v>
      </c>
      <c r="L139" s="126">
        <f t="shared" si="6"/>
        <v>29322.82</v>
      </c>
      <c r="M139" s="127"/>
      <c r="N139" s="11"/>
      <c r="O139" s="11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122">
        <f t="shared" si="1"/>
        <v>136</v>
      </c>
      <c r="C140" s="123">
        <f t="shared" si="7"/>
        <v>49796</v>
      </c>
      <c r="D140" s="123">
        <f t="shared" si="2"/>
        <v>49826</v>
      </c>
      <c r="E140" s="124">
        <f>IF($D140="","",IFERROR(SUMIFS(EXPENSES!$D:$D,EXPENSES!$A:$A,"&gt;="&amp;$C140,EXPENSES!$A:$A,"&lt;="&amp;$D140),"na"))</f>
        <v>0</v>
      </c>
      <c r="F140" s="124">
        <f>IF($D140="","",IFERROR(SUMIFS(INCOME!$C:$C,INCOME!$A:$A,"&gt;="&amp;$C140,INCOME!$A:$A,"&lt;="&amp;$D140),"na"))</f>
        <v>0</v>
      </c>
      <c r="G140" s="124">
        <f t="shared" si="3"/>
        <v>0</v>
      </c>
      <c r="H140" s="125" t="str">
        <f t="shared" si="4"/>
        <v>na</v>
      </c>
      <c r="I140" s="125" t="str">
        <f t="shared" si="5"/>
        <v>na</v>
      </c>
      <c r="J140" s="126">
        <f>IFERROR(SUMPRODUCT(EXPENSES!$D:$D),0)</f>
        <v>84425.18</v>
      </c>
      <c r="K140" s="126">
        <f t="shared" si="8"/>
        <v>113748</v>
      </c>
      <c r="L140" s="126">
        <f t="shared" si="6"/>
        <v>29322.82</v>
      </c>
      <c r="M140" s="127"/>
      <c r="N140" s="11"/>
      <c r="O140" s="11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122">
        <f t="shared" si="1"/>
        <v>137</v>
      </c>
      <c r="C141" s="123">
        <f t="shared" si="7"/>
        <v>49827</v>
      </c>
      <c r="D141" s="123">
        <f t="shared" si="2"/>
        <v>49856</v>
      </c>
      <c r="E141" s="124">
        <f>IF($D141="","",IFERROR(SUMIFS(EXPENSES!$D:$D,EXPENSES!$A:$A,"&gt;="&amp;$C141,EXPENSES!$A:$A,"&lt;="&amp;$D141),"na"))</f>
        <v>0</v>
      </c>
      <c r="F141" s="124">
        <f>IF($D141="","",IFERROR(SUMIFS(INCOME!$C:$C,INCOME!$A:$A,"&gt;="&amp;$C141,INCOME!$A:$A,"&lt;="&amp;$D141),"na"))</f>
        <v>0</v>
      </c>
      <c r="G141" s="124">
        <f t="shared" si="3"/>
        <v>0</v>
      </c>
      <c r="H141" s="125" t="str">
        <f t="shared" si="4"/>
        <v>na</v>
      </c>
      <c r="I141" s="125" t="str">
        <f t="shared" si="5"/>
        <v>na</v>
      </c>
      <c r="J141" s="126">
        <f>IFERROR(SUMPRODUCT(EXPENSES!$D:$D),0)</f>
        <v>84425.18</v>
      </c>
      <c r="K141" s="126">
        <f t="shared" si="8"/>
        <v>113748</v>
      </c>
      <c r="L141" s="126">
        <f t="shared" si="6"/>
        <v>29322.82</v>
      </c>
      <c r="M141" s="127"/>
      <c r="N141" s="11"/>
      <c r="O141" s="11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122">
        <f t="shared" si="1"/>
        <v>138</v>
      </c>
      <c r="C142" s="123">
        <f t="shared" si="7"/>
        <v>49857</v>
      </c>
      <c r="D142" s="123">
        <f t="shared" si="2"/>
        <v>49887</v>
      </c>
      <c r="E142" s="124">
        <f>IF($D142="","",IFERROR(SUMIFS(EXPENSES!$D:$D,EXPENSES!$A:$A,"&gt;="&amp;$C142,EXPENSES!$A:$A,"&lt;="&amp;$D142),"na"))</f>
        <v>0</v>
      </c>
      <c r="F142" s="124">
        <f>IF($D142="","",IFERROR(SUMIFS(INCOME!$C:$C,INCOME!$A:$A,"&gt;="&amp;$C142,INCOME!$A:$A,"&lt;="&amp;$D142),"na"))</f>
        <v>0</v>
      </c>
      <c r="G142" s="124">
        <f t="shared" si="3"/>
        <v>0</v>
      </c>
      <c r="H142" s="125" t="str">
        <f t="shared" si="4"/>
        <v>na</v>
      </c>
      <c r="I142" s="125" t="str">
        <f t="shared" si="5"/>
        <v>na</v>
      </c>
      <c r="J142" s="126">
        <f>IFERROR(SUMPRODUCT(EXPENSES!$D:$D),0)</f>
        <v>84425.18</v>
      </c>
      <c r="K142" s="126">
        <f t="shared" si="8"/>
        <v>113748</v>
      </c>
      <c r="L142" s="126">
        <f t="shared" si="6"/>
        <v>29322.82</v>
      </c>
      <c r="M142" s="127"/>
      <c r="N142" s="11"/>
      <c r="O142" s="11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122">
        <f t="shared" si="1"/>
        <v>139</v>
      </c>
      <c r="C143" s="123">
        <f t="shared" si="7"/>
        <v>49888</v>
      </c>
      <c r="D143" s="123">
        <f t="shared" si="2"/>
        <v>49918</v>
      </c>
      <c r="E143" s="124">
        <f>IF($D143="","",IFERROR(SUMIFS(EXPENSES!$D:$D,EXPENSES!$A:$A,"&gt;="&amp;$C143,EXPENSES!$A:$A,"&lt;="&amp;$D143),"na"))</f>
        <v>0</v>
      </c>
      <c r="F143" s="124">
        <f>IF($D143="","",IFERROR(SUMIFS(INCOME!$C:$C,INCOME!$A:$A,"&gt;="&amp;$C143,INCOME!$A:$A,"&lt;="&amp;$D143),"na"))</f>
        <v>0</v>
      </c>
      <c r="G143" s="124">
        <f t="shared" si="3"/>
        <v>0</v>
      </c>
      <c r="H143" s="125" t="str">
        <f t="shared" si="4"/>
        <v>na</v>
      </c>
      <c r="I143" s="125" t="str">
        <f t="shared" si="5"/>
        <v>na</v>
      </c>
      <c r="J143" s="126">
        <f>IFERROR(SUMPRODUCT(EXPENSES!$D:$D),0)</f>
        <v>84425.18</v>
      </c>
      <c r="K143" s="126">
        <f t="shared" si="8"/>
        <v>113748</v>
      </c>
      <c r="L143" s="126">
        <f t="shared" si="6"/>
        <v>29322.82</v>
      </c>
      <c r="M143" s="127"/>
      <c r="N143" s="11"/>
      <c r="O143" s="11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122">
        <f t="shared" si="1"/>
        <v>140</v>
      </c>
      <c r="C144" s="123">
        <f t="shared" si="7"/>
        <v>49919</v>
      </c>
      <c r="D144" s="123">
        <f t="shared" si="2"/>
        <v>49948</v>
      </c>
      <c r="E144" s="124">
        <f>IF($D144="","",IFERROR(SUMIFS(EXPENSES!$D:$D,EXPENSES!$A:$A,"&gt;="&amp;$C144,EXPENSES!$A:$A,"&lt;="&amp;$D144),"na"))</f>
        <v>0</v>
      </c>
      <c r="F144" s="124">
        <f>IF($D144="","",IFERROR(SUMIFS(INCOME!$C:$C,INCOME!$A:$A,"&gt;="&amp;$C144,INCOME!$A:$A,"&lt;="&amp;$D144),"na"))</f>
        <v>0</v>
      </c>
      <c r="G144" s="124">
        <f t="shared" si="3"/>
        <v>0</v>
      </c>
      <c r="H144" s="125" t="str">
        <f t="shared" si="4"/>
        <v>na</v>
      </c>
      <c r="I144" s="125" t="str">
        <f t="shared" si="5"/>
        <v>na</v>
      </c>
      <c r="J144" s="126">
        <f>IFERROR(SUMPRODUCT(EXPENSES!$D:$D),0)</f>
        <v>84425.18</v>
      </c>
      <c r="K144" s="126">
        <f t="shared" si="8"/>
        <v>113748</v>
      </c>
      <c r="L144" s="126">
        <f t="shared" si="6"/>
        <v>29322.82</v>
      </c>
      <c r="M144" s="127"/>
      <c r="N144" s="11"/>
      <c r="O144" s="11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122"/>
      <c r="C145" s="123"/>
      <c r="D145" s="123"/>
      <c r="E145" s="124"/>
      <c r="F145" s="124"/>
      <c r="G145" s="124"/>
      <c r="H145" s="125"/>
      <c r="I145" s="125"/>
      <c r="J145" s="126"/>
      <c r="K145" s="126"/>
      <c r="L145" s="126"/>
      <c r="M145" s="117"/>
      <c r="N145" s="11"/>
      <c r="O145" s="11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122"/>
      <c r="C146" s="123"/>
      <c r="D146" s="123"/>
      <c r="E146" s="124"/>
      <c r="F146" s="124"/>
      <c r="G146" s="124"/>
      <c r="H146" s="125"/>
      <c r="I146" s="125"/>
      <c r="J146" s="126"/>
      <c r="K146" s="126"/>
      <c r="L146" s="126"/>
      <c r="M146" s="117"/>
      <c r="N146" s="11"/>
      <c r="O146" s="11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122"/>
      <c r="C147" s="123"/>
      <c r="D147" s="123"/>
      <c r="E147" s="124"/>
      <c r="F147" s="124"/>
      <c r="G147" s="124"/>
      <c r="H147" s="125"/>
      <c r="I147" s="125"/>
      <c r="J147" s="126"/>
      <c r="K147" s="126"/>
      <c r="L147" s="126"/>
      <c r="M147" s="117"/>
      <c r="N147" s="11"/>
      <c r="O147" s="11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122"/>
      <c r="C148" s="123"/>
      <c r="D148" s="123"/>
      <c r="E148" s="124"/>
      <c r="F148" s="124"/>
      <c r="G148" s="124"/>
      <c r="H148" s="125"/>
      <c r="I148" s="125"/>
      <c r="J148" s="126"/>
      <c r="K148" s="126"/>
      <c r="L148" s="126"/>
      <c r="M148" s="117"/>
      <c r="N148" s="11"/>
      <c r="O148" s="11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122"/>
      <c r="C149" s="123"/>
      <c r="D149" s="123"/>
      <c r="E149" s="124"/>
      <c r="F149" s="124"/>
      <c r="G149" s="124"/>
      <c r="H149" s="125"/>
      <c r="I149" s="125"/>
      <c r="J149" s="126"/>
      <c r="K149" s="126"/>
      <c r="L149" s="126"/>
      <c r="M149" s="117"/>
      <c r="N149" s="11"/>
      <c r="O149" s="11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122"/>
      <c r="C150" s="123"/>
      <c r="D150" s="123"/>
      <c r="E150" s="124"/>
      <c r="F150" s="124"/>
      <c r="G150" s="124"/>
      <c r="H150" s="125"/>
      <c r="I150" s="125"/>
      <c r="J150" s="126"/>
      <c r="K150" s="126"/>
      <c r="L150" s="126"/>
      <c r="M150" s="117"/>
      <c r="N150" s="11"/>
      <c r="O150" s="11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122"/>
      <c r="C151" s="123"/>
      <c r="D151" s="123"/>
      <c r="E151" s="124"/>
      <c r="F151" s="124"/>
      <c r="G151" s="124"/>
      <c r="H151" s="125"/>
      <c r="I151" s="125"/>
      <c r="J151" s="126"/>
      <c r="K151" s="126"/>
      <c r="L151" s="126"/>
      <c r="M151" s="117"/>
      <c r="N151" s="11"/>
      <c r="O151" s="11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122"/>
      <c r="C152" s="123"/>
      <c r="D152" s="123"/>
      <c r="E152" s="124"/>
      <c r="F152" s="124"/>
      <c r="G152" s="124"/>
      <c r="H152" s="125"/>
      <c r="I152" s="125"/>
      <c r="J152" s="126"/>
      <c r="K152" s="126"/>
      <c r="L152" s="126"/>
      <c r="M152" s="117"/>
      <c r="N152" s="11"/>
      <c r="O152" s="11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122"/>
      <c r="C153" s="123"/>
      <c r="D153" s="123"/>
      <c r="E153" s="124"/>
      <c r="F153" s="124"/>
      <c r="G153" s="124"/>
      <c r="H153" s="125"/>
      <c r="I153" s="125"/>
      <c r="J153" s="126"/>
      <c r="K153" s="126"/>
      <c r="L153" s="126"/>
      <c r="M153" s="117"/>
      <c r="N153" s="11"/>
      <c r="O153" s="11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122"/>
      <c r="C154" s="123"/>
      <c r="D154" s="123"/>
      <c r="E154" s="124"/>
      <c r="F154" s="124"/>
      <c r="G154" s="124"/>
      <c r="H154" s="125"/>
      <c r="I154" s="125"/>
      <c r="J154" s="126"/>
      <c r="K154" s="126"/>
      <c r="L154" s="126"/>
      <c r="M154" s="117"/>
      <c r="N154" s="11"/>
      <c r="O154" s="11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122"/>
      <c r="C155" s="123"/>
      <c r="D155" s="123"/>
      <c r="E155" s="124"/>
      <c r="F155" s="124"/>
      <c r="G155" s="124"/>
      <c r="H155" s="125"/>
      <c r="I155" s="125"/>
      <c r="J155" s="126"/>
      <c r="K155" s="126"/>
      <c r="L155" s="126"/>
      <c r="M155" s="117"/>
      <c r="N155" s="11"/>
      <c r="O155" s="11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122"/>
      <c r="C156" s="123"/>
      <c r="D156" s="123"/>
      <c r="E156" s="124"/>
      <c r="F156" s="124"/>
      <c r="G156" s="124"/>
      <c r="H156" s="125"/>
      <c r="I156" s="125"/>
      <c r="J156" s="126"/>
      <c r="K156" s="126"/>
      <c r="L156" s="126"/>
      <c r="M156" s="117"/>
      <c r="N156" s="11"/>
      <c r="O156" s="11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122"/>
      <c r="C157" s="123"/>
      <c r="D157" s="123"/>
      <c r="E157" s="124"/>
      <c r="F157" s="124"/>
      <c r="G157" s="124"/>
      <c r="H157" s="125"/>
      <c r="I157" s="125"/>
      <c r="J157" s="126"/>
      <c r="K157" s="126"/>
      <c r="L157" s="126"/>
      <c r="M157" s="117"/>
      <c r="N157" s="11"/>
      <c r="O157" s="11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122"/>
      <c r="C158" s="123"/>
      <c r="D158" s="123"/>
      <c r="E158" s="124"/>
      <c r="F158" s="124"/>
      <c r="G158" s="124"/>
      <c r="H158" s="125"/>
      <c r="I158" s="125"/>
      <c r="J158" s="126"/>
      <c r="K158" s="126"/>
      <c r="L158" s="126"/>
      <c r="M158" s="117"/>
      <c r="N158" s="11"/>
      <c r="O158" s="11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122"/>
      <c r="C159" s="123"/>
      <c r="D159" s="123"/>
      <c r="E159" s="124"/>
      <c r="F159" s="124"/>
      <c r="G159" s="124"/>
      <c r="H159" s="125"/>
      <c r="I159" s="125"/>
      <c r="J159" s="126"/>
      <c r="K159" s="126"/>
      <c r="L159" s="126"/>
      <c r="M159" s="117"/>
      <c r="N159" s="11"/>
      <c r="O159" s="11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122"/>
      <c r="C160" s="123"/>
      <c r="D160" s="123"/>
      <c r="E160" s="124"/>
      <c r="F160" s="124"/>
      <c r="G160" s="124"/>
      <c r="H160" s="125"/>
      <c r="I160" s="125"/>
      <c r="J160" s="126"/>
      <c r="K160" s="126"/>
      <c r="L160" s="126"/>
      <c r="M160" s="117"/>
      <c r="N160" s="11"/>
      <c r="O160" s="11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122"/>
      <c r="C161" s="123"/>
      <c r="D161" s="123"/>
      <c r="E161" s="124"/>
      <c r="F161" s="124"/>
      <c r="G161" s="124"/>
      <c r="H161" s="125"/>
      <c r="I161" s="125"/>
      <c r="J161" s="126"/>
      <c r="K161" s="126"/>
      <c r="L161" s="126"/>
      <c r="M161" s="117"/>
      <c r="N161" s="11"/>
      <c r="O161" s="11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122"/>
      <c r="C162" s="123"/>
      <c r="D162" s="123"/>
      <c r="E162" s="124"/>
      <c r="F162" s="124"/>
      <c r="G162" s="124"/>
      <c r="H162" s="125"/>
      <c r="I162" s="125"/>
      <c r="J162" s="126"/>
      <c r="K162" s="126"/>
      <c r="L162" s="126"/>
      <c r="M162" s="117"/>
      <c r="N162" s="11"/>
      <c r="O162" s="11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122"/>
      <c r="C163" s="123"/>
      <c r="D163" s="123"/>
      <c r="E163" s="124"/>
      <c r="F163" s="124"/>
      <c r="G163" s="124"/>
      <c r="H163" s="125"/>
      <c r="I163" s="125"/>
      <c r="J163" s="126"/>
      <c r="K163" s="126"/>
      <c r="L163" s="126"/>
      <c r="M163" s="117"/>
      <c r="N163" s="11"/>
      <c r="O163" s="11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122"/>
      <c r="C164" s="123"/>
      <c r="D164" s="123"/>
      <c r="E164" s="124"/>
      <c r="F164" s="124"/>
      <c r="G164" s="124"/>
      <c r="H164" s="125"/>
      <c r="I164" s="125"/>
      <c r="J164" s="126"/>
      <c r="K164" s="126"/>
      <c r="L164" s="126"/>
      <c r="M164" s="117"/>
      <c r="N164" s="11"/>
      <c r="O164" s="11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122"/>
      <c r="C165" s="123"/>
      <c r="D165" s="123"/>
      <c r="E165" s="124"/>
      <c r="F165" s="124"/>
      <c r="G165" s="124"/>
      <c r="H165" s="125"/>
      <c r="I165" s="125"/>
      <c r="J165" s="126"/>
      <c r="K165" s="126"/>
      <c r="L165" s="126"/>
      <c r="M165" s="117"/>
      <c r="N165" s="11"/>
      <c r="O165" s="11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122"/>
      <c r="C166" s="123"/>
      <c r="D166" s="123"/>
      <c r="E166" s="124"/>
      <c r="F166" s="124"/>
      <c r="G166" s="124"/>
      <c r="H166" s="125"/>
      <c r="I166" s="125"/>
      <c r="J166" s="126"/>
      <c r="K166" s="126"/>
      <c r="L166" s="126"/>
      <c r="M166" s="117"/>
      <c r="N166" s="11"/>
      <c r="O166" s="11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122"/>
      <c r="C167" s="123"/>
      <c r="D167" s="123"/>
      <c r="E167" s="124"/>
      <c r="F167" s="124"/>
      <c r="G167" s="124"/>
      <c r="H167" s="125"/>
      <c r="I167" s="125"/>
      <c r="J167" s="126"/>
      <c r="K167" s="126"/>
      <c r="L167" s="126"/>
      <c r="M167" s="117"/>
      <c r="N167" s="11"/>
      <c r="O167" s="11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122"/>
      <c r="C168" s="123"/>
      <c r="D168" s="123"/>
      <c r="E168" s="124"/>
      <c r="F168" s="124"/>
      <c r="G168" s="124"/>
      <c r="H168" s="125"/>
      <c r="I168" s="125"/>
      <c r="J168" s="126"/>
      <c r="K168" s="126"/>
      <c r="L168" s="126"/>
      <c r="M168" s="117"/>
      <c r="N168" s="11"/>
      <c r="O168" s="11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122"/>
      <c r="C169" s="123"/>
      <c r="D169" s="123"/>
      <c r="E169" s="124"/>
      <c r="F169" s="124"/>
      <c r="G169" s="124"/>
      <c r="H169" s="125"/>
      <c r="I169" s="125"/>
      <c r="J169" s="126"/>
      <c r="K169" s="126"/>
      <c r="L169" s="126"/>
      <c r="M169" s="117"/>
      <c r="N169" s="11"/>
      <c r="O169" s="11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122"/>
      <c r="C170" s="123"/>
      <c r="D170" s="123"/>
      <c r="E170" s="124"/>
      <c r="F170" s="124"/>
      <c r="G170" s="124"/>
      <c r="H170" s="125"/>
      <c r="I170" s="125"/>
      <c r="J170" s="126"/>
      <c r="K170" s="126"/>
      <c r="L170" s="126"/>
      <c r="M170" s="117"/>
      <c r="N170" s="11"/>
      <c r="O170" s="11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122"/>
      <c r="C171" s="123"/>
      <c r="D171" s="123"/>
      <c r="E171" s="124"/>
      <c r="F171" s="124"/>
      <c r="G171" s="124"/>
      <c r="H171" s="125"/>
      <c r="I171" s="125"/>
      <c r="J171" s="126"/>
      <c r="K171" s="126"/>
      <c r="L171" s="126"/>
      <c r="M171" s="117"/>
      <c r="N171" s="11"/>
      <c r="O171" s="11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122"/>
      <c r="C172" s="123"/>
      <c r="D172" s="123"/>
      <c r="E172" s="124"/>
      <c r="F172" s="124"/>
      <c r="G172" s="124"/>
      <c r="H172" s="125"/>
      <c r="I172" s="125"/>
      <c r="J172" s="126"/>
      <c r="K172" s="126"/>
      <c r="L172" s="126"/>
      <c r="M172" s="117"/>
      <c r="N172" s="11"/>
      <c r="O172" s="11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122"/>
      <c r="C173" s="123"/>
      <c r="D173" s="123"/>
      <c r="E173" s="124"/>
      <c r="F173" s="124"/>
      <c r="G173" s="124"/>
      <c r="H173" s="125"/>
      <c r="I173" s="125"/>
      <c r="J173" s="126"/>
      <c r="K173" s="126"/>
      <c r="L173" s="126"/>
      <c r="M173" s="117"/>
      <c r="N173" s="11"/>
      <c r="O173" s="11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122"/>
      <c r="C174" s="123"/>
      <c r="D174" s="123"/>
      <c r="E174" s="124"/>
      <c r="F174" s="124"/>
      <c r="G174" s="124"/>
      <c r="H174" s="125"/>
      <c r="I174" s="125"/>
      <c r="J174" s="126"/>
      <c r="K174" s="126"/>
      <c r="L174" s="126"/>
      <c r="M174" s="117"/>
      <c r="N174" s="11"/>
      <c r="O174" s="11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122"/>
      <c r="C175" s="123"/>
      <c r="D175" s="123"/>
      <c r="E175" s="124"/>
      <c r="F175" s="124"/>
      <c r="G175" s="124"/>
      <c r="H175" s="125"/>
      <c r="I175" s="125"/>
      <c r="J175" s="126"/>
      <c r="K175" s="126"/>
      <c r="L175" s="126"/>
      <c r="M175" s="117"/>
      <c r="N175" s="11"/>
      <c r="O175" s="11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122"/>
      <c r="C176" s="123"/>
      <c r="D176" s="123"/>
      <c r="E176" s="124"/>
      <c r="F176" s="124"/>
      <c r="G176" s="124"/>
      <c r="H176" s="125"/>
      <c r="I176" s="125"/>
      <c r="J176" s="126"/>
      <c r="K176" s="126"/>
      <c r="L176" s="126"/>
      <c r="M176" s="117"/>
      <c r="N176" s="11"/>
      <c r="O176" s="11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122"/>
      <c r="C177" s="123"/>
      <c r="D177" s="123"/>
      <c r="E177" s="124"/>
      <c r="F177" s="124"/>
      <c r="G177" s="124"/>
      <c r="H177" s="125"/>
      <c r="I177" s="125"/>
      <c r="J177" s="126"/>
      <c r="K177" s="126"/>
      <c r="L177" s="126"/>
      <c r="M177" s="117"/>
      <c r="N177" s="11"/>
      <c r="O177" s="11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122"/>
      <c r="C178" s="123"/>
      <c r="D178" s="123"/>
      <c r="E178" s="124"/>
      <c r="F178" s="124"/>
      <c r="G178" s="124"/>
      <c r="H178" s="125"/>
      <c r="I178" s="125"/>
      <c r="J178" s="126"/>
      <c r="K178" s="126"/>
      <c r="L178" s="126"/>
      <c r="M178" s="117"/>
      <c r="N178" s="11"/>
      <c r="O178" s="11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122"/>
      <c r="C179" s="123"/>
      <c r="D179" s="123"/>
      <c r="E179" s="124"/>
      <c r="F179" s="124"/>
      <c r="G179" s="124"/>
      <c r="H179" s="125"/>
      <c r="I179" s="125"/>
      <c r="J179" s="126"/>
      <c r="K179" s="126"/>
      <c r="L179" s="126"/>
      <c r="M179" s="117"/>
      <c r="N179" s="11"/>
      <c r="O179" s="11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122"/>
      <c r="C180" s="123"/>
      <c r="D180" s="123"/>
      <c r="E180" s="124"/>
      <c r="F180" s="124"/>
      <c r="G180" s="124"/>
      <c r="H180" s="125"/>
      <c r="I180" s="125"/>
      <c r="J180" s="126"/>
      <c r="K180" s="126"/>
      <c r="L180" s="126"/>
      <c r="M180" s="117"/>
      <c r="N180" s="11"/>
      <c r="O180" s="11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122"/>
      <c r="C181" s="123"/>
      <c r="D181" s="123"/>
      <c r="E181" s="124"/>
      <c r="F181" s="124"/>
      <c r="G181" s="124"/>
      <c r="H181" s="125"/>
      <c r="I181" s="125"/>
      <c r="J181" s="126"/>
      <c r="K181" s="126"/>
      <c r="L181" s="126"/>
      <c r="M181" s="117"/>
      <c r="N181" s="11"/>
      <c r="O181" s="11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122"/>
      <c r="C182" s="123"/>
      <c r="D182" s="123"/>
      <c r="E182" s="124"/>
      <c r="F182" s="124"/>
      <c r="G182" s="124"/>
      <c r="H182" s="125"/>
      <c r="I182" s="125"/>
      <c r="J182" s="126"/>
      <c r="K182" s="126"/>
      <c r="L182" s="126"/>
      <c r="M182" s="117"/>
      <c r="N182" s="11"/>
      <c r="O182" s="11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122"/>
      <c r="C183" s="123"/>
      <c r="D183" s="123"/>
      <c r="E183" s="124"/>
      <c r="F183" s="124"/>
      <c r="G183" s="124"/>
      <c r="H183" s="125"/>
      <c r="I183" s="125"/>
      <c r="J183" s="126"/>
      <c r="K183" s="126"/>
      <c r="L183" s="126"/>
      <c r="M183" s="117"/>
      <c r="N183" s="11"/>
      <c r="O183" s="11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122"/>
      <c r="C184" s="123"/>
      <c r="D184" s="123"/>
      <c r="E184" s="124"/>
      <c r="F184" s="124"/>
      <c r="G184" s="124"/>
      <c r="H184" s="125"/>
      <c r="I184" s="125"/>
      <c r="J184" s="126"/>
      <c r="K184" s="126"/>
      <c r="L184" s="126"/>
      <c r="M184" s="117"/>
      <c r="N184" s="11"/>
      <c r="O184" s="11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122"/>
      <c r="C185" s="123"/>
      <c r="D185" s="123"/>
      <c r="E185" s="124"/>
      <c r="F185" s="124"/>
      <c r="G185" s="124"/>
      <c r="H185" s="125"/>
      <c r="I185" s="125"/>
      <c r="J185" s="126"/>
      <c r="K185" s="126"/>
      <c r="L185" s="126"/>
      <c r="M185" s="117"/>
      <c r="N185" s="11"/>
      <c r="O185" s="11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122"/>
      <c r="C186" s="123"/>
      <c r="D186" s="123"/>
      <c r="E186" s="124"/>
      <c r="F186" s="124"/>
      <c r="G186" s="124"/>
      <c r="H186" s="125"/>
      <c r="I186" s="125"/>
      <c r="J186" s="126"/>
      <c r="K186" s="126"/>
      <c r="L186" s="126"/>
      <c r="M186" s="117"/>
      <c r="N186" s="11"/>
      <c r="O186" s="11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122"/>
      <c r="C187" s="123"/>
      <c r="D187" s="123"/>
      <c r="E187" s="124"/>
      <c r="F187" s="124"/>
      <c r="G187" s="124"/>
      <c r="H187" s="125"/>
      <c r="I187" s="125"/>
      <c r="J187" s="126"/>
      <c r="K187" s="126"/>
      <c r="L187" s="126"/>
      <c r="M187" s="117"/>
      <c r="N187" s="11"/>
      <c r="O187" s="11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122"/>
      <c r="C188" s="123"/>
      <c r="D188" s="123"/>
      <c r="E188" s="124"/>
      <c r="F188" s="124"/>
      <c r="G188" s="124"/>
      <c r="H188" s="125"/>
      <c r="I188" s="125"/>
      <c r="J188" s="126"/>
      <c r="K188" s="126"/>
      <c r="L188" s="126"/>
      <c r="M188" s="117"/>
      <c r="N188" s="11"/>
      <c r="O188" s="11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122"/>
      <c r="C189" s="123"/>
      <c r="D189" s="123"/>
      <c r="E189" s="124"/>
      <c r="F189" s="124"/>
      <c r="G189" s="124"/>
      <c r="H189" s="125"/>
      <c r="I189" s="125"/>
      <c r="J189" s="126"/>
      <c r="K189" s="126"/>
      <c r="L189" s="126"/>
      <c r="M189" s="117"/>
      <c r="N189" s="11"/>
      <c r="O189" s="11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122"/>
      <c r="C190" s="123"/>
      <c r="D190" s="123"/>
      <c r="E190" s="124"/>
      <c r="F190" s="124"/>
      <c r="G190" s="124"/>
      <c r="H190" s="125"/>
      <c r="I190" s="125"/>
      <c r="J190" s="126"/>
      <c r="K190" s="126"/>
      <c r="L190" s="126"/>
      <c r="M190" s="117"/>
      <c r="N190" s="11"/>
      <c r="O190" s="11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122"/>
      <c r="C191" s="123"/>
      <c r="D191" s="123"/>
      <c r="E191" s="124"/>
      <c r="F191" s="124"/>
      <c r="G191" s="124"/>
      <c r="H191" s="125"/>
      <c r="I191" s="125"/>
      <c r="J191" s="126"/>
      <c r="K191" s="126"/>
      <c r="L191" s="126"/>
      <c r="M191" s="117"/>
      <c r="N191" s="11"/>
      <c r="O191" s="11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122"/>
      <c r="C192" s="123"/>
      <c r="D192" s="123"/>
      <c r="E192" s="124"/>
      <c r="F192" s="124"/>
      <c r="G192" s="124"/>
      <c r="H192" s="125"/>
      <c r="I192" s="125"/>
      <c r="J192" s="126"/>
      <c r="K192" s="126"/>
      <c r="L192" s="126"/>
      <c r="M192" s="117"/>
      <c r="N192" s="11"/>
      <c r="O192" s="11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122"/>
      <c r="C193" s="123"/>
      <c r="D193" s="123"/>
      <c r="E193" s="124"/>
      <c r="F193" s="124"/>
      <c r="G193" s="124"/>
      <c r="H193" s="125"/>
      <c r="I193" s="125"/>
      <c r="J193" s="126"/>
      <c r="K193" s="126"/>
      <c r="L193" s="126"/>
      <c r="M193" s="117"/>
      <c r="N193" s="11"/>
      <c r="O193" s="11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122"/>
      <c r="C194" s="123"/>
      <c r="D194" s="123"/>
      <c r="E194" s="124"/>
      <c r="F194" s="124"/>
      <c r="G194" s="124"/>
      <c r="H194" s="125"/>
      <c r="I194" s="125"/>
      <c r="J194" s="126"/>
      <c r="K194" s="126"/>
      <c r="L194" s="126"/>
      <c r="M194" s="117"/>
      <c r="N194" s="11"/>
      <c r="O194" s="11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122"/>
      <c r="C195" s="123"/>
      <c r="D195" s="123"/>
      <c r="E195" s="124"/>
      <c r="F195" s="124"/>
      <c r="G195" s="124"/>
      <c r="H195" s="125"/>
      <c r="I195" s="125"/>
      <c r="J195" s="126"/>
      <c r="K195" s="126"/>
      <c r="L195" s="126"/>
      <c r="M195" s="117"/>
      <c r="N195" s="11"/>
      <c r="O195" s="11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122"/>
      <c r="C196" s="123"/>
      <c r="D196" s="123"/>
      <c r="E196" s="124"/>
      <c r="F196" s="124"/>
      <c r="G196" s="124"/>
      <c r="H196" s="125"/>
      <c r="I196" s="125"/>
      <c r="J196" s="126"/>
      <c r="K196" s="126"/>
      <c r="L196" s="126"/>
      <c r="M196" s="117"/>
      <c r="N196" s="11"/>
      <c r="O196" s="11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122"/>
      <c r="C197" s="123"/>
      <c r="D197" s="123"/>
      <c r="E197" s="124"/>
      <c r="F197" s="124"/>
      <c r="G197" s="124"/>
      <c r="H197" s="125"/>
      <c r="I197" s="125"/>
      <c r="J197" s="126"/>
      <c r="K197" s="126"/>
      <c r="L197" s="126"/>
      <c r="M197" s="117"/>
      <c r="N197" s="11"/>
      <c r="O197" s="11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122"/>
      <c r="C198" s="123"/>
      <c r="D198" s="123"/>
      <c r="E198" s="124"/>
      <c r="F198" s="124"/>
      <c r="G198" s="124"/>
      <c r="H198" s="125"/>
      <c r="I198" s="125"/>
      <c r="J198" s="126"/>
      <c r="K198" s="126"/>
      <c r="L198" s="126"/>
      <c r="M198" s="117"/>
      <c r="N198" s="11"/>
      <c r="O198" s="11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122"/>
      <c r="C199" s="123"/>
      <c r="D199" s="123"/>
      <c r="E199" s="124"/>
      <c r="F199" s="124"/>
      <c r="G199" s="124"/>
      <c r="H199" s="125"/>
      <c r="I199" s="125"/>
      <c r="J199" s="126"/>
      <c r="K199" s="126"/>
      <c r="L199" s="126"/>
      <c r="M199" s="117"/>
      <c r="N199" s="11"/>
      <c r="O199" s="11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122"/>
      <c r="C200" s="123"/>
      <c r="D200" s="123"/>
      <c r="E200" s="124"/>
      <c r="F200" s="124"/>
      <c r="G200" s="124"/>
      <c r="H200" s="125"/>
      <c r="I200" s="125"/>
      <c r="J200" s="126"/>
      <c r="K200" s="126"/>
      <c r="L200" s="126"/>
      <c r="M200" s="117"/>
      <c r="N200" s="11"/>
      <c r="O200" s="11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122"/>
      <c r="C201" s="123"/>
      <c r="D201" s="123"/>
      <c r="E201" s="124"/>
      <c r="F201" s="124"/>
      <c r="G201" s="124"/>
      <c r="H201" s="125"/>
      <c r="I201" s="125"/>
      <c r="J201" s="126"/>
      <c r="K201" s="126"/>
      <c r="L201" s="126"/>
      <c r="M201" s="117"/>
      <c r="N201" s="11"/>
      <c r="O201" s="11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122"/>
      <c r="C202" s="123"/>
      <c r="D202" s="123"/>
      <c r="E202" s="124"/>
      <c r="F202" s="124"/>
      <c r="G202" s="124"/>
      <c r="H202" s="125"/>
      <c r="I202" s="125"/>
      <c r="J202" s="126"/>
      <c r="K202" s="126"/>
      <c r="L202" s="126"/>
      <c r="M202" s="117"/>
      <c r="N202" s="11"/>
      <c r="O202" s="11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122"/>
      <c r="C203" s="123"/>
      <c r="D203" s="123"/>
      <c r="E203" s="124"/>
      <c r="F203" s="124"/>
      <c r="G203" s="124"/>
      <c r="H203" s="125"/>
      <c r="I203" s="125"/>
      <c r="J203" s="126"/>
      <c r="K203" s="126"/>
      <c r="L203" s="126"/>
      <c r="M203" s="117"/>
      <c r="N203" s="11"/>
      <c r="O203" s="11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122"/>
      <c r="C204" s="123"/>
      <c r="D204" s="123"/>
      <c r="E204" s="124"/>
      <c r="F204" s="124"/>
      <c r="G204" s="124"/>
      <c r="H204" s="125"/>
      <c r="I204" s="125"/>
      <c r="J204" s="126"/>
      <c r="K204" s="126"/>
      <c r="L204" s="126"/>
      <c r="M204" s="117"/>
      <c r="N204" s="11"/>
      <c r="O204" s="11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122"/>
      <c r="C205" s="123"/>
      <c r="D205" s="123"/>
      <c r="E205" s="124"/>
      <c r="F205" s="124"/>
      <c r="G205" s="124"/>
      <c r="H205" s="125"/>
      <c r="I205" s="125"/>
      <c r="J205" s="126"/>
      <c r="K205" s="126"/>
      <c r="L205" s="126"/>
      <c r="M205" s="117"/>
      <c r="N205" s="11"/>
      <c r="O205" s="11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122"/>
      <c r="C206" s="123"/>
      <c r="D206" s="123"/>
      <c r="E206" s="124"/>
      <c r="F206" s="124"/>
      <c r="G206" s="124"/>
      <c r="H206" s="125"/>
      <c r="I206" s="125"/>
      <c r="J206" s="126"/>
      <c r="K206" s="126"/>
      <c r="L206" s="126"/>
      <c r="M206" s="117"/>
      <c r="N206" s="11"/>
      <c r="O206" s="11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122"/>
      <c r="C207" s="123"/>
      <c r="D207" s="123"/>
      <c r="E207" s="124"/>
      <c r="F207" s="124"/>
      <c r="G207" s="124"/>
      <c r="H207" s="125"/>
      <c r="I207" s="125"/>
      <c r="J207" s="126"/>
      <c r="K207" s="126"/>
      <c r="L207" s="126"/>
      <c r="M207" s="117"/>
      <c r="N207" s="11"/>
      <c r="O207" s="11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122"/>
      <c r="C208" s="123"/>
      <c r="D208" s="123"/>
      <c r="E208" s="124"/>
      <c r="F208" s="124"/>
      <c r="G208" s="124"/>
      <c r="H208" s="125"/>
      <c r="I208" s="125"/>
      <c r="J208" s="126"/>
      <c r="K208" s="126"/>
      <c r="L208" s="126"/>
      <c r="M208" s="117"/>
      <c r="N208" s="11"/>
      <c r="O208" s="11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122"/>
      <c r="C209" s="123"/>
      <c r="D209" s="123"/>
      <c r="E209" s="124"/>
      <c r="F209" s="124"/>
      <c r="G209" s="124"/>
      <c r="H209" s="125"/>
      <c r="I209" s="125"/>
      <c r="J209" s="126"/>
      <c r="K209" s="126"/>
      <c r="L209" s="126"/>
      <c r="M209" s="117"/>
      <c r="N209" s="11"/>
      <c r="O209" s="11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122"/>
      <c r="C210" s="123"/>
      <c r="D210" s="123"/>
      <c r="E210" s="124"/>
      <c r="F210" s="124"/>
      <c r="G210" s="124"/>
      <c r="H210" s="125"/>
      <c r="I210" s="125"/>
      <c r="J210" s="126"/>
      <c r="K210" s="126"/>
      <c r="L210" s="126"/>
      <c r="M210" s="117"/>
      <c r="N210" s="11"/>
      <c r="O210" s="11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122"/>
      <c r="C211" s="123"/>
      <c r="D211" s="123"/>
      <c r="E211" s="124"/>
      <c r="F211" s="124"/>
      <c r="G211" s="124"/>
      <c r="H211" s="125"/>
      <c r="I211" s="125"/>
      <c r="J211" s="126"/>
      <c r="K211" s="126"/>
      <c r="L211" s="126"/>
      <c r="M211" s="117"/>
      <c r="N211" s="11"/>
      <c r="O211" s="11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122"/>
      <c r="C212" s="123"/>
      <c r="D212" s="123"/>
      <c r="E212" s="124"/>
      <c r="F212" s="124"/>
      <c r="G212" s="124"/>
      <c r="H212" s="125"/>
      <c r="I212" s="125"/>
      <c r="J212" s="126"/>
      <c r="K212" s="126"/>
      <c r="L212" s="126"/>
      <c r="M212" s="117"/>
      <c r="N212" s="11"/>
      <c r="O212" s="11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122"/>
      <c r="C213" s="123"/>
      <c r="D213" s="123"/>
      <c r="E213" s="124"/>
      <c r="F213" s="124"/>
      <c r="G213" s="124"/>
      <c r="H213" s="125"/>
      <c r="I213" s="125"/>
      <c r="J213" s="126"/>
      <c r="K213" s="126"/>
      <c r="L213" s="126"/>
      <c r="M213" s="117"/>
      <c r="N213" s="11"/>
      <c r="O213" s="11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122"/>
      <c r="C214" s="123"/>
      <c r="D214" s="123"/>
      <c r="E214" s="124"/>
      <c r="F214" s="124"/>
      <c r="G214" s="124"/>
      <c r="H214" s="125"/>
      <c r="I214" s="125"/>
      <c r="J214" s="126"/>
      <c r="K214" s="126"/>
      <c r="L214" s="126"/>
      <c r="M214" s="117"/>
      <c r="N214" s="11"/>
      <c r="O214" s="11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122"/>
      <c r="C215" s="123"/>
      <c r="D215" s="123"/>
      <c r="E215" s="124"/>
      <c r="F215" s="124"/>
      <c r="G215" s="124"/>
      <c r="H215" s="125"/>
      <c r="I215" s="125"/>
      <c r="J215" s="126"/>
      <c r="K215" s="126"/>
      <c r="L215" s="126"/>
      <c r="M215" s="117"/>
      <c r="N215" s="11"/>
      <c r="O215" s="11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122"/>
      <c r="C216" s="123"/>
      <c r="D216" s="123"/>
      <c r="E216" s="124"/>
      <c r="F216" s="124"/>
      <c r="G216" s="124"/>
      <c r="H216" s="125"/>
      <c r="I216" s="125"/>
      <c r="J216" s="126"/>
      <c r="K216" s="126"/>
      <c r="L216" s="126"/>
      <c r="M216" s="117"/>
      <c r="N216" s="11"/>
      <c r="O216" s="11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122"/>
      <c r="C217" s="123"/>
      <c r="D217" s="123"/>
      <c r="E217" s="124"/>
      <c r="F217" s="124"/>
      <c r="G217" s="124"/>
      <c r="H217" s="125"/>
      <c r="I217" s="125"/>
      <c r="J217" s="126"/>
      <c r="K217" s="126"/>
      <c r="L217" s="126"/>
      <c r="M217" s="117"/>
      <c r="N217" s="11"/>
      <c r="O217" s="11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122"/>
      <c r="C218" s="123"/>
      <c r="D218" s="123"/>
      <c r="E218" s="124"/>
      <c r="F218" s="124"/>
      <c r="G218" s="124"/>
      <c r="H218" s="125"/>
      <c r="I218" s="125"/>
      <c r="J218" s="126"/>
      <c r="K218" s="126"/>
      <c r="L218" s="126"/>
      <c r="M218" s="117"/>
      <c r="N218" s="11"/>
      <c r="O218" s="11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122"/>
      <c r="C219" s="123"/>
      <c r="D219" s="123"/>
      <c r="E219" s="124"/>
      <c r="F219" s="124"/>
      <c r="G219" s="124"/>
      <c r="H219" s="125"/>
      <c r="I219" s="125"/>
      <c r="J219" s="126"/>
      <c r="K219" s="126"/>
      <c r="L219" s="126"/>
      <c r="M219" s="117"/>
      <c r="N219" s="11"/>
      <c r="O219" s="11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122"/>
      <c r="C220" s="123"/>
      <c r="D220" s="123"/>
      <c r="E220" s="124"/>
      <c r="F220" s="124"/>
      <c r="G220" s="124"/>
      <c r="H220" s="125"/>
      <c r="I220" s="125"/>
      <c r="J220" s="126"/>
      <c r="K220" s="126"/>
      <c r="L220" s="126"/>
      <c r="M220" s="117"/>
      <c r="N220" s="11"/>
      <c r="O220" s="11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122"/>
      <c r="C221" s="123"/>
      <c r="D221" s="123"/>
      <c r="E221" s="124"/>
      <c r="F221" s="124"/>
      <c r="G221" s="124"/>
      <c r="H221" s="125"/>
      <c r="I221" s="125"/>
      <c r="J221" s="126"/>
      <c r="K221" s="126"/>
      <c r="L221" s="126"/>
      <c r="M221" s="117"/>
      <c r="N221" s="11"/>
      <c r="O221" s="11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122"/>
      <c r="C222" s="123"/>
      <c r="D222" s="123"/>
      <c r="E222" s="124"/>
      <c r="F222" s="124"/>
      <c r="G222" s="124"/>
      <c r="H222" s="125"/>
      <c r="I222" s="125"/>
      <c r="J222" s="126"/>
      <c r="K222" s="126"/>
      <c r="L222" s="126"/>
      <c r="M222" s="117"/>
      <c r="N222" s="11"/>
      <c r="O222" s="11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122"/>
      <c r="C223" s="123"/>
      <c r="D223" s="123"/>
      <c r="E223" s="124"/>
      <c r="F223" s="124"/>
      <c r="G223" s="124"/>
      <c r="H223" s="125"/>
      <c r="I223" s="125"/>
      <c r="J223" s="126"/>
      <c r="K223" s="126"/>
      <c r="L223" s="126"/>
      <c r="M223" s="117"/>
      <c r="N223" s="11"/>
      <c r="O223" s="11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122"/>
      <c r="C224" s="123"/>
      <c r="D224" s="123"/>
      <c r="E224" s="124"/>
      <c r="F224" s="124"/>
      <c r="G224" s="124"/>
      <c r="H224" s="125"/>
      <c r="I224" s="125"/>
      <c r="J224" s="126"/>
      <c r="K224" s="126"/>
      <c r="L224" s="126"/>
      <c r="M224" s="117"/>
      <c r="N224" s="11"/>
      <c r="O224" s="11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122"/>
      <c r="C225" s="123"/>
      <c r="D225" s="123"/>
      <c r="E225" s="124"/>
      <c r="F225" s="124"/>
      <c r="G225" s="124"/>
      <c r="H225" s="125"/>
      <c r="I225" s="125"/>
      <c r="J225" s="126"/>
      <c r="K225" s="126"/>
      <c r="L225" s="126"/>
      <c r="M225" s="117"/>
      <c r="N225" s="11"/>
      <c r="O225" s="11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122"/>
      <c r="C226" s="123"/>
      <c r="D226" s="123"/>
      <c r="E226" s="124"/>
      <c r="F226" s="124"/>
      <c r="G226" s="124"/>
      <c r="H226" s="125"/>
      <c r="I226" s="125"/>
      <c r="J226" s="126"/>
      <c r="K226" s="126"/>
      <c r="L226" s="126"/>
      <c r="M226" s="117"/>
      <c r="N226" s="11"/>
      <c r="O226" s="11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122"/>
      <c r="C227" s="123"/>
      <c r="D227" s="123"/>
      <c r="E227" s="124"/>
      <c r="F227" s="124"/>
      <c r="G227" s="124"/>
      <c r="H227" s="125"/>
      <c r="I227" s="125"/>
      <c r="J227" s="126"/>
      <c r="K227" s="126"/>
      <c r="L227" s="126"/>
      <c r="M227" s="117"/>
      <c r="N227" s="11"/>
      <c r="O227" s="11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122"/>
      <c r="C228" s="123"/>
      <c r="D228" s="123"/>
      <c r="E228" s="124"/>
      <c r="F228" s="124"/>
      <c r="G228" s="124"/>
      <c r="H228" s="125"/>
      <c r="I228" s="125"/>
      <c r="J228" s="126"/>
      <c r="K228" s="126"/>
      <c r="L228" s="126"/>
      <c r="M228" s="117"/>
      <c r="N228" s="11"/>
      <c r="O228" s="11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122"/>
      <c r="C229" s="123"/>
      <c r="D229" s="123"/>
      <c r="E229" s="124"/>
      <c r="F229" s="124"/>
      <c r="G229" s="124"/>
      <c r="H229" s="125"/>
      <c r="I229" s="125"/>
      <c r="J229" s="126"/>
      <c r="K229" s="126"/>
      <c r="L229" s="126"/>
      <c r="M229" s="117"/>
      <c r="N229" s="11"/>
      <c r="O229" s="11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122"/>
      <c r="C230" s="123"/>
      <c r="D230" s="123"/>
      <c r="E230" s="124"/>
      <c r="F230" s="124"/>
      <c r="G230" s="124"/>
      <c r="H230" s="125"/>
      <c r="I230" s="125"/>
      <c r="J230" s="126"/>
      <c r="K230" s="126"/>
      <c r="L230" s="126"/>
      <c r="M230" s="117"/>
      <c r="N230" s="11"/>
      <c r="O230" s="11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122"/>
      <c r="C231" s="123"/>
      <c r="D231" s="123"/>
      <c r="E231" s="124"/>
      <c r="F231" s="124"/>
      <c r="G231" s="124"/>
      <c r="H231" s="125"/>
      <c r="I231" s="125"/>
      <c r="J231" s="126"/>
      <c r="K231" s="126"/>
      <c r="L231" s="126"/>
      <c r="M231" s="117"/>
      <c r="N231" s="11"/>
      <c r="O231" s="11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122"/>
      <c r="C232" s="123"/>
      <c r="D232" s="123"/>
      <c r="E232" s="124"/>
      <c r="F232" s="124"/>
      <c r="G232" s="124"/>
      <c r="H232" s="125"/>
      <c r="I232" s="125"/>
      <c r="J232" s="126"/>
      <c r="K232" s="126"/>
      <c r="L232" s="126"/>
      <c r="M232" s="117"/>
      <c r="N232" s="11"/>
      <c r="O232" s="11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122"/>
      <c r="C233" s="123"/>
      <c r="D233" s="123"/>
      <c r="E233" s="124"/>
      <c r="F233" s="124"/>
      <c r="G233" s="124"/>
      <c r="H233" s="125"/>
      <c r="I233" s="125"/>
      <c r="J233" s="126"/>
      <c r="K233" s="126"/>
      <c r="L233" s="126"/>
      <c r="M233" s="117"/>
      <c r="N233" s="11"/>
      <c r="O233" s="11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122"/>
      <c r="C234" s="123"/>
      <c r="D234" s="123"/>
      <c r="E234" s="124"/>
      <c r="F234" s="124"/>
      <c r="G234" s="124"/>
      <c r="H234" s="125"/>
      <c r="I234" s="125"/>
      <c r="J234" s="126"/>
      <c r="K234" s="126"/>
      <c r="L234" s="126"/>
      <c r="M234" s="117"/>
      <c r="N234" s="11"/>
      <c r="O234" s="11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122"/>
      <c r="C235" s="123"/>
      <c r="D235" s="123"/>
      <c r="E235" s="124"/>
      <c r="F235" s="124"/>
      <c r="G235" s="124"/>
      <c r="H235" s="125"/>
      <c r="I235" s="125"/>
      <c r="J235" s="126"/>
      <c r="K235" s="126"/>
      <c r="L235" s="126"/>
      <c r="M235" s="117"/>
      <c r="N235" s="11"/>
      <c r="O235" s="11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122"/>
      <c r="C236" s="123"/>
      <c r="D236" s="123"/>
      <c r="E236" s="124"/>
      <c r="F236" s="124"/>
      <c r="G236" s="124"/>
      <c r="H236" s="125"/>
      <c r="I236" s="125"/>
      <c r="J236" s="126"/>
      <c r="K236" s="126"/>
      <c r="L236" s="126"/>
      <c r="M236" s="117"/>
      <c r="N236" s="11"/>
      <c r="O236" s="11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122"/>
      <c r="C237" s="123"/>
      <c r="D237" s="123"/>
      <c r="E237" s="124"/>
      <c r="F237" s="124"/>
      <c r="G237" s="124"/>
      <c r="H237" s="125"/>
      <c r="I237" s="125"/>
      <c r="J237" s="126"/>
      <c r="K237" s="126"/>
      <c r="L237" s="126"/>
      <c r="M237" s="117"/>
      <c r="N237" s="11"/>
      <c r="O237" s="11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122"/>
      <c r="C238" s="123"/>
      <c r="D238" s="123"/>
      <c r="E238" s="124"/>
      <c r="F238" s="124"/>
      <c r="G238" s="124"/>
      <c r="H238" s="125"/>
      <c r="I238" s="125"/>
      <c r="J238" s="126"/>
      <c r="K238" s="126"/>
      <c r="L238" s="126"/>
      <c r="M238" s="117"/>
      <c r="N238" s="11"/>
      <c r="O238" s="11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122"/>
      <c r="C239" s="123"/>
      <c r="D239" s="123"/>
      <c r="E239" s="124"/>
      <c r="F239" s="124"/>
      <c r="G239" s="124"/>
      <c r="H239" s="125"/>
      <c r="I239" s="125"/>
      <c r="J239" s="126"/>
      <c r="K239" s="126"/>
      <c r="L239" s="126"/>
      <c r="M239" s="117"/>
      <c r="N239" s="11"/>
      <c r="O239" s="11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122"/>
      <c r="C240" s="123"/>
      <c r="D240" s="123"/>
      <c r="E240" s="124"/>
      <c r="F240" s="124"/>
      <c r="G240" s="124"/>
      <c r="H240" s="125"/>
      <c r="I240" s="125"/>
      <c r="J240" s="126"/>
      <c r="K240" s="126"/>
      <c r="L240" s="126"/>
      <c r="M240" s="117"/>
      <c r="N240" s="11"/>
      <c r="O240" s="11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122"/>
      <c r="C241" s="123"/>
      <c r="D241" s="123"/>
      <c r="E241" s="124"/>
      <c r="F241" s="124"/>
      <c r="G241" s="124"/>
      <c r="H241" s="125"/>
      <c r="I241" s="125"/>
      <c r="J241" s="126"/>
      <c r="K241" s="126"/>
      <c r="L241" s="126"/>
      <c r="M241" s="117"/>
      <c r="N241" s="11"/>
      <c r="O241" s="11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122"/>
      <c r="C242" s="123"/>
      <c r="D242" s="123"/>
      <c r="E242" s="124"/>
      <c r="F242" s="124"/>
      <c r="G242" s="124"/>
      <c r="H242" s="125"/>
      <c r="I242" s="125"/>
      <c r="J242" s="126"/>
      <c r="K242" s="126"/>
      <c r="L242" s="126"/>
      <c r="M242" s="117"/>
      <c r="N242" s="11"/>
      <c r="O242" s="11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122"/>
      <c r="C243" s="123"/>
      <c r="D243" s="123"/>
      <c r="E243" s="124"/>
      <c r="F243" s="124"/>
      <c r="G243" s="124"/>
      <c r="H243" s="125"/>
      <c r="I243" s="125"/>
      <c r="J243" s="126"/>
      <c r="K243" s="126"/>
      <c r="L243" s="126"/>
      <c r="M243" s="117"/>
      <c r="N243" s="11"/>
      <c r="O243" s="11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122"/>
      <c r="C244" s="123"/>
      <c r="D244" s="123"/>
      <c r="E244" s="124"/>
      <c r="F244" s="124"/>
      <c r="G244" s="124"/>
      <c r="H244" s="125"/>
      <c r="I244" s="125"/>
      <c r="J244" s="126"/>
      <c r="K244" s="126"/>
      <c r="L244" s="126"/>
      <c r="M244" s="117"/>
      <c r="N244" s="11"/>
      <c r="O244" s="11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122"/>
      <c r="C245" s="123"/>
      <c r="D245" s="123"/>
      <c r="E245" s="124"/>
      <c r="F245" s="124"/>
      <c r="G245" s="124"/>
      <c r="H245" s="125"/>
      <c r="I245" s="125"/>
      <c r="J245" s="126"/>
      <c r="K245" s="126"/>
      <c r="L245" s="126"/>
      <c r="M245" s="117"/>
      <c r="N245" s="11"/>
      <c r="O245" s="11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122"/>
      <c r="C246" s="123"/>
      <c r="D246" s="123"/>
      <c r="E246" s="124"/>
      <c r="F246" s="124"/>
      <c r="G246" s="124"/>
      <c r="H246" s="125"/>
      <c r="I246" s="125"/>
      <c r="J246" s="126"/>
      <c r="K246" s="126"/>
      <c r="L246" s="126"/>
      <c r="M246" s="117"/>
      <c r="N246" s="11"/>
      <c r="O246" s="11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122"/>
      <c r="C247" s="123"/>
      <c r="D247" s="123"/>
      <c r="E247" s="124"/>
      <c r="F247" s="124"/>
      <c r="G247" s="124"/>
      <c r="H247" s="125"/>
      <c r="I247" s="125"/>
      <c r="J247" s="126"/>
      <c r="K247" s="126"/>
      <c r="L247" s="126"/>
      <c r="M247" s="117"/>
      <c r="N247" s="11"/>
      <c r="O247" s="11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122"/>
      <c r="C248" s="123"/>
      <c r="D248" s="123"/>
      <c r="E248" s="124"/>
      <c r="F248" s="124"/>
      <c r="G248" s="124"/>
      <c r="H248" s="125"/>
      <c r="I248" s="125"/>
      <c r="J248" s="126"/>
      <c r="K248" s="126"/>
      <c r="L248" s="126"/>
      <c r="M248" s="117"/>
      <c r="N248" s="11"/>
      <c r="O248" s="11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122"/>
      <c r="C249" s="123"/>
      <c r="D249" s="123"/>
      <c r="E249" s="124"/>
      <c r="F249" s="124"/>
      <c r="G249" s="124"/>
      <c r="H249" s="125"/>
      <c r="I249" s="125"/>
      <c r="J249" s="126"/>
      <c r="K249" s="126"/>
      <c r="L249" s="126"/>
      <c r="M249" s="117"/>
      <c r="N249" s="11"/>
      <c r="O249" s="11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122"/>
      <c r="C250" s="123"/>
      <c r="D250" s="123"/>
      <c r="E250" s="124"/>
      <c r="F250" s="124"/>
      <c r="G250" s="124"/>
      <c r="H250" s="125"/>
      <c r="I250" s="125"/>
      <c r="J250" s="126"/>
      <c r="K250" s="126"/>
      <c r="L250" s="126"/>
      <c r="M250" s="117"/>
      <c r="N250" s="11"/>
      <c r="O250" s="11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122"/>
      <c r="C251" s="123"/>
      <c r="D251" s="123"/>
      <c r="E251" s="124"/>
      <c r="F251" s="124"/>
      <c r="G251" s="124"/>
      <c r="H251" s="125"/>
      <c r="I251" s="125"/>
      <c r="J251" s="126"/>
      <c r="K251" s="126"/>
      <c r="L251" s="126"/>
      <c r="M251" s="117"/>
      <c r="N251" s="11"/>
      <c r="O251" s="11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122"/>
      <c r="C252" s="123"/>
      <c r="D252" s="123"/>
      <c r="E252" s="124"/>
      <c r="F252" s="124"/>
      <c r="G252" s="124"/>
      <c r="H252" s="125"/>
      <c r="I252" s="125"/>
      <c r="J252" s="126"/>
      <c r="K252" s="126"/>
      <c r="L252" s="126"/>
      <c r="M252" s="117"/>
      <c r="N252" s="11"/>
      <c r="O252" s="11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122"/>
      <c r="C253" s="123"/>
      <c r="D253" s="123"/>
      <c r="E253" s="124"/>
      <c r="F253" s="124"/>
      <c r="G253" s="124"/>
      <c r="H253" s="125"/>
      <c r="I253" s="125"/>
      <c r="J253" s="126"/>
      <c r="K253" s="126"/>
      <c r="L253" s="126"/>
      <c r="M253" s="117"/>
      <c r="N253" s="11"/>
      <c r="O253" s="11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122"/>
      <c r="C254" s="123"/>
      <c r="D254" s="123"/>
      <c r="E254" s="124"/>
      <c r="F254" s="124"/>
      <c r="G254" s="124"/>
      <c r="H254" s="125"/>
      <c r="I254" s="125"/>
      <c r="J254" s="126"/>
      <c r="K254" s="126"/>
      <c r="L254" s="126"/>
      <c r="M254" s="117"/>
      <c r="N254" s="11"/>
      <c r="O254" s="11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122"/>
      <c r="C255" s="123"/>
      <c r="D255" s="123"/>
      <c r="E255" s="124"/>
      <c r="F255" s="124"/>
      <c r="G255" s="124"/>
      <c r="H255" s="125"/>
      <c r="I255" s="125"/>
      <c r="J255" s="126"/>
      <c r="K255" s="126"/>
      <c r="L255" s="126"/>
      <c r="M255" s="117"/>
      <c r="N255" s="11"/>
      <c r="O255" s="11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122"/>
      <c r="C256" s="123"/>
      <c r="D256" s="123"/>
      <c r="E256" s="124"/>
      <c r="F256" s="124"/>
      <c r="G256" s="124"/>
      <c r="H256" s="125"/>
      <c r="I256" s="125"/>
      <c r="J256" s="126"/>
      <c r="K256" s="126"/>
      <c r="L256" s="126"/>
      <c r="M256" s="117"/>
      <c r="N256" s="11"/>
      <c r="O256" s="11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122"/>
      <c r="C257" s="123"/>
      <c r="D257" s="123"/>
      <c r="E257" s="124"/>
      <c r="F257" s="124"/>
      <c r="G257" s="124"/>
      <c r="H257" s="125"/>
      <c r="I257" s="125"/>
      <c r="J257" s="126"/>
      <c r="K257" s="126"/>
      <c r="L257" s="126"/>
      <c r="M257" s="117"/>
      <c r="N257" s="11"/>
      <c r="O257" s="11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122"/>
      <c r="C258" s="123"/>
      <c r="D258" s="123"/>
      <c r="E258" s="124"/>
      <c r="F258" s="124"/>
      <c r="G258" s="124"/>
      <c r="H258" s="125"/>
      <c r="I258" s="125"/>
      <c r="J258" s="126"/>
      <c r="K258" s="126"/>
      <c r="L258" s="126"/>
      <c r="M258" s="117"/>
      <c r="N258" s="11"/>
      <c r="O258" s="11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122"/>
      <c r="C259" s="123"/>
      <c r="D259" s="123"/>
      <c r="E259" s="124"/>
      <c r="F259" s="124"/>
      <c r="G259" s="124"/>
      <c r="H259" s="125"/>
      <c r="I259" s="125"/>
      <c r="J259" s="126"/>
      <c r="K259" s="126"/>
      <c r="L259" s="126"/>
      <c r="M259" s="117"/>
      <c r="N259" s="11"/>
      <c r="O259" s="11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122"/>
      <c r="C260" s="123"/>
      <c r="D260" s="123"/>
      <c r="E260" s="124"/>
      <c r="F260" s="124"/>
      <c r="G260" s="124"/>
      <c r="H260" s="125"/>
      <c r="I260" s="125"/>
      <c r="J260" s="126"/>
      <c r="K260" s="126"/>
      <c r="L260" s="126"/>
      <c r="M260" s="117"/>
      <c r="N260" s="11"/>
      <c r="O260" s="11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122"/>
      <c r="C261" s="123"/>
      <c r="D261" s="123"/>
      <c r="E261" s="124"/>
      <c r="F261" s="124"/>
      <c r="G261" s="124"/>
      <c r="H261" s="125"/>
      <c r="I261" s="125"/>
      <c r="J261" s="126"/>
      <c r="K261" s="126"/>
      <c r="L261" s="126"/>
      <c r="M261" s="117"/>
      <c r="N261" s="11"/>
      <c r="O261" s="11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122"/>
      <c r="C262" s="123"/>
      <c r="D262" s="123"/>
      <c r="E262" s="124"/>
      <c r="F262" s="124"/>
      <c r="G262" s="124"/>
      <c r="H262" s="125"/>
      <c r="I262" s="125"/>
      <c r="J262" s="126"/>
      <c r="K262" s="126"/>
      <c r="L262" s="126"/>
      <c r="M262" s="117"/>
      <c r="N262" s="11"/>
      <c r="O262" s="11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122"/>
      <c r="C263" s="123"/>
      <c r="D263" s="123"/>
      <c r="E263" s="124"/>
      <c r="F263" s="124"/>
      <c r="G263" s="124"/>
      <c r="H263" s="125"/>
      <c r="I263" s="125"/>
      <c r="J263" s="126"/>
      <c r="K263" s="126"/>
      <c r="L263" s="126"/>
      <c r="M263" s="117"/>
      <c r="N263" s="11"/>
      <c r="O263" s="11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122"/>
      <c r="C264" s="123"/>
      <c r="D264" s="123"/>
      <c r="E264" s="124"/>
      <c r="F264" s="124"/>
      <c r="G264" s="124"/>
      <c r="H264" s="125"/>
      <c r="I264" s="125"/>
      <c r="J264" s="126"/>
      <c r="K264" s="126"/>
      <c r="L264" s="126"/>
      <c r="M264" s="117"/>
      <c r="N264" s="11"/>
      <c r="O264" s="11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122"/>
      <c r="C265" s="123"/>
      <c r="D265" s="123"/>
      <c r="E265" s="124"/>
      <c r="F265" s="124"/>
      <c r="G265" s="124"/>
      <c r="H265" s="125"/>
      <c r="I265" s="125"/>
      <c r="J265" s="126"/>
      <c r="K265" s="126"/>
      <c r="L265" s="126"/>
      <c r="M265" s="117"/>
      <c r="N265" s="11"/>
      <c r="O265" s="11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122"/>
      <c r="C266" s="123"/>
      <c r="D266" s="123"/>
      <c r="E266" s="124"/>
      <c r="F266" s="124"/>
      <c r="G266" s="124"/>
      <c r="H266" s="125"/>
      <c r="I266" s="125"/>
      <c r="J266" s="126"/>
      <c r="K266" s="126"/>
      <c r="L266" s="126"/>
      <c r="M266" s="117"/>
      <c r="N266" s="11"/>
      <c r="O266" s="11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122"/>
      <c r="C267" s="123"/>
      <c r="D267" s="123"/>
      <c r="E267" s="124"/>
      <c r="F267" s="124"/>
      <c r="G267" s="124"/>
      <c r="H267" s="125"/>
      <c r="I267" s="125"/>
      <c r="J267" s="126"/>
      <c r="K267" s="126"/>
      <c r="L267" s="126"/>
      <c r="M267" s="117"/>
      <c r="N267" s="11"/>
      <c r="O267" s="11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122"/>
      <c r="C268" s="123"/>
      <c r="D268" s="123"/>
      <c r="E268" s="124"/>
      <c r="F268" s="124"/>
      <c r="G268" s="124"/>
      <c r="H268" s="125"/>
      <c r="I268" s="125"/>
      <c r="J268" s="126"/>
      <c r="K268" s="126"/>
      <c r="L268" s="126"/>
      <c r="M268" s="117"/>
      <c r="N268" s="11"/>
      <c r="O268" s="11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122"/>
      <c r="C269" s="123"/>
      <c r="D269" s="123"/>
      <c r="E269" s="124"/>
      <c r="F269" s="124"/>
      <c r="G269" s="124"/>
      <c r="H269" s="125"/>
      <c r="I269" s="125"/>
      <c r="J269" s="126"/>
      <c r="K269" s="126"/>
      <c r="L269" s="126"/>
      <c r="M269" s="117"/>
      <c r="N269" s="11"/>
      <c r="O269" s="11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122"/>
      <c r="C270" s="123"/>
      <c r="D270" s="123"/>
      <c r="E270" s="124"/>
      <c r="F270" s="124"/>
      <c r="G270" s="124"/>
      <c r="H270" s="125"/>
      <c r="I270" s="125"/>
      <c r="J270" s="126"/>
      <c r="K270" s="126"/>
      <c r="L270" s="126"/>
      <c r="M270" s="117"/>
      <c r="N270" s="11"/>
      <c r="O270" s="11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122"/>
      <c r="C271" s="123"/>
      <c r="D271" s="123"/>
      <c r="E271" s="124"/>
      <c r="F271" s="124"/>
      <c r="G271" s="124"/>
      <c r="H271" s="125"/>
      <c r="I271" s="125"/>
      <c r="J271" s="126"/>
      <c r="K271" s="126"/>
      <c r="L271" s="126"/>
      <c r="M271" s="117"/>
      <c r="N271" s="11"/>
      <c r="O271" s="11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122"/>
      <c r="C272" s="123"/>
      <c r="D272" s="123"/>
      <c r="E272" s="124"/>
      <c r="F272" s="124"/>
      <c r="G272" s="124"/>
      <c r="H272" s="125"/>
      <c r="I272" s="125"/>
      <c r="J272" s="126"/>
      <c r="K272" s="126"/>
      <c r="L272" s="126"/>
      <c r="M272" s="117"/>
      <c r="N272" s="11"/>
      <c r="O272" s="11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122"/>
      <c r="C273" s="123"/>
      <c r="D273" s="123"/>
      <c r="E273" s="124"/>
      <c r="F273" s="124"/>
      <c r="G273" s="124"/>
      <c r="H273" s="125"/>
      <c r="I273" s="125"/>
      <c r="J273" s="126"/>
      <c r="K273" s="126"/>
      <c r="L273" s="126"/>
      <c r="M273" s="117"/>
      <c r="N273" s="11"/>
      <c r="O273" s="11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122"/>
      <c r="C274" s="123"/>
      <c r="D274" s="123"/>
      <c r="E274" s="124"/>
      <c r="F274" s="124"/>
      <c r="G274" s="124"/>
      <c r="H274" s="125"/>
      <c r="I274" s="125"/>
      <c r="J274" s="126"/>
      <c r="K274" s="126"/>
      <c r="L274" s="126"/>
      <c r="M274" s="117"/>
      <c r="N274" s="11"/>
      <c r="O274" s="11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122"/>
      <c r="C275" s="123"/>
      <c r="D275" s="123"/>
      <c r="E275" s="124"/>
      <c r="F275" s="124"/>
      <c r="G275" s="124"/>
      <c r="H275" s="125"/>
      <c r="I275" s="125"/>
      <c r="J275" s="126"/>
      <c r="K275" s="126"/>
      <c r="L275" s="126"/>
      <c r="M275" s="117"/>
      <c r="N275" s="11"/>
      <c r="O275" s="11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122"/>
      <c r="C276" s="123"/>
      <c r="D276" s="123"/>
      <c r="E276" s="124"/>
      <c r="F276" s="124"/>
      <c r="G276" s="124"/>
      <c r="H276" s="125"/>
      <c r="I276" s="125"/>
      <c r="J276" s="126"/>
      <c r="K276" s="126"/>
      <c r="L276" s="126"/>
      <c r="M276" s="117"/>
      <c r="N276" s="11"/>
      <c r="O276" s="11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122"/>
      <c r="C277" s="123"/>
      <c r="D277" s="123"/>
      <c r="E277" s="124"/>
      <c r="F277" s="124"/>
      <c r="G277" s="124"/>
      <c r="H277" s="125"/>
      <c r="I277" s="125"/>
      <c r="J277" s="126"/>
      <c r="K277" s="126"/>
      <c r="L277" s="126"/>
      <c r="M277" s="117"/>
      <c r="N277" s="11"/>
      <c r="O277" s="11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122"/>
      <c r="C278" s="123"/>
      <c r="D278" s="123"/>
      <c r="E278" s="124"/>
      <c r="F278" s="124"/>
      <c r="G278" s="124"/>
      <c r="H278" s="125"/>
      <c r="I278" s="125"/>
      <c r="J278" s="126"/>
      <c r="K278" s="126"/>
      <c r="L278" s="126"/>
      <c r="M278" s="117"/>
      <c r="N278" s="11"/>
      <c r="O278" s="11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122"/>
      <c r="C279" s="123"/>
      <c r="D279" s="123"/>
      <c r="E279" s="124"/>
      <c r="F279" s="124"/>
      <c r="G279" s="124"/>
      <c r="H279" s="125"/>
      <c r="I279" s="125"/>
      <c r="J279" s="126"/>
      <c r="K279" s="126"/>
      <c r="L279" s="126"/>
      <c r="M279" s="117"/>
      <c r="N279" s="11"/>
      <c r="O279" s="11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122"/>
      <c r="C280" s="123"/>
      <c r="D280" s="123"/>
      <c r="E280" s="124"/>
      <c r="F280" s="124"/>
      <c r="G280" s="124"/>
      <c r="H280" s="125"/>
      <c r="I280" s="125"/>
      <c r="J280" s="126"/>
      <c r="K280" s="126"/>
      <c r="L280" s="126"/>
      <c r="M280" s="117"/>
      <c r="N280" s="11"/>
      <c r="O280" s="11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122"/>
      <c r="C281" s="123"/>
      <c r="D281" s="123"/>
      <c r="E281" s="124"/>
      <c r="F281" s="124"/>
      <c r="G281" s="124"/>
      <c r="H281" s="125"/>
      <c r="I281" s="125"/>
      <c r="J281" s="126"/>
      <c r="K281" s="126"/>
      <c r="L281" s="126"/>
      <c r="M281" s="117"/>
      <c r="N281" s="11"/>
      <c r="O281" s="11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122"/>
      <c r="C282" s="123"/>
      <c r="D282" s="123"/>
      <c r="E282" s="124"/>
      <c r="F282" s="124"/>
      <c r="G282" s="124"/>
      <c r="H282" s="125"/>
      <c r="I282" s="125"/>
      <c r="J282" s="126"/>
      <c r="K282" s="126"/>
      <c r="L282" s="126"/>
      <c r="M282" s="117"/>
      <c r="N282" s="11"/>
      <c r="O282" s="11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122"/>
      <c r="C283" s="123"/>
      <c r="D283" s="123"/>
      <c r="E283" s="124"/>
      <c r="F283" s="124"/>
      <c r="G283" s="124"/>
      <c r="H283" s="125"/>
      <c r="I283" s="125"/>
      <c r="J283" s="126"/>
      <c r="K283" s="126"/>
      <c r="L283" s="126"/>
      <c r="M283" s="117"/>
      <c r="N283" s="11"/>
      <c r="O283" s="11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122"/>
      <c r="C284" s="123"/>
      <c r="D284" s="123"/>
      <c r="E284" s="124"/>
      <c r="F284" s="124"/>
      <c r="G284" s="124"/>
      <c r="H284" s="125"/>
      <c r="I284" s="125"/>
      <c r="J284" s="126"/>
      <c r="K284" s="126"/>
      <c r="L284" s="126"/>
      <c r="M284" s="117"/>
      <c r="N284" s="11"/>
      <c r="O284" s="11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122"/>
      <c r="C285" s="123"/>
      <c r="D285" s="123"/>
      <c r="E285" s="124"/>
      <c r="F285" s="124"/>
      <c r="G285" s="124"/>
      <c r="H285" s="125"/>
      <c r="I285" s="125"/>
      <c r="J285" s="126"/>
      <c r="K285" s="126"/>
      <c r="L285" s="126"/>
      <c r="M285" s="117"/>
      <c r="N285" s="11"/>
      <c r="O285" s="11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122"/>
      <c r="C286" s="123"/>
      <c r="D286" s="123"/>
      <c r="E286" s="124"/>
      <c r="F286" s="124"/>
      <c r="G286" s="124"/>
      <c r="H286" s="125"/>
      <c r="I286" s="125"/>
      <c r="J286" s="126"/>
      <c r="K286" s="126"/>
      <c r="L286" s="126"/>
      <c r="M286" s="117"/>
      <c r="N286" s="11"/>
      <c r="O286" s="11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122"/>
      <c r="C287" s="123"/>
      <c r="D287" s="123"/>
      <c r="E287" s="124"/>
      <c r="F287" s="124"/>
      <c r="G287" s="124"/>
      <c r="H287" s="125"/>
      <c r="I287" s="125"/>
      <c r="J287" s="126"/>
      <c r="K287" s="126"/>
      <c r="L287" s="126"/>
      <c r="M287" s="117"/>
      <c r="N287" s="11"/>
      <c r="O287" s="11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122"/>
      <c r="C288" s="123"/>
      <c r="D288" s="123"/>
      <c r="E288" s="124"/>
      <c r="F288" s="124"/>
      <c r="G288" s="124"/>
      <c r="H288" s="125"/>
      <c r="I288" s="125"/>
      <c r="J288" s="126"/>
      <c r="K288" s="126"/>
      <c r="L288" s="126"/>
      <c r="M288" s="117"/>
      <c r="N288" s="11"/>
      <c r="O288" s="11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122"/>
      <c r="C289" s="123"/>
      <c r="D289" s="123"/>
      <c r="E289" s="124"/>
      <c r="F289" s="124"/>
      <c r="G289" s="124"/>
      <c r="H289" s="125"/>
      <c r="I289" s="125"/>
      <c r="J289" s="126"/>
      <c r="K289" s="126"/>
      <c r="L289" s="126"/>
      <c r="M289" s="117"/>
      <c r="N289" s="11"/>
      <c r="O289" s="11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122"/>
      <c r="C290" s="123"/>
      <c r="D290" s="123"/>
      <c r="E290" s="124"/>
      <c r="F290" s="124"/>
      <c r="G290" s="124"/>
      <c r="H290" s="125"/>
      <c r="I290" s="125"/>
      <c r="J290" s="126"/>
      <c r="K290" s="126"/>
      <c r="L290" s="126"/>
      <c r="M290" s="117"/>
      <c r="N290" s="11"/>
      <c r="O290" s="11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122"/>
      <c r="C291" s="123"/>
      <c r="D291" s="123"/>
      <c r="E291" s="124"/>
      <c r="F291" s="124"/>
      <c r="G291" s="124"/>
      <c r="H291" s="125"/>
      <c r="I291" s="125"/>
      <c r="J291" s="126"/>
      <c r="K291" s="126"/>
      <c r="L291" s="126"/>
      <c r="M291" s="117"/>
      <c r="N291" s="11"/>
      <c r="O291" s="11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122"/>
      <c r="C292" s="123"/>
      <c r="D292" s="123"/>
      <c r="E292" s="124"/>
      <c r="F292" s="124"/>
      <c r="G292" s="124"/>
      <c r="H292" s="125"/>
      <c r="I292" s="125"/>
      <c r="J292" s="126"/>
      <c r="K292" s="126"/>
      <c r="L292" s="126"/>
      <c r="M292" s="117"/>
      <c r="N292" s="11"/>
      <c r="O292" s="11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122"/>
      <c r="C293" s="123"/>
      <c r="D293" s="123"/>
      <c r="E293" s="124"/>
      <c r="F293" s="124"/>
      <c r="G293" s="124"/>
      <c r="H293" s="125"/>
      <c r="I293" s="125"/>
      <c r="J293" s="126"/>
      <c r="K293" s="126"/>
      <c r="L293" s="126"/>
      <c r="M293" s="117"/>
      <c r="N293" s="11"/>
      <c r="O293" s="11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122"/>
      <c r="C294" s="123"/>
      <c r="D294" s="123"/>
      <c r="E294" s="124"/>
      <c r="F294" s="124"/>
      <c r="G294" s="124"/>
      <c r="H294" s="125"/>
      <c r="I294" s="125"/>
      <c r="J294" s="126"/>
      <c r="K294" s="126"/>
      <c r="L294" s="126"/>
      <c r="M294" s="117"/>
      <c r="N294" s="11"/>
      <c r="O294" s="11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122"/>
      <c r="C295" s="123"/>
      <c r="D295" s="123"/>
      <c r="E295" s="124"/>
      <c r="F295" s="124"/>
      <c r="G295" s="124"/>
      <c r="H295" s="125"/>
      <c r="I295" s="125"/>
      <c r="J295" s="126"/>
      <c r="K295" s="126"/>
      <c r="L295" s="126"/>
      <c r="M295" s="117"/>
      <c r="N295" s="11"/>
      <c r="O295" s="11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122"/>
      <c r="C296" s="123"/>
      <c r="D296" s="123"/>
      <c r="E296" s="124"/>
      <c r="F296" s="124"/>
      <c r="G296" s="124"/>
      <c r="H296" s="125"/>
      <c r="I296" s="125"/>
      <c r="J296" s="126"/>
      <c r="K296" s="126"/>
      <c r="L296" s="126"/>
      <c r="M296" s="117"/>
      <c r="N296" s="11"/>
      <c r="O296" s="11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122"/>
      <c r="C297" s="123"/>
      <c r="D297" s="123"/>
      <c r="E297" s="124"/>
      <c r="F297" s="124"/>
      <c r="G297" s="124"/>
      <c r="H297" s="125"/>
      <c r="I297" s="125"/>
      <c r="J297" s="126"/>
      <c r="K297" s="126"/>
      <c r="L297" s="126"/>
      <c r="M297" s="117"/>
      <c r="N297" s="11"/>
      <c r="O297" s="11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122"/>
      <c r="C298" s="123"/>
      <c r="D298" s="123"/>
      <c r="E298" s="124"/>
      <c r="F298" s="124"/>
      <c r="G298" s="124"/>
      <c r="H298" s="125"/>
      <c r="I298" s="125"/>
      <c r="J298" s="126"/>
      <c r="K298" s="126"/>
      <c r="L298" s="126"/>
      <c r="M298" s="117"/>
      <c r="N298" s="11"/>
      <c r="O298" s="11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122"/>
      <c r="C299" s="123"/>
      <c r="D299" s="123"/>
      <c r="E299" s="124"/>
      <c r="F299" s="124"/>
      <c r="G299" s="124"/>
      <c r="H299" s="125"/>
      <c r="I299" s="125"/>
      <c r="J299" s="126"/>
      <c r="K299" s="126"/>
      <c r="L299" s="126"/>
      <c r="M299" s="117"/>
      <c r="N299" s="11"/>
      <c r="O299" s="11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122"/>
      <c r="C300" s="123"/>
      <c r="D300" s="123"/>
      <c r="E300" s="124"/>
      <c r="F300" s="124"/>
      <c r="G300" s="124"/>
      <c r="H300" s="125"/>
      <c r="I300" s="125"/>
      <c r="J300" s="126"/>
      <c r="K300" s="126"/>
      <c r="L300" s="126"/>
      <c r="M300" s="117"/>
      <c r="N300" s="11"/>
      <c r="O300" s="11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122"/>
      <c r="C301" s="123"/>
      <c r="D301" s="123"/>
      <c r="E301" s="124"/>
      <c r="F301" s="124"/>
      <c r="G301" s="124"/>
      <c r="H301" s="125"/>
      <c r="I301" s="125"/>
      <c r="J301" s="126"/>
      <c r="K301" s="126"/>
      <c r="L301" s="126"/>
      <c r="M301" s="117"/>
      <c r="N301" s="11"/>
      <c r="O301" s="11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122"/>
      <c r="C302" s="123"/>
      <c r="D302" s="123"/>
      <c r="E302" s="124"/>
      <c r="F302" s="124"/>
      <c r="G302" s="124"/>
      <c r="H302" s="125"/>
      <c r="I302" s="125"/>
      <c r="J302" s="126"/>
      <c r="K302" s="126"/>
      <c r="L302" s="126"/>
      <c r="M302" s="117"/>
      <c r="N302" s="11"/>
      <c r="O302" s="11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122"/>
      <c r="C303" s="123"/>
      <c r="D303" s="123"/>
      <c r="E303" s="124"/>
      <c r="F303" s="124"/>
      <c r="G303" s="124"/>
      <c r="H303" s="125"/>
      <c r="I303" s="125"/>
      <c r="J303" s="126"/>
      <c r="K303" s="126"/>
      <c r="L303" s="126"/>
      <c r="M303" s="117"/>
      <c r="N303" s="11"/>
      <c r="O303" s="11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122"/>
      <c r="C304" s="123"/>
      <c r="D304" s="123"/>
      <c r="E304" s="124"/>
      <c r="F304" s="124"/>
      <c r="G304" s="124"/>
      <c r="H304" s="125"/>
      <c r="I304" s="125"/>
      <c r="J304" s="126"/>
      <c r="K304" s="126"/>
      <c r="L304" s="126"/>
      <c r="M304" s="117"/>
      <c r="N304" s="11"/>
      <c r="O304" s="11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122"/>
      <c r="C305" s="123"/>
      <c r="D305" s="123"/>
      <c r="E305" s="124"/>
      <c r="F305" s="124"/>
      <c r="G305" s="124"/>
      <c r="H305" s="125"/>
      <c r="I305" s="125"/>
      <c r="J305" s="126"/>
      <c r="K305" s="126"/>
      <c r="L305" s="126"/>
      <c r="M305" s="117"/>
      <c r="N305" s="11"/>
      <c r="O305" s="11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122"/>
      <c r="C306" s="123"/>
      <c r="D306" s="123"/>
      <c r="E306" s="124"/>
      <c r="F306" s="124"/>
      <c r="G306" s="124"/>
      <c r="H306" s="125"/>
      <c r="I306" s="125"/>
      <c r="J306" s="126"/>
      <c r="K306" s="126"/>
      <c r="L306" s="126"/>
      <c r="M306" s="117"/>
      <c r="N306" s="11"/>
      <c r="O306" s="11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122"/>
      <c r="C307" s="123"/>
      <c r="D307" s="123"/>
      <c r="E307" s="124"/>
      <c r="F307" s="124"/>
      <c r="G307" s="124"/>
      <c r="H307" s="125"/>
      <c r="I307" s="125"/>
      <c r="J307" s="126"/>
      <c r="K307" s="126"/>
      <c r="L307" s="126"/>
      <c r="M307" s="117"/>
      <c r="N307" s="11"/>
      <c r="O307" s="11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122"/>
      <c r="C308" s="123"/>
      <c r="D308" s="123"/>
      <c r="E308" s="124"/>
      <c r="F308" s="124"/>
      <c r="G308" s="124"/>
      <c r="H308" s="125"/>
      <c r="I308" s="125"/>
      <c r="J308" s="126"/>
      <c r="K308" s="126"/>
      <c r="L308" s="126"/>
      <c r="M308" s="117"/>
      <c r="N308" s="11"/>
      <c r="O308" s="11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122"/>
      <c r="C309" s="123"/>
      <c r="D309" s="123"/>
      <c r="E309" s="124"/>
      <c r="F309" s="124"/>
      <c r="G309" s="124"/>
      <c r="H309" s="125"/>
      <c r="I309" s="125"/>
      <c r="J309" s="126"/>
      <c r="K309" s="126"/>
      <c r="L309" s="126"/>
      <c r="M309" s="117"/>
      <c r="N309" s="11"/>
      <c r="O309" s="11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122"/>
      <c r="C310" s="123"/>
      <c r="D310" s="123"/>
      <c r="E310" s="124"/>
      <c r="F310" s="124"/>
      <c r="G310" s="124"/>
      <c r="H310" s="125"/>
      <c r="I310" s="125"/>
      <c r="J310" s="126"/>
      <c r="K310" s="126"/>
      <c r="L310" s="126"/>
      <c r="M310" s="117"/>
      <c r="N310" s="11"/>
      <c r="O310" s="11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122"/>
      <c r="C311" s="123"/>
      <c r="D311" s="123"/>
      <c r="E311" s="124"/>
      <c r="F311" s="124"/>
      <c r="G311" s="124"/>
      <c r="H311" s="125"/>
      <c r="I311" s="125"/>
      <c r="J311" s="126"/>
      <c r="K311" s="126"/>
      <c r="L311" s="126"/>
      <c r="M311" s="117"/>
      <c r="N311" s="11"/>
      <c r="O311" s="11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122"/>
      <c r="C312" s="123"/>
      <c r="D312" s="123"/>
      <c r="E312" s="124"/>
      <c r="F312" s="124"/>
      <c r="G312" s="124"/>
      <c r="H312" s="125"/>
      <c r="I312" s="125"/>
      <c r="J312" s="126"/>
      <c r="K312" s="126"/>
      <c r="L312" s="126"/>
      <c r="M312" s="117"/>
      <c r="N312" s="11"/>
      <c r="O312" s="11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122"/>
      <c r="C313" s="123"/>
      <c r="D313" s="123"/>
      <c r="E313" s="124"/>
      <c r="F313" s="124"/>
      <c r="G313" s="124"/>
      <c r="H313" s="125"/>
      <c r="I313" s="125"/>
      <c r="J313" s="126"/>
      <c r="K313" s="126"/>
      <c r="L313" s="126"/>
      <c r="M313" s="117"/>
      <c r="N313" s="11"/>
      <c r="O313" s="11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122"/>
      <c r="C314" s="123"/>
      <c r="D314" s="123"/>
      <c r="E314" s="124"/>
      <c r="F314" s="124"/>
      <c r="G314" s="124"/>
      <c r="H314" s="125"/>
      <c r="I314" s="125"/>
      <c r="J314" s="126"/>
      <c r="K314" s="126"/>
      <c r="L314" s="126"/>
      <c r="M314" s="117"/>
      <c r="N314" s="11"/>
      <c r="O314" s="11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122"/>
      <c r="C315" s="123"/>
      <c r="D315" s="123"/>
      <c r="E315" s="124"/>
      <c r="F315" s="124"/>
      <c r="G315" s="124"/>
      <c r="H315" s="125"/>
      <c r="I315" s="125"/>
      <c r="J315" s="126"/>
      <c r="K315" s="126"/>
      <c r="L315" s="126"/>
      <c r="M315" s="117"/>
      <c r="N315" s="11"/>
      <c r="O315" s="11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122"/>
      <c r="C316" s="123"/>
      <c r="D316" s="123"/>
      <c r="E316" s="124"/>
      <c r="F316" s="124"/>
      <c r="G316" s="124"/>
      <c r="H316" s="125"/>
      <c r="I316" s="125"/>
      <c r="J316" s="126"/>
      <c r="K316" s="126"/>
      <c r="L316" s="126"/>
      <c r="M316" s="117"/>
      <c r="N316" s="11"/>
      <c r="O316" s="11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122"/>
      <c r="C317" s="123"/>
      <c r="D317" s="123"/>
      <c r="E317" s="124"/>
      <c r="F317" s="124"/>
      <c r="G317" s="124"/>
      <c r="H317" s="125"/>
      <c r="I317" s="125"/>
      <c r="J317" s="126"/>
      <c r="K317" s="126"/>
      <c r="L317" s="126"/>
      <c r="M317" s="117"/>
      <c r="N317" s="11"/>
      <c r="O317" s="11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122"/>
      <c r="C318" s="123"/>
      <c r="D318" s="123"/>
      <c r="E318" s="124"/>
      <c r="F318" s="124"/>
      <c r="G318" s="124"/>
      <c r="H318" s="125"/>
      <c r="I318" s="125"/>
      <c r="J318" s="126"/>
      <c r="K318" s="126"/>
      <c r="L318" s="126"/>
      <c r="M318" s="117"/>
      <c r="N318" s="11"/>
      <c r="O318" s="11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122"/>
      <c r="C319" s="123"/>
      <c r="D319" s="123"/>
      <c r="E319" s="124"/>
      <c r="F319" s="124"/>
      <c r="G319" s="124"/>
      <c r="H319" s="125"/>
      <c r="I319" s="125"/>
      <c r="J319" s="126"/>
      <c r="K319" s="126"/>
      <c r="L319" s="126"/>
      <c r="M319" s="117"/>
      <c r="N319" s="11"/>
      <c r="O319" s="11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122"/>
      <c r="C320" s="123"/>
      <c r="D320" s="123"/>
      <c r="E320" s="124"/>
      <c r="F320" s="124"/>
      <c r="G320" s="124"/>
      <c r="H320" s="125"/>
      <c r="I320" s="125"/>
      <c r="J320" s="126"/>
      <c r="K320" s="126"/>
      <c r="L320" s="126"/>
      <c r="M320" s="117"/>
      <c r="N320" s="11"/>
      <c r="O320" s="11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122"/>
      <c r="C321" s="123"/>
      <c r="D321" s="123"/>
      <c r="E321" s="124"/>
      <c r="F321" s="124"/>
      <c r="G321" s="124"/>
      <c r="H321" s="125"/>
      <c r="I321" s="125"/>
      <c r="J321" s="126"/>
      <c r="K321" s="126"/>
      <c r="L321" s="126"/>
      <c r="M321" s="117"/>
      <c r="N321" s="11"/>
      <c r="O321" s="11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122"/>
      <c r="C322" s="123"/>
      <c r="D322" s="123"/>
      <c r="E322" s="124"/>
      <c r="F322" s="124"/>
      <c r="G322" s="124"/>
      <c r="H322" s="125"/>
      <c r="I322" s="125"/>
      <c r="J322" s="126"/>
      <c r="K322" s="126"/>
      <c r="L322" s="126"/>
      <c r="M322" s="117"/>
      <c r="N322" s="11"/>
      <c r="O322" s="11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122"/>
      <c r="C323" s="123"/>
      <c r="D323" s="123"/>
      <c r="E323" s="124"/>
      <c r="F323" s="124"/>
      <c r="G323" s="124"/>
      <c r="H323" s="125"/>
      <c r="I323" s="125"/>
      <c r="J323" s="126"/>
      <c r="K323" s="126"/>
      <c r="L323" s="126"/>
      <c r="M323" s="117"/>
      <c r="N323" s="11"/>
      <c r="O323" s="11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122"/>
      <c r="C324" s="123"/>
      <c r="D324" s="123"/>
      <c r="E324" s="124"/>
      <c r="F324" s="124"/>
      <c r="G324" s="124"/>
      <c r="H324" s="125"/>
      <c r="I324" s="125"/>
      <c r="J324" s="126"/>
      <c r="K324" s="126"/>
      <c r="L324" s="126"/>
      <c r="M324" s="117"/>
      <c r="N324" s="11"/>
      <c r="O324" s="11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122"/>
      <c r="C325" s="123"/>
      <c r="D325" s="123"/>
      <c r="E325" s="124"/>
      <c r="F325" s="124"/>
      <c r="G325" s="124"/>
      <c r="H325" s="125"/>
      <c r="I325" s="125"/>
      <c r="J325" s="126"/>
      <c r="K325" s="126"/>
      <c r="L325" s="126"/>
      <c r="M325" s="117"/>
      <c r="N325" s="11"/>
      <c r="O325" s="11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122"/>
      <c r="C326" s="123"/>
      <c r="D326" s="123"/>
      <c r="E326" s="124"/>
      <c r="F326" s="124"/>
      <c r="G326" s="124"/>
      <c r="H326" s="125"/>
      <c r="I326" s="125"/>
      <c r="J326" s="126"/>
      <c r="K326" s="126"/>
      <c r="L326" s="126"/>
      <c r="M326" s="117"/>
      <c r="N326" s="11"/>
      <c r="O326" s="11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122"/>
      <c r="C327" s="123"/>
      <c r="D327" s="123"/>
      <c r="E327" s="124"/>
      <c r="F327" s="124"/>
      <c r="G327" s="124"/>
      <c r="H327" s="125"/>
      <c r="I327" s="125"/>
      <c r="J327" s="126"/>
      <c r="K327" s="126"/>
      <c r="L327" s="126"/>
      <c r="M327" s="117"/>
      <c r="N327" s="11"/>
      <c r="O327" s="11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122"/>
      <c r="C328" s="123"/>
      <c r="D328" s="123"/>
      <c r="E328" s="124"/>
      <c r="F328" s="124"/>
      <c r="G328" s="124"/>
      <c r="H328" s="125"/>
      <c r="I328" s="125"/>
      <c r="J328" s="126"/>
      <c r="K328" s="126"/>
      <c r="L328" s="126"/>
      <c r="M328" s="117"/>
      <c r="N328" s="11"/>
      <c r="O328" s="11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122"/>
      <c r="C329" s="123"/>
      <c r="D329" s="123"/>
      <c r="E329" s="124"/>
      <c r="F329" s="124"/>
      <c r="G329" s="124"/>
      <c r="H329" s="125"/>
      <c r="I329" s="125"/>
      <c r="J329" s="126"/>
      <c r="K329" s="126"/>
      <c r="L329" s="126"/>
      <c r="M329" s="117"/>
      <c r="N329" s="11"/>
      <c r="O329" s="11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122"/>
      <c r="C330" s="123"/>
      <c r="D330" s="123"/>
      <c r="E330" s="124"/>
      <c r="F330" s="124"/>
      <c r="G330" s="124"/>
      <c r="H330" s="125"/>
      <c r="I330" s="125"/>
      <c r="J330" s="126"/>
      <c r="K330" s="126"/>
      <c r="L330" s="126"/>
      <c r="M330" s="117"/>
      <c r="N330" s="11"/>
      <c r="O330" s="11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122"/>
      <c r="C331" s="123"/>
      <c r="D331" s="123"/>
      <c r="E331" s="124"/>
      <c r="F331" s="124"/>
      <c r="G331" s="124"/>
      <c r="H331" s="125"/>
      <c r="I331" s="125"/>
      <c r="J331" s="126"/>
      <c r="K331" s="126"/>
      <c r="L331" s="126"/>
      <c r="M331" s="117"/>
      <c r="N331" s="11"/>
      <c r="O331" s="11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122"/>
      <c r="C332" s="123"/>
      <c r="D332" s="123"/>
      <c r="E332" s="124"/>
      <c r="F332" s="124"/>
      <c r="G332" s="124"/>
      <c r="H332" s="125"/>
      <c r="I332" s="125"/>
      <c r="J332" s="126"/>
      <c r="K332" s="126"/>
      <c r="L332" s="126"/>
      <c r="M332" s="117"/>
      <c r="N332" s="11"/>
      <c r="O332" s="11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122"/>
      <c r="C333" s="123"/>
      <c r="D333" s="123"/>
      <c r="E333" s="124"/>
      <c r="F333" s="124"/>
      <c r="G333" s="124"/>
      <c r="H333" s="125"/>
      <c r="I333" s="125"/>
      <c r="J333" s="126"/>
      <c r="K333" s="126"/>
      <c r="L333" s="126"/>
      <c r="M333" s="117"/>
      <c r="N333" s="11"/>
      <c r="O333" s="11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122"/>
      <c r="C334" s="123"/>
      <c r="D334" s="123"/>
      <c r="E334" s="124"/>
      <c r="F334" s="124"/>
      <c r="G334" s="124"/>
      <c r="H334" s="125"/>
      <c r="I334" s="125"/>
      <c r="J334" s="126"/>
      <c r="K334" s="126"/>
      <c r="L334" s="126"/>
      <c r="M334" s="117"/>
      <c r="N334" s="11"/>
      <c r="O334" s="11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122"/>
      <c r="C335" s="123"/>
      <c r="D335" s="123"/>
      <c r="E335" s="124"/>
      <c r="F335" s="124"/>
      <c r="G335" s="124"/>
      <c r="H335" s="125"/>
      <c r="I335" s="125"/>
      <c r="J335" s="126"/>
      <c r="K335" s="126"/>
      <c r="L335" s="126"/>
      <c r="M335" s="117"/>
      <c r="N335" s="11"/>
      <c r="O335" s="11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122"/>
      <c r="C336" s="123"/>
      <c r="D336" s="123"/>
      <c r="E336" s="124"/>
      <c r="F336" s="124"/>
      <c r="G336" s="124"/>
      <c r="H336" s="125"/>
      <c r="I336" s="125"/>
      <c r="J336" s="126"/>
      <c r="K336" s="126"/>
      <c r="L336" s="126"/>
      <c r="M336" s="117"/>
      <c r="N336" s="11"/>
      <c r="O336" s="11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122"/>
      <c r="C337" s="123"/>
      <c r="D337" s="123"/>
      <c r="E337" s="124"/>
      <c r="F337" s="124"/>
      <c r="G337" s="124"/>
      <c r="H337" s="125"/>
      <c r="I337" s="125"/>
      <c r="J337" s="126"/>
      <c r="K337" s="126"/>
      <c r="L337" s="126"/>
      <c r="M337" s="117"/>
      <c r="N337" s="11"/>
      <c r="O337" s="11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122"/>
      <c r="C338" s="123"/>
      <c r="D338" s="123"/>
      <c r="E338" s="124"/>
      <c r="F338" s="124"/>
      <c r="G338" s="124"/>
      <c r="H338" s="125"/>
      <c r="I338" s="125"/>
      <c r="J338" s="126"/>
      <c r="K338" s="126"/>
      <c r="L338" s="126"/>
      <c r="M338" s="117"/>
      <c r="N338" s="11"/>
      <c r="O338" s="11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122"/>
      <c r="C339" s="123"/>
      <c r="D339" s="123"/>
      <c r="E339" s="124"/>
      <c r="F339" s="124"/>
      <c r="G339" s="124"/>
      <c r="H339" s="125"/>
      <c r="I339" s="125"/>
      <c r="J339" s="126"/>
      <c r="K339" s="126"/>
      <c r="L339" s="126"/>
      <c r="M339" s="117"/>
      <c r="N339" s="11"/>
      <c r="O339" s="11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122"/>
      <c r="C340" s="123"/>
      <c r="D340" s="123"/>
      <c r="E340" s="124"/>
      <c r="F340" s="124"/>
      <c r="G340" s="124"/>
      <c r="H340" s="125"/>
      <c r="I340" s="125"/>
      <c r="J340" s="126"/>
      <c r="K340" s="126"/>
      <c r="L340" s="126"/>
      <c r="M340" s="117"/>
      <c r="N340" s="11"/>
      <c r="O340" s="11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122"/>
      <c r="C341" s="123"/>
      <c r="D341" s="123"/>
      <c r="E341" s="124"/>
      <c r="F341" s="124"/>
      <c r="G341" s="124"/>
      <c r="H341" s="125"/>
      <c r="I341" s="125"/>
      <c r="J341" s="126"/>
      <c r="K341" s="126"/>
      <c r="L341" s="126"/>
      <c r="M341" s="117"/>
      <c r="N341" s="11"/>
      <c r="O341" s="11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122"/>
      <c r="C342" s="123"/>
      <c r="D342" s="123"/>
      <c r="E342" s="124"/>
      <c r="F342" s="124"/>
      <c r="G342" s="124"/>
      <c r="H342" s="125"/>
      <c r="I342" s="125"/>
      <c r="J342" s="126"/>
      <c r="K342" s="126"/>
      <c r="L342" s="126"/>
      <c r="M342" s="117"/>
      <c r="N342" s="11"/>
      <c r="O342" s="11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122"/>
      <c r="C343" s="123"/>
      <c r="D343" s="123"/>
      <c r="E343" s="124"/>
      <c r="F343" s="124"/>
      <c r="G343" s="124"/>
      <c r="H343" s="125"/>
      <c r="I343" s="125"/>
      <c r="J343" s="126"/>
      <c r="K343" s="126"/>
      <c r="L343" s="126"/>
      <c r="M343" s="117"/>
      <c r="N343" s="11"/>
      <c r="O343" s="11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122"/>
      <c r="C344" s="123"/>
      <c r="D344" s="123"/>
      <c r="E344" s="124"/>
      <c r="F344" s="124"/>
      <c r="G344" s="124"/>
      <c r="H344" s="125"/>
      <c r="I344" s="125"/>
      <c r="J344" s="126"/>
      <c r="K344" s="126"/>
      <c r="L344" s="126"/>
      <c r="M344" s="117"/>
      <c r="N344" s="11"/>
      <c r="O344" s="11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">
    <mergeCell ref="B1:F1"/>
    <mergeCell ref="G1:J1"/>
    <mergeCell ref="K1:M1"/>
    <mergeCell ref="C3:D3"/>
    <mergeCell ref="E3:G3"/>
    <mergeCell ref="H3:I3"/>
    <mergeCell ref="J3:L3"/>
  </mergeCells>
  <conditionalFormatting sqref="G5:G1000">
    <cfRule type="cellIs" dxfId="5" priority="1" operator="lessThan">
      <formula>0</formula>
    </cfRule>
  </conditionalFormatting>
  <conditionalFormatting sqref="L5:L1000 M5:M144">
    <cfRule type="cellIs" dxfId="6" priority="2" operator="lessThan">
      <formula>0</formula>
    </cfRule>
  </conditionalFormatting>
  <conditionalFormatting sqref="H5:H1000">
    <cfRule type="cellIs" dxfId="7" priority="3" operator="greaterThan">
      <formula>1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95C"/>
    <pageSetUpPr/>
  </sheetPr>
  <sheetViews>
    <sheetView showGridLines="0" workbookViewId="0"/>
  </sheetViews>
  <sheetFormatPr customHeight="1" defaultColWidth="14.43" defaultRowHeight="15.0"/>
  <cols>
    <col customWidth="1" min="1" max="1" width="15.14"/>
    <col customWidth="1" min="2" max="2" width="28.0"/>
    <col customWidth="1" min="3" max="3" width="12.0"/>
    <col customWidth="1" min="4" max="6" width="18.0"/>
    <col customWidth="1" min="7" max="7" width="16.0"/>
    <col customWidth="1" min="8" max="8" width="12.0"/>
    <col customWidth="1" min="9" max="9" width="14.0"/>
    <col customWidth="1" min="10" max="10" width="8.71"/>
    <col customWidth="1" min="11" max="11" width="3.0"/>
  </cols>
  <sheetData>
    <row r="1" ht="31.5" customHeight="1">
      <c r="A1" s="128" t="s">
        <v>225</v>
      </c>
      <c r="B1" s="3"/>
      <c r="C1" s="3"/>
      <c r="D1" s="3"/>
      <c r="E1" s="3"/>
      <c r="F1" s="3"/>
      <c r="G1" s="3"/>
      <c r="H1" s="4"/>
      <c r="I1" s="11"/>
      <c r="J1" s="11"/>
      <c r="K1" s="11"/>
    </row>
    <row r="2" ht="25.5" customHeight="1">
      <c r="A2" s="129" t="s">
        <v>3</v>
      </c>
      <c r="B2" s="129" t="s">
        <v>226</v>
      </c>
      <c r="C2" s="129" t="s">
        <v>227</v>
      </c>
      <c r="D2" s="129" t="s">
        <v>228</v>
      </c>
      <c r="E2" s="129" t="s">
        <v>229</v>
      </c>
      <c r="F2" s="129" t="s">
        <v>230</v>
      </c>
      <c r="G2" s="129" t="s">
        <v>231</v>
      </c>
      <c r="H2" s="129" t="s">
        <v>232</v>
      </c>
      <c r="I2" s="11"/>
      <c r="J2" s="11"/>
      <c r="K2" s="11"/>
    </row>
    <row r="3" ht="25.5" customHeight="1">
      <c r="A3" s="130" t="s">
        <v>233</v>
      </c>
      <c r="B3" s="131">
        <f>IFERROR(SUMIFS(INVESTMENTS!F:F,INVESTMENTS!C:C,A3),"")</f>
        <v>129774.82</v>
      </c>
      <c r="C3" s="132">
        <f>IFERROR(SUMIFS(INVESTMENTS!K:K,INVESTMENTS!C:C,A3,INVESTMENTS!E:E,"Sell / Redeem"),"0")</f>
        <v>-10362</v>
      </c>
      <c r="D3" s="133">
        <f t="shared" ref="D3:D5" si="1">B3-C3</f>
        <v>140136.82</v>
      </c>
      <c r="E3" s="134">
        <f t="shared" ref="E3:E4" si="2">IFERROR(SUMIFS($E$9:$E$16,$A$9:$A$16,A3),"")</f>
        <v>95178.61416</v>
      </c>
      <c r="F3" s="133">
        <f t="shared" ref="F3:F5" si="3">E3-B3-C3</f>
        <v>-24234.20584</v>
      </c>
      <c r="G3" s="135">
        <f t="shared" ref="G3:G5" si="4">IFERROR(F3/(B3-C3),0)</f>
        <v>-0.1729324659</v>
      </c>
      <c r="H3" s="136" t="str">
        <f t="shared" ref="H3:H5" si="5">IF(F3&gt;=0,"📈 Profit","📉 Loss")</f>
        <v>📉 Loss</v>
      </c>
      <c r="I3" s="11"/>
      <c r="J3" s="11"/>
      <c r="K3" s="11"/>
    </row>
    <row r="4" ht="25.5" customHeight="1">
      <c r="A4" s="137" t="s">
        <v>234</v>
      </c>
      <c r="B4" s="131">
        <f>IFERROR(SUMIFS(INVESTMENTS!F:F,INVESTMENTS!C:C,A4),"")</f>
        <v>24010</v>
      </c>
      <c r="C4" s="132">
        <f>IFERROR(SUMIFS(INVESTMENTS!K:K,INVESTMENTS!C:C,A4,INVESTMENTS!E:E,"Sell / Redeem"),"0")</f>
        <v>0</v>
      </c>
      <c r="D4" s="138">
        <f t="shared" si="1"/>
        <v>24010</v>
      </c>
      <c r="E4" s="134">
        <f t="shared" si="2"/>
        <v>28684.38054</v>
      </c>
      <c r="F4" s="138">
        <f t="shared" si="3"/>
        <v>4674.38054</v>
      </c>
      <c r="G4" s="139">
        <f t="shared" si="4"/>
        <v>0.1946847372</v>
      </c>
      <c r="H4" s="140" t="str">
        <f t="shared" si="5"/>
        <v>📈 Profit</v>
      </c>
      <c r="I4" s="11"/>
      <c r="J4" s="11"/>
      <c r="K4" s="11"/>
    </row>
    <row r="5" ht="25.5" customHeight="1">
      <c r="A5" s="105" t="s">
        <v>235</v>
      </c>
      <c r="B5" s="105">
        <f t="shared" ref="B5:C5" si="6">SUM(B3:B4)</f>
        <v>153784.82</v>
      </c>
      <c r="C5" s="105">
        <f t="shared" si="6"/>
        <v>-10362</v>
      </c>
      <c r="D5" s="105">
        <f t="shared" si="1"/>
        <v>164146.82</v>
      </c>
      <c r="E5" s="134">
        <f>SUM(E3:E4)</f>
        <v>123862.9947</v>
      </c>
      <c r="F5" s="105">
        <f t="shared" si="3"/>
        <v>-19559.8253</v>
      </c>
      <c r="G5" s="106">
        <f t="shared" si="4"/>
        <v>-0.1191605497</v>
      </c>
      <c r="H5" s="141" t="str">
        <f t="shared" si="5"/>
        <v>📉 Loss</v>
      </c>
      <c r="I5" s="11"/>
      <c r="J5" s="11"/>
      <c r="K5" s="11"/>
    </row>
    <row r="6" ht="25.5" customHeight="1">
      <c r="A6" s="142" t="s">
        <v>236</v>
      </c>
      <c r="B6" s="84"/>
      <c r="C6" s="84"/>
      <c r="D6" s="84"/>
      <c r="E6" s="84"/>
      <c r="F6" s="84"/>
      <c r="G6" s="84"/>
      <c r="H6" s="85"/>
      <c r="I6" s="11"/>
      <c r="J6" s="11"/>
      <c r="K6" s="11"/>
    </row>
    <row r="7" ht="25.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ht="21.75" customHeight="1">
      <c r="A8" s="143" t="s">
        <v>3</v>
      </c>
      <c r="B8" s="144" t="s">
        <v>237</v>
      </c>
      <c r="C8" s="144" t="s">
        <v>238</v>
      </c>
      <c r="D8" s="144" t="s">
        <v>239</v>
      </c>
      <c r="E8" s="145" t="s">
        <v>240</v>
      </c>
      <c r="F8" s="144" t="s">
        <v>226</v>
      </c>
      <c r="G8" s="144" t="s">
        <v>241</v>
      </c>
      <c r="H8" s="144" t="s">
        <v>231</v>
      </c>
      <c r="I8" s="144" t="s">
        <v>232</v>
      </c>
      <c r="J8" s="11"/>
      <c r="K8" s="11"/>
    </row>
    <row r="9" ht="15.0" customHeight="1">
      <c r="A9" s="146" t="str">
        <f>IFERROR(__xludf.DUMMYFUNCTION("SORT(
  UNIQUE(FILTER(INVESTMENTS!C4:D992,INVESTMENTS!C4:C992&lt;&gt;"""",INVESTMENTS!D4:D992&lt;&gt;"""")),
  MATCH(
    INDEX(UNIQUE(FILTER(INVESTMENTS!C4:D992,INVESTMENTS!C4:C992&lt;&gt;"""",INVESTMENTS!D4:D992&lt;&gt;"""")),0,1),
    {""Crypto"",""Shares MF""},
    0
  ),
  "&amp;"TRUE,
  2,
  TRUE
)"),"Crypto")</f>
        <v>Crypto</v>
      </c>
      <c r="B9" s="146" t="str">
        <f>IFERROR(__xludf.DUMMYFUNCTION("""COMPUTED_VALUE"""),"Bitcoin (BTC)")</f>
        <v>Bitcoin (BTC)</v>
      </c>
      <c r="C9" s="147">
        <f>IFERROR(SUMIF(INVESTMENTS!D:D,B9,INVESTMENTS!I:I),"Error")</f>
        <v>0.00871589</v>
      </c>
      <c r="D9" s="148">
        <f>IFERROR(AVERAGEIF(INVESTMENTS!D:D,B9,INVESTMENTS!J:J),"")</f>
        <v>1915575.051</v>
      </c>
      <c r="E9" s="148">
        <f>IFERROR(VLOOKUP(B9,SETTINGS!H:J,3,0)*C9,"0")</f>
        <v>64368.79764</v>
      </c>
      <c r="F9" s="148">
        <f>IFERROR(SUMIF(INVESTMENTS!D:D,B9,INVESTMENTS!F:F),"")</f>
        <v>13333.31</v>
      </c>
      <c r="G9" s="148">
        <f t="shared" ref="G9:G20" si="7">E9-F9</f>
        <v>51035.48764</v>
      </c>
      <c r="H9" s="149">
        <f t="shared" ref="H9:H20" si="8">IFERROR((E9-F9)/ABS(F9),0)</f>
        <v>3.827668272</v>
      </c>
      <c r="I9" s="150" t="str">
        <f t="shared" ref="I9:I20" si="9">IF(G9&gt;=0,"📈 Profit","📉 Loss")</f>
        <v>📈 Profit</v>
      </c>
      <c r="J9" s="11"/>
      <c r="K9" s="11"/>
    </row>
    <row r="10" ht="15.0" customHeight="1">
      <c r="A10" s="146" t="str">
        <f>IFERROR(__xludf.DUMMYFUNCTION("""COMPUTED_VALUE"""),"Crypto")</f>
        <v>Crypto</v>
      </c>
      <c r="B10" s="146" t="str">
        <f>IFERROR(__xludf.DUMMYFUNCTION("""COMPUTED_VALUE"""),"Cardano (ADA)")</f>
        <v>Cardano (ADA)</v>
      </c>
      <c r="C10" s="147">
        <f>IFERROR(SUMIF(INVESTMENTS!D:D,B10,INVESTMENTS!I:I),"Error")</f>
        <v>156.527</v>
      </c>
      <c r="D10" s="148">
        <f>IFERROR(AVERAGEIF(INVESTMENTS!D:D,B10,INVESTMENTS!J:J),"")</f>
        <v>36.72444444</v>
      </c>
      <c r="E10" s="148">
        <f>IFERROR(VLOOKUP(B10,SETTINGS!H:J,3,0)*C10,"0")</f>
        <v>3124.894515</v>
      </c>
      <c r="F10" s="148">
        <f>IFERROR(SUMIF(INVESTMENTS!D:D,B10,INVESTMENTS!F:F),"")</f>
        <v>13290.35</v>
      </c>
      <c r="G10" s="148">
        <f t="shared" si="7"/>
        <v>-10165.45548</v>
      </c>
      <c r="H10" s="149">
        <f t="shared" si="8"/>
        <v>-0.7648749269</v>
      </c>
      <c r="I10" s="150" t="str">
        <f t="shared" si="9"/>
        <v>📉 Loss</v>
      </c>
      <c r="J10" s="11"/>
      <c r="K10" s="11"/>
    </row>
    <row r="11" ht="15.0" customHeight="1">
      <c r="A11" s="146" t="str">
        <f>IFERROR(__xludf.DUMMYFUNCTION("""COMPUTED_VALUE"""),"Crypto")</f>
        <v>Crypto</v>
      </c>
      <c r="B11" s="146" t="str">
        <f>IFERROR(__xludf.DUMMYFUNCTION("""COMPUTED_VALUE"""),"Ethereum (ETH)")</f>
        <v>Ethereum (ETH)</v>
      </c>
      <c r="C11" s="147">
        <f>IFERROR(SUMIF(INVESTMENTS!D:D,B11,INVESTMENTS!I:I),"Error")</f>
        <v>0.09744698</v>
      </c>
      <c r="D11" s="148">
        <f>IFERROR(AVERAGEIF(INVESTMENTS!D:D,B11,INVESTMENTS!J:J),"")</f>
        <v>149899.1892</v>
      </c>
      <c r="E11" s="148">
        <f>IFERROR(VLOOKUP(B11,SETTINGS!H:J,3,0)*C11,"0")</f>
        <v>23579.35508</v>
      </c>
      <c r="F11" s="148">
        <f>IFERROR(SUMIF(INVESTMENTS!D:D,B11,INVESTMENTS!F:F),"")</f>
        <v>18454.88</v>
      </c>
      <c r="G11" s="148">
        <f t="shared" si="7"/>
        <v>5124.475085</v>
      </c>
      <c r="H11" s="149">
        <f t="shared" si="8"/>
        <v>0.2776758822</v>
      </c>
      <c r="I11" s="150" t="str">
        <f t="shared" si="9"/>
        <v>📈 Profit</v>
      </c>
      <c r="J11" s="11"/>
      <c r="K11" s="11"/>
    </row>
    <row r="12" ht="15.0" customHeight="1">
      <c r="A12" s="146" t="str">
        <f>IFERROR(__xludf.DUMMYFUNCTION("""COMPUTED_VALUE"""),"Crypto")</f>
        <v>Crypto</v>
      </c>
      <c r="B12" s="146" t="str">
        <f>IFERROR(__xludf.DUMMYFUNCTION("""COMPUTED_VALUE"""),"Polygon (MATIC)")</f>
        <v>Polygon (MATIC)</v>
      </c>
      <c r="C12" s="147">
        <f>IFERROR(SUMIF(INVESTMENTS!D:D,B12,INVESTMENTS!I:I),"Error")</f>
        <v>149.6130375</v>
      </c>
      <c r="D12" s="148">
        <f>IFERROR(AVERAGEIF(INVESTMENTS!D:D,B12,INVESTMENTS!J:J),"")</f>
        <v>25.66592593</v>
      </c>
      <c r="E12" s="148" t="str">
        <f>IFERROR(VLOOKUP(B12,SETTINGS!H:J,3,0)*C12,"0")</f>
        <v>0</v>
      </c>
      <c r="F12" s="148">
        <f>IFERROR(SUMIF(INVESTMENTS!D:D,B12,INVESTMENTS!F:F),"")</f>
        <v>4856.95</v>
      </c>
      <c r="G12" s="148">
        <f t="shared" si="7"/>
        <v>-4856.95</v>
      </c>
      <c r="H12" s="149">
        <f t="shared" si="8"/>
        <v>-1</v>
      </c>
      <c r="I12" s="150" t="str">
        <f t="shared" si="9"/>
        <v>📉 Loss</v>
      </c>
      <c r="J12" s="11"/>
      <c r="K12" s="11"/>
    </row>
    <row r="13" ht="15.0" customHeight="1">
      <c r="A13" s="146" t="str">
        <f>IFERROR(__xludf.DUMMYFUNCTION("""COMPUTED_VALUE"""),"Crypto")</f>
        <v>Crypto</v>
      </c>
      <c r="B13" s="146" t="str">
        <f>IFERROR(__xludf.DUMMYFUNCTION("""COMPUTED_VALUE"""),"Solana (SOL)")</f>
        <v>Solana (SOL)</v>
      </c>
      <c r="C13" s="147">
        <f>IFERROR(SUMIF(INVESTMENTS!D:D,B13,INVESTMENTS!I:I),"Error")</f>
        <v>0.42124869</v>
      </c>
      <c r="D13" s="148">
        <f>IFERROR(AVERAGEIF(INVESTMENTS!D:D,B13,INVESTMENTS!J:J),"")</f>
        <v>3780.62</v>
      </c>
      <c r="E13" s="148">
        <f>IFERROR(VLOOKUP(B13,SETTINGS!H:J,3,0)*C13,"0")</f>
        <v>4105.566915</v>
      </c>
      <c r="F13" s="148">
        <f>IFERROR(SUMIF(INVESTMENTS!D:D,B13,INVESTMENTS!F:F),"")</f>
        <v>1728.33</v>
      </c>
      <c r="G13" s="148">
        <f t="shared" si="7"/>
        <v>2377.236915</v>
      </c>
      <c r="H13" s="149">
        <f t="shared" si="8"/>
        <v>1.375453134</v>
      </c>
      <c r="I13" s="150" t="str">
        <f t="shared" si="9"/>
        <v>📈 Profit</v>
      </c>
      <c r="J13" s="11"/>
      <c r="K13" s="11"/>
    </row>
    <row r="14" ht="15.0" customHeight="1">
      <c r="A14" s="146" t="str">
        <f>IFERROR(__xludf.DUMMYFUNCTION("""COMPUTED_VALUE"""),"Shares MF")</f>
        <v>Shares MF</v>
      </c>
      <c r="B14" s="146" t="str">
        <f>IFERROR(__xludf.DUMMYFUNCTION("""COMPUTED_VALUE"""),"SBI Savings Fund Direct Plan Growth")</f>
        <v>SBI Savings Fund Direct Plan Growth</v>
      </c>
      <c r="C14" s="147">
        <f>IFERROR(SUMIF(INVESTMENTS!D:D,B14,INVESTMENTS!I:I),"Error")</f>
        <v>597.218</v>
      </c>
      <c r="D14" s="148">
        <f>IFERROR(AVERAGEIF(INVESTMENTS!D:D,B14,INVESTMENTS!J:J),"")</f>
        <v>40.48383143</v>
      </c>
      <c r="E14" s="148">
        <f>IFERROR(VLOOKUP(B14,SETTINGS!H:J,3,0)*C14,"0")</f>
        <v>28684.38054</v>
      </c>
      <c r="F14" s="148">
        <f>IFERROR(SUMIF(INVESTMENTS!D:D,B14,INVESTMENTS!F:F),"")</f>
        <v>24010</v>
      </c>
      <c r="G14" s="148">
        <f t="shared" si="7"/>
        <v>4674.38054</v>
      </c>
      <c r="H14" s="149">
        <f t="shared" si="8"/>
        <v>0.1946847372</v>
      </c>
      <c r="I14" s="150" t="str">
        <f t="shared" si="9"/>
        <v>📈 Profit</v>
      </c>
      <c r="J14" s="11"/>
      <c r="K14" s="11"/>
    </row>
    <row r="15" ht="15.0" customHeight="1">
      <c r="A15" s="146"/>
      <c r="B15" s="146"/>
      <c r="C15" s="147">
        <f>IFERROR(SUMIF(INVESTMENTS!D:D,B15,INVESTMENTS!I:I),"Error")</f>
        <v>0</v>
      </c>
      <c r="D15" s="148" t="str">
        <f>IFERROR(AVERAGEIF(INVESTMENTS!D:D,B15,INVESTMENTS!J:J),"")</f>
        <v/>
      </c>
      <c r="E15" s="148" t="str">
        <f>IFERROR(VLOOKUP(B15,SETTINGS!H:J,3,0)*C15,"0")</f>
        <v>0</v>
      </c>
      <c r="F15" s="148">
        <f>IFERROR(SUMIF(INVESTMENTS!D:D,B15,INVESTMENTS!F:F),"")</f>
        <v>0</v>
      </c>
      <c r="G15" s="148">
        <f t="shared" si="7"/>
        <v>0</v>
      </c>
      <c r="H15" s="149">
        <f t="shared" si="8"/>
        <v>0</v>
      </c>
      <c r="I15" s="150" t="str">
        <f t="shared" si="9"/>
        <v>📈 Profit</v>
      </c>
      <c r="J15" s="11"/>
      <c r="K15" s="11"/>
    </row>
    <row r="16" ht="15.0" customHeight="1">
      <c r="A16" s="146"/>
      <c r="B16" s="146"/>
      <c r="C16" s="147">
        <f>IFERROR(SUMIF(INVESTMENTS!D:D,B16,INVESTMENTS!I:I),"Error")</f>
        <v>0</v>
      </c>
      <c r="D16" s="148" t="str">
        <f>IFERROR(AVERAGEIF(INVESTMENTS!D:D,B16,INVESTMENTS!J:J),"")</f>
        <v/>
      </c>
      <c r="E16" s="148" t="str">
        <f>IFERROR(VLOOKUP(B16,SETTINGS!H:J,3,0)*C16,"0")</f>
        <v>0</v>
      </c>
      <c r="F16" s="148">
        <f>IFERROR(SUMIF(INVESTMENTS!D:D,B16,INVESTMENTS!F:F),"")</f>
        <v>0</v>
      </c>
      <c r="G16" s="148">
        <f t="shared" si="7"/>
        <v>0</v>
      </c>
      <c r="H16" s="149">
        <f t="shared" si="8"/>
        <v>0</v>
      </c>
      <c r="I16" s="150" t="str">
        <f t="shared" si="9"/>
        <v>📈 Profit</v>
      </c>
      <c r="J16" s="11"/>
      <c r="K16" s="11"/>
    </row>
    <row r="17" ht="15.0" customHeight="1">
      <c r="A17" s="146"/>
      <c r="B17" s="146"/>
      <c r="C17" s="147">
        <f>IFERROR(SUMIF(INVESTMENTS!D:D,B17,INVESTMENTS!I:I),"Error")</f>
        <v>0</v>
      </c>
      <c r="D17" s="148" t="str">
        <f>IFERROR(AVERAGEIF(INVESTMENTS!D:D,B17,INVESTMENTS!J:J),"")</f>
        <v/>
      </c>
      <c r="E17" s="148" t="str">
        <f>IFERROR(multiply(VLOOKUP(B17,SETTINGS!H:J,3,0),C17),"0")</f>
        <v>0</v>
      </c>
      <c r="F17" s="148">
        <f>IFERROR(SUMIF(INVESTMENTS!D:D,B17,INVESTMENTS!F:F),"")</f>
        <v>0</v>
      </c>
      <c r="G17" s="148">
        <f t="shared" si="7"/>
        <v>0</v>
      </c>
      <c r="H17" s="149">
        <f t="shared" si="8"/>
        <v>0</v>
      </c>
      <c r="I17" s="150" t="str">
        <f t="shared" si="9"/>
        <v>📈 Profit</v>
      </c>
      <c r="J17" s="11"/>
      <c r="K17" s="11"/>
    </row>
    <row r="18" ht="15.0" customHeight="1">
      <c r="A18" s="146"/>
      <c r="B18" s="146"/>
      <c r="C18" s="147">
        <f>IFERROR(SUMIF(INVESTMENTS!D:D,B18,INVESTMENTS!I:I),"Error")</f>
        <v>0</v>
      </c>
      <c r="D18" s="148" t="str">
        <f>IFERROR(AVERAGEIF(INVESTMENTS!D:D,B18,INVESTMENTS!J:J),"")</f>
        <v/>
      </c>
      <c r="E18" s="148" t="str">
        <f>IFERROR(multiply(VLOOKUP(B18,SETTINGS!H:J,3,0),C18),"0")</f>
        <v>0</v>
      </c>
      <c r="F18" s="148">
        <f>IFERROR(SUMIF(INVESTMENTS!D:D,B18,INVESTMENTS!F:F),"")</f>
        <v>0</v>
      </c>
      <c r="G18" s="148">
        <f t="shared" si="7"/>
        <v>0</v>
      </c>
      <c r="H18" s="149">
        <f t="shared" si="8"/>
        <v>0</v>
      </c>
      <c r="I18" s="150" t="str">
        <f t="shared" si="9"/>
        <v>📈 Profit</v>
      </c>
      <c r="J18" s="11"/>
      <c r="K18" s="11"/>
    </row>
    <row r="19" ht="15.0" customHeight="1">
      <c r="A19" s="146"/>
      <c r="B19" s="146"/>
      <c r="C19" s="147">
        <f>IFERROR(SUMIF(INVESTMENTS!D:D,B19,INVESTMENTS!I:I),"Error")</f>
        <v>0</v>
      </c>
      <c r="D19" s="148" t="str">
        <f>IFERROR(AVERAGEIF(INVESTMENTS!D:D,B19,INVESTMENTS!J:J),"")</f>
        <v/>
      </c>
      <c r="E19" s="148" t="str">
        <f>IFERROR(multiply(VLOOKUP(B19,SETTINGS!H:J,3,0),C19),"0")</f>
        <v>0</v>
      </c>
      <c r="F19" s="148">
        <f>IFERROR(SUMIF(INVESTMENTS!D:D,B19,INVESTMENTS!F:F),"")</f>
        <v>0</v>
      </c>
      <c r="G19" s="148">
        <f t="shared" si="7"/>
        <v>0</v>
      </c>
      <c r="H19" s="149">
        <f t="shared" si="8"/>
        <v>0</v>
      </c>
      <c r="I19" s="150" t="str">
        <f t="shared" si="9"/>
        <v>📈 Profit</v>
      </c>
      <c r="J19" s="11"/>
      <c r="K19" s="11"/>
    </row>
    <row r="20" ht="15.0" customHeight="1">
      <c r="A20" s="146"/>
      <c r="B20" s="146"/>
      <c r="C20" s="147">
        <f>IFERROR(SUMIF(INVESTMENTS!D:D,B20,INVESTMENTS!I:I),"Error")</f>
        <v>0</v>
      </c>
      <c r="D20" s="148" t="str">
        <f>IFERROR(AVERAGEIF(INVESTMENTS!D:D,B20,INVESTMENTS!J:J),"")</f>
        <v/>
      </c>
      <c r="E20" s="148" t="str">
        <f>IFERROR(multiply(VLOOKUP(B20,SETTINGS!H:J,3,0),C20),"0")</f>
        <v>0</v>
      </c>
      <c r="F20" s="148">
        <f>IFERROR(SUMIF(INVESTMENTS!D:D,B20,INVESTMENTS!F:F),"")</f>
        <v>0</v>
      </c>
      <c r="G20" s="148">
        <f t="shared" si="7"/>
        <v>0</v>
      </c>
      <c r="H20" s="149">
        <f t="shared" si="8"/>
        <v>0</v>
      </c>
      <c r="I20" s="150" t="str">
        <f t="shared" si="9"/>
        <v>📈 Profit</v>
      </c>
      <c r="J20" s="11"/>
      <c r="K20" s="11"/>
    </row>
    <row r="21" ht="27.75" customHeight="1">
      <c r="A21" s="151"/>
      <c r="B21" s="152" t="s">
        <v>242</v>
      </c>
      <c r="C21" s="153"/>
      <c r="D21" s="154"/>
      <c r="E21" s="155">
        <f t="shared" ref="E21:G21" si="10">SUM(E9:E20)</f>
        <v>123862.9947</v>
      </c>
      <c r="F21" s="155">
        <f t="shared" si="10"/>
        <v>75673.82</v>
      </c>
      <c r="G21" s="155">
        <f t="shared" si="10"/>
        <v>48189.1747</v>
      </c>
      <c r="H21" s="156">
        <f>IFERROR(G21/ABS(F21),0)</f>
        <v>0.6368011381</v>
      </c>
      <c r="I21" s="157"/>
      <c r="J21" s="11"/>
      <c r="K21" s="11"/>
    </row>
    <row r="22" ht="15.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mergeCells count="2">
    <mergeCell ref="A1:H1"/>
    <mergeCell ref="A6:H6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7F17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14"/>
    <col customWidth="1" min="2" max="2" width="11.0"/>
    <col customWidth="1" min="3" max="3" width="11.43"/>
    <col customWidth="1" min="4" max="4" width="29.71"/>
    <col customWidth="1" min="5" max="5" width="13.86"/>
    <col customWidth="1" min="6" max="6" width="12.0"/>
    <col customWidth="1" min="7" max="7" width="13.29"/>
    <col customWidth="1" min="8" max="9" width="12.0"/>
    <col customWidth="1" min="10" max="10" width="11.14"/>
    <col customWidth="1" min="11" max="11" width="9.57"/>
    <col customWidth="1" min="12" max="12" width="23.43"/>
    <col customWidth="1" min="13" max="13" width="13.0"/>
  </cols>
  <sheetData>
    <row r="1" ht="15.0" customHeight="1">
      <c r="A1" s="158" t="s">
        <v>243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60"/>
      <c r="M1" s="161"/>
      <c r="N1" s="5"/>
    </row>
    <row r="2" ht="15.0" customHeight="1">
      <c r="A2" s="8" t="s">
        <v>5</v>
      </c>
      <c r="B2" s="162" t="s">
        <v>3</v>
      </c>
      <c r="C2" s="10" t="s">
        <v>4</v>
      </c>
      <c r="D2" s="10" t="s">
        <v>4</v>
      </c>
      <c r="E2" s="10" t="s">
        <v>4</v>
      </c>
      <c r="F2" s="162" t="s">
        <v>3</v>
      </c>
      <c r="G2" s="162" t="s">
        <v>3</v>
      </c>
      <c r="H2" s="162" t="s">
        <v>5</v>
      </c>
      <c r="I2" s="162" t="s">
        <v>3</v>
      </c>
      <c r="J2" s="162" t="s">
        <v>3</v>
      </c>
      <c r="K2" s="8" t="s">
        <v>5</v>
      </c>
      <c r="L2" s="11"/>
      <c r="M2" s="161"/>
      <c r="N2" s="5"/>
    </row>
    <row r="3" ht="15.0" customHeight="1">
      <c r="A3" s="163" t="s">
        <v>198</v>
      </c>
      <c r="B3" s="163" t="s">
        <v>6</v>
      </c>
      <c r="C3" s="163" t="s">
        <v>244</v>
      </c>
      <c r="D3" s="163" t="s">
        <v>245</v>
      </c>
      <c r="E3" s="163" t="s">
        <v>246</v>
      </c>
      <c r="F3" s="163" t="s">
        <v>247</v>
      </c>
      <c r="G3" s="163" t="s">
        <v>248</v>
      </c>
      <c r="H3" s="163" t="s">
        <v>249</v>
      </c>
      <c r="I3" s="163" t="s">
        <v>250</v>
      </c>
      <c r="J3" s="163" t="s">
        <v>251</v>
      </c>
      <c r="K3" s="163" t="s">
        <v>252</v>
      </c>
      <c r="L3" s="11"/>
      <c r="M3" s="161"/>
      <c r="N3" s="5"/>
    </row>
    <row r="4" ht="15.0" customHeight="1">
      <c r="A4" s="96">
        <f t="shared" ref="A4:A86" si="1">ROW()-2</f>
        <v>2</v>
      </c>
      <c r="B4" s="15">
        <v>44421.0</v>
      </c>
      <c r="C4" s="164" t="s">
        <v>233</v>
      </c>
      <c r="D4" s="165"/>
      <c r="E4" s="166" t="s">
        <v>253</v>
      </c>
      <c r="F4" s="92">
        <v>-5032.0</v>
      </c>
      <c r="G4" s="92">
        <v>5032.0</v>
      </c>
      <c r="H4" s="23">
        <f t="shared" ref="H4:H86" si="2">IF(K4&lt;=0,0,IF(F4&gt;0,F4-K4,G4-K4))</f>
        <v>0</v>
      </c>
      <c r="I4" s="167">
        <v>0.0</v>
      </c>
      <c r="J4" s="18">
        <v>0.0</v>
      </c>
      <c r="K4" s="168">
        <f t="shared" ref="K4:K86" si="3">J4*I4</f>
        <v>0</v>
      </c>
      <c r="L4" s="11"/>
      <c r="M4" s="11"/>
      <c r="N4" s="5"/>
    </row>
    <row r="5" ht="15.0" customHeight="1">
      <c r="A5" s="96">
        <f t="shared" si="1"/>
        <v>3</v>
      </c>
      <c r="B5" s="15">
        <v>44421.0</v>
      </c>
      <c r="C5" s="164" t="s">
        <v>233</v>
      </c>
      <c r="D5" s="165" t="s">
        <v>254</v>
      </c>
      <c r="E5" s="166" t="s">
        <v>253</v>
      </c>
      <c r="F5" s="92">
        <v>5282.62</v>
      </c>
      <c r="G5" s="92">
        <v>0.0</v>
      </c>
      <c r="H5" s="23">
        <f t="shared" si="2"/>
        <v>0.002923</v>
      </c>
      <c r="I5" s="167">
        <v>0.001139</v>
      </c>
      <c r="J5" s="18">
        <v>4637943.0</v>
      </c>
      <c r="K5" s="168">
        <f t="shared" si="3"/>
        <v>5282.617077</v>
      </c>
      <c r="L5" s="11"/>
      <c r="M5" s="11"/>
      <c r="N5" s="5"/>
    </row>
    <row r="6" ht="15.0" customHeight="1">
      <c r="A6" s="96">
        <f t="shared" si="1"/>
        <v>4</v>
      </c>
      <c r="B6" s="15">
        <v>44432.0</v>
      </c>
      <c r="C6" s="164" t="s">
        <v>233</v>
      </c>
      <c r="D6" s="165" t="s">
        <v>255</v>
      </c>
      <c r="E6" s="166" t="s">
        <v>253</v>
      </c>
      <c r="F6" s="92">
        <v>6941.94</v>
      </c>
      <c r="G6" s="92">
        <v>0.0</v>
      </c>
      <c r="H6" s="23">
        <f t="shared" si="2"/>
        <v>0</v>
      </c>
      <c r="I6" s="167">
        <v>58.83</v>
      </c>
      <c r="J6" s="18">
        <v>118.0</v>
      </c>
      <c r="K6" s="168">
        <f t="shared" si="3"/>
        <v>6941.94</v>
      </c>
      <c r="L6" s="11"/>
      <c r="M6" s="11"/>
      <c r="N6" s="5"/>
    </row>
    <row r="7" ht="15.0" customHeight="1">
      <c r="A7" s="96">
        <f t="shared" si="1"/>
        <v>5</v>
      </c>
      <c r="B7" s="15">
        <v>44446.0</v>
      </c>
      <c r="C7" s="164" t="s">
        <v>233</v>
      </c>
      <c r="D7" s="165" t="s">
        <v>257</v>
      </c>
      <c r="E7" s="166" t="s">
        <v>253</v>
      </c>
      <c r="F7" s="92">
        <v>11667.21</v>
      </c>
      <c r="G7" s="92">
        <v>0.0</v>
      </c>
      <c r="H7" s="23">
        <f t="shared" si="2"/>
        <v>0.00424</v>
      </c>
      <c r="I7" s="167">
        <v>40.231744</v>
      </c>
      <c r="J7" s="18">
        <v>290.0</v>
      </c>
      <c r="K7" s="168">
        <f t="shared" si="3"/>
        <v>11667.20576</v>
      </c>
      <c r="L7" s="11"/>
      <c r="M7" s="11"/>
      <c r="N7" s="5"/>
    </row>
    <row r="8" ht="15.0" customHeight="1">
      <c r="A8" s="96">
        <f t="shared" si="1"/>
        <v>6</v>
      </c>
      <c r="B8" s="15">
        <v>44459.0</v>
      </c>
      <c r="C8" s="164" t="s">
        <v>233</v>
      </c>
      <c r="D8" s="165" t="s">
        <v>255</v>
      </c>
      <c r="E8" s="166" t="s">
        <v>253</v>
      </c>
      <c r="F8" s="92">
        <v>448.99</v>
      </c>
      <c r="G8" s="92">
        <v>0.0</v>
      </c>
      <c r="H8" s="23">
        <f t="shared" si="2"/>
        <v>-0.0020716896</v>
      </c>
      <c r="I8" s="167">
        <v>5.07221048</v>
      </c>
      <c r="J8" s="18">
        <v>88.52</v>
      </c>
      <c r="K8" s="168">
        <f t="shared" si="3"/>
        <v>448.9920717</v>
      </c>
      <c r="L8" s="11"/>
      <c r="M8" s="11"/>
      <c r="N8" s="5"/>
    </row>
    <row r="9" ht="15.0" customHeight="1">
      <c r="A9" s="96">
        <f t="shared" si="1"/>
        <v>7</v>
      </c>
      <c r="B9" s="15">
        <v>44491.0</v>
      </c>
      <c r="C9" s="164" t="s">
        <v>233</v>
      </c>
      <c r="D9" s="165" t="s">
        <v>259</v>
      </c>
      <c r="E9" s="166" t="s">
        <v>253</v>
      </c>
      <c r="F9" s="92">
        <v>10415.84</v>
      </c>
      <c r="G9" s="92">
        <v>0.0</v>
      </c>
      <c r="H9" s="23">
        <f t="shared" si="2"/>
        <v>-0.003479999999</v>
      </c>
      <c r="I9" s="167">
        <v>0.031924</v>
      </c>
      <c r="J9" s="18">
        <v>326270.0</v>
      </c>
      <c r="K9" s="168">
        <f t="shared" si="3"/>
        <v>10415.84348</v>
      </c>
      <c r="L9" s="11"/>
      <c r="M9" s="11"/>
      <c r="N9" s="5"/>
    </row>
    <row r="10" ht="15.0" customHeight="1">
      <c r="A10" s="96">
        <f t="shared" si="1"/>
        <v>8</v>
      </c>
      <c r="B10" s="15">
        <v>44535.0</v>
      </c>
      <c r="C10" s="164" t="s">
        <v>233</v>
      </c>
      <c r="D10" s="165"/>
      <c r="E10" s="166" t="s">
        <v>253</v>
      </c>
      <c r="F10" s="92">
        <v>6988.0</v>
      </c>
      <c r="G10" s="92">
        <v>0.0</v>
      </c>
      <c r="H10" s="23">
        <f t="shared" si="2"/>
        <v>0</v>
      </c>
      <c r="I10" s="167">
        <v>0.0</v>
      </c>
      <c r="J10" s="18">
        <v>0.0</v>
      </c>
      <c r="K10" s="168">
        <f t="shared" si="3"/>
        <v>0</v>
      </c>
      <c r="L10" s="11"/>
      <c r="M10" s="11"/>
      <c r="N10" s="5"/>
    </row>
    <row r="11" ht="15.0" customHeight="1">
      <c r="A11" s="96">
        <f t="shared" si="1"/>
        <v>9</v>
      </c>
      <c r="B11" s="15">
        <v>44559.0</v>
      </c>
      <c r="C11" s="164" t="s">
        <v>233</v>
      </c>
      <c r="D11" s="165"/>
      <c r="E11" s="166" t="s">
        <v>253</v>
      </c>
      <c r="F11" s="92">
        <v>63328.0</v>
      </c>
      <c r="G11" s="92">
        <v>0.0</v>
      </c>
      <c r="H11" s="23">
        <f t="shared" si="2"/>
        <v>0</v>
      </c>
      <c r="I11" s="167">
        <v>0.0</v>
      </c>
      <c r="J11" s="18">
        <v>0.0</v>
      </c>
      <c r="K11" s="168">
        <f t="shared" si="3"/>
        <v>0</v>
      </c>
      <c r="L11" s="11"/>
      <c r="M11" s="11"/>
      <c r="N11" s="5"/>
    </row>
    <row r="12" ht="15.0" customHeight="1">
      <c r="A12" s="96">
        <f t="shared" si="1"/>
        <v>10</v>
      </c>
      <c r="B12" s="15">
        <v>44564.0</v>
      </c>
      <c r="C12" s="164" t="s">
        <v>233</v>
      </c>
      <c r="D12" s="165" t="s">
        <v>255</v>
      </c>
      <c r="E12" s="166" t="s">
        <v>253</v>
      </c>
      <c r="F12" s="92">
        <v>660.94</v>
      </c>
      <c r="G12" s="92">
        <v>0.0</v>
      </c>
      <c r="H12" s="23">
        <f t="shared" si="2"/>
        <v>0.00428313</v>
      </c>
      <c r="I12" s="167">
        <v>3.587947</v>
      </c>
      <c r="J12" s="18">
        <v>184.21</v>
      </c>
      <c r="K12" s="168">
        <f t="shared" si="3"/>
        <v>660.9357169</v>
      </c>
      <c r="L12" s="11"/>
      <c r="M12" s="11"/>
      <c r="N12" s="5"/>
    </row>
    <row r="13" ht="15.0" customHeight="1">
      <c r="A13" s="96">
        <f t="shared" si="1"/>
        <v>11</v>
      </c>
      <c r="B13" s="15">
        <v>44777.0</v>
      </c>
      <c r="C13" s="164" t="s">
        <v>233</v>
      </c>
      <c r="D13" s="165" t="s">
        <v>257</v>
      </c>
      <c r="E13" s="166" t="s">
        <v>253</v>
      </c>
      <c r="F13" s="92">
        <v>1623.14</v>
      </c>
      <c r="G13" s="92">
        <v>0.0</v>
      </c>
      <c r="H13" s="23">
        <f t="shared" si="2"/>
        <v>0.001996</v>
      </c>
      <c r="I13" s="167">
        <v>40.0577</v>
      </c>
      <c r="J13" s="18">
        <v>40.52</v>
      </c>
      <c r="K13" s="168">
        <f t="shared" si="3"/>
        <v>1623.138004</v>
      </c>
      <c r="L13" s="11"/>
      <c r="M13" s="11"/>
      <c r="N13" s="5"/>
    </row>
    <row r="14" ht="15.0" customHeight="1">
      <c r="A14" s="96">
        <f t="shared" si="1"/>
        <v>12</v>
      </c>
      <c r="B14" s="15">
        <v>44913.0</v>
      </c>
      <c r="C14" s="164" t="s">
        <v>233</v>
      </c>
      <c r="D14" s="165" t="s">
        <v>259</v>
      </c>
      <c r="E14" s="166" t="s">
        <v>253</v>
      </c>
      <c r="F14" s="92">
        <v>1364.77</v>
      </c>
      <c r="G14" s="92">
        <v>0.0</v>
      </c>
      <c r="H14" s="23">
        <f t="shared" si="2"/>
        <v>0.0034612</v>
      </c>
      <c r="I14" s="167">
        <v>0.014002</v>
      </c>
      <c r="J14" s="18">
        <v>97469.4</v>
      </c>
      <c r="K14" s="168">
        <f t="shared" si="3"/>
        <v>1364.766539</v>
      </c>
      <c r="L14" s="11"/>
      <c r="M14" s="11"/>
      <c r="N14" s="5"/>
    </row>
    <row r="15" ht="15.0" customHeight="1">
      <c r="A15" s="96">
        <f t="shared" si="1"/>
        <v>13</v>
      </c>
      <c r="B15" s="15">
        <v>44913.0</v>
      </c>
      <c r="C15" s="164" t="s">
        <v>233</v>
      </c>
      <c r="D15" s="165" t="s">
        <v>254</v>
      </c>
      <c r="E15" s="166" t="s">
        <v>253</v>
      </c>
      <c r="F15" s="92">
        <v>1998.97</v>
      </c>
      <c r="G15" s="92">
        <v>0.0</v>
      </c>
      <c r="H15" s="23">
        <f t="shared" si="2"/>
        <v>-0.002688</v>
      </c>
      <c r="I15" s="167">
        <v>0.001448</v>
      </c>
      <c r="J15" s="18">
        <v>1380506.0</v>
      </c>
      <c r="K15" s="168">
        <f t="shared" si="3"/>
        <v>1998.972688</v>
      </c>
      <c r="L15" s="11"/>
      <c r="M15" s="11"/>
      <c r="N15" s="5"/>
    </row>
    <row r="16" ht="15.0" customHeight="1">
      <c r="A16" s="96">
        <f t="shared" si="1"/>
        <v>14</v>
      </c>
      <c r="B16" s="15">
        <v>44913.0</v>
      </c>
      <c r="C16" s="164" t="s">
        <v>233</v>
      </c>
      <c r="D16" s="165" t="s">
        <v>257</v>
      </c>
      <c r="E16" s="166" t="s">
        <v>253</v>
      </c>
      <c r="F16" s="92">
        <v>0.0</v>
      </c>
      <c r="G16" s="92">
        <v>0.0</v>
      </c>
      <c r="H16" s="23">
        <f t="shared" si="2"/>
        <v>0</v>
      </c>
      <c r="I16" s="167">
        <v>32.6527</v>
      </c>
      <c r="J16" s="18">
        <v>0.0</v>
      </c>
      <c r="K16" s="168">
        <f t="shared" si="3"/>
        <v>0</v>
      </c>
      <c r="L16" s="11"/>
      <c r="M16" s="11"/>
      <c r="N16" s="5"/>
    </row>
    <row r="17" ht="15.0" customHeight="1">
      <c r="A17" s="96">
        <f t="shared" si="1"/>
        <v>15</v>
      </c>
      <c r="B17" s="15">
        <v>44913.0</v>
      </c>
      <c r="C17" s="164" t="s">
        <v>233</v>
      </c>
      <c r="D17" s="165" t="s">
        <v>254</v>
      </c>
      <c r="E17" s="166" t="s">
        <v>253</v>
      </c>
      <c r="F17" s="92">
        <v>0.0</v>
      </c>
      <c r="G17" s="92">
        <v>0.0</v>
      </c>
      <c r="H17" s="23">
        <f t="shared" si="2"/>
        <v>0</v>
      </c>
      <c r="I17" s="167">
        <v>3.32E-4</v>
      </c>
      <c r="J17" s="18">
        <v>0.0</v>
      </c>
      <c r="K17" s="168">
        <f t="shared" si="3"/>
        <v>0</v>
      </c>
      <c r="L17" s="11"/>
      <c r="M17" s="11"/>
      <c r="N17" s="5"/>
    </row>
    <row r="18" ht="15.0" customHeight="1">
      <c r="A18" s="96">
        <f t="shared" si="1"/>
        <v>16</v>
      </c>
      <c r="B18" s="15">
        <v>44934.0</v>
      </c>
      <c r="C18" s="164" t="s">
        <v>233</v>
      </c>
      <c r="D18" s="165" t="s">
        <v>259</v>
      </c>
      <c r="E18" s="166" t="s">
        <v>253</v>
      </c>
      <c r="F18" s="92">
        <v>744.57</v>
      </c>
      <c r="G18" s="92">
        <v>0.0</v>
      </c>
      <c r="H18" s="23">
        <f t="shared" si="2"/>
        <v>-0.0005745</v>
      </c>
      <c r="I18" s="167">
        <v>0.0071583</v>
      </c>
      <c r="J18" s="18">
        <v>104015.0</v>
      </c>
      <c r="K18" s="168">
        <f t="shared" si="3"/>
        <v>744.5705745</v>
      </c>
      <c r="L18" s="11"/>
      <c r="M18" s="11"/>
      <c r="N18" s="5"/>
    </row>
    <row r="19" ht="15.0" customHeight="1">
      <c r="A19" s="96">
        <f t="shared" si="1"/>
        <v>17</v>
      </c>
      <c r="B19" s="15">
        <v>44934.0</v>
      </c>
      <c r="C19" s="164" t="s">
        <v>233</v>
      </c>
      <c r="D19" s="165" t="s">
        <v>254</v>
      </c>
      <c r="E19" s="166" t="s">
        <v>253</v>
      </c>
      <c r="F19" s="92">
        <v>1003.08</v>
      </c>
      <c r="G19" s="92">
        <v>0.0</v>
      </c>
      <c r="H19" s="23">
        <f t="shared" si="2"/>
        <v>0.001662</v>
      </c>
      <c r="I19" s="167">
        <v>7.19E-4</v>
      </c>
      <c r="J19" s="18">
        <v>1395102.0</v>
      </c>
      <c r="K19" s="168">
        <f t="shared" si="3"/>
        <v>1003.078338</v>
      </c>
      <c r="L19" s="11"/>
      <c r="M19" s="11"/>
      <c r="N19" s="5"/>
    </row>
    <row r="20" ht="15.0" customHeight="1">
      <c r="A20" s="96">
        <f t="shared" si="1"/>
        <v>18</v>
      </c>
      <c r="B20" s="15">
        <v>44943.0</v>
      </c>
      <c r="C20" s="164" t="s">
        <v>233</v>
      </c>
      <c r="D20" s="165" t="s">
        <v>255</v>
      </c>
      <c r="E20" s="166" t="s">
        <v>253</v>
      </c>
      <c r="F20" s="92">
        <v>0.0</v>
      </c>
      <c r="G20" s="92">
        <v>0.0</v>
      </c>
      <c r="H20" s="23">
        <f t="shared" si="2"/>
        <v>0</v>
      </c>
      <c r="I20" s="167">
        <v>27.5</v>
      </c>
      <c r="J20" s="18">
        <v>0.0</v>
      </c>
      <c r="K20" s="168">
        <f t="shared" si="3"/>
        <v>0</v>
      </c>
      <c r="L20" s="11"/>
      <c r="M20" s="11"/>
      <c r="N20" s="5"/>
    </row>
    <row r="21" ht="15.0" customHeight="1">
      <c r="A21" s="96">
        <f t="shared" si="1"/>
        <v>19</v>
      </c>
      <c r="B21" s="15">
        <v>44967.0</v>
      </c>
      <c r="C21" s="164" t="s">
        <v>233</v>
      </c>
      <c r="D21" s="165" t="s">
        <v>259</v>
      </c>
      <c r="E21" s="166" t="s">
        <v>253</v>
      </c>
      <c r="F21" s="92">
        <v>717.85</v>
      </c>
      <c r="G21" s="92">
        <v>0.0</v>
      </c>
      <c r="H21" s="23">
        <f t="shared" si="2"/>
        <v>0.0049304</v>
      </c>
      <c r="I21" s="167">
        <v>0.0056104</v>
      </c>
      <c r="J21" s="18">
        <v>127949.0</v>
      </c>
      <c r="K21" s="168">
        <f t="shared" si="3"/>
        <v>717.8450696</v>
      </c>
      <c r="L21" s="11"/>
      <c r="M21" s="11"/>
      <c r="N21" s="5"/>
    </row>
    <row r="22" ht="15.0" customHeight="1">
      <c r="A22" s="96">
        <f t="shared" si="1"/>
        <v>20</v>
      </c>
      <c r="B22" s="15">
        <v>44967.0</v>
      </c>
      <c r="C22" s="164" t="s">
        <v>233</v>
      </c>
      <c r="D22" s="165" t="s">
        <v>254</v>
      </c>
      <c r="E22" s="166" t="s">
        <v>253</v>
      </c>
      <c r="F22" s="92">
        <v>981.59</v>
      </c>
      <c r="G22" s="92">
        <v>0.0</v>
      </c>
      <c r="H22" s="23">
        <f t="shared" si="2"/>
        <v>0.0035604</v>
      </c>
      <c r="I22" s="167">
        <v>5.447E-4</v>
      </c>
      <c r="J22" s="18">
        <v>1802068.0</v>
      </c>
      <c r="K22" s="168">
        <f t="shared" si="3"/>
        <v>981.5864396</v>
      </c>
      <c r="L22" s="11"/>
      <c r="M22" s="11"/>
      <c r="N22" s="5"/>
    </row>
    <row r="23" ht="15.0" customHeight="1">
      <c r="A23" s="96">
        <f t="shared" si="1"/>
        <v>21</v>
      </c>
      <c r="B23" s="15">
        <v>44975.0</v>
      </c>
      <c r="C23" s="164" t="s">
        <v>233</v>
      </c>
      <c r="D23" s="165" t="s">
        <v>254</v>
      </c>
      <c r="E23" s="166" t="s">
        <v>253</v>
      </c>
      <c r="F23" s="92">
        <v>0.0</v>
      </c>
      <c r="G23" s="92">
        <v>0.0</v>
      </c>
      <c r="H23" s="23">
        <f t="shared" si="2"/>
        <v>0</v>
      </c>
      <c r="I23" s="167">
        <v>0.0026281</v>
      </c>
      <c r="J23" s="18">
        <v>0.0</v>
      </c>
      <c r="K23" s="168">
        <f t="shared" si="3"/>
        <v>0</v>
      </c>
      <c r="L23" s="11"/>
      <c r="M23" s="11"/>
      <c r="N23" s="5"/>
    </row>
    <row r="24" ht="15.0" customHeight="1">
      <c r="A24" s="96">
        <f t="shared" si="1"/>
        <v>22</v>
      </c>
      <c r="B24" s="15">
        <v>44988.0</v>
      </c>
      <c r="C24" s="164" t="s">
        <v>233</v>
      </c>
      <c r="D24" s="165"/>
      <c r="E24" s="166" t="s">
        <v>253</v>
      </c>
      <c r="F24" s="92">
        <v>10000.0</v>
      </c>
      <c r="G24" s="92">
        <v>0.0</v>
      </c>
      <c r="H24" s="23">
        <f t="shared" si="2"/>
        <v>0</v>
      </c>
      <c r="I24" s="167">
        <v>0.0</v>
      </c>
      <c r="J24" s="18">
        <v>0.0</v>
      </c>
      <c r="K24" s="168">
        <f t="shared" si="3"/>
        <v>0</v>
      </c>
      <c r="L24" s="11"/>
      <c r="M24" s="11"/>
      <c r="N24" s="5"/>
    </row>
    <row r="25" ht="15.0" customHeight="1">
      <c r="A25" s="96">
        <f t="shared" si="1"/>
        <v>23</v>
      </c>
      <c r="B25" s="15">
        <v>44988.0</v>
      </c>
      <c r="C25" s="164" t="s">
        <v>233</v>
      </c>
      <c r="D25" s="165"/>
      <c r="E25" s="166" t="s">
        <v>253</v>
      </c>
      <c r="F25" s="92">
        <v>2575.0</v>
      </c>
      <c r="G25" s="92">
        <v>0.0</v>
      </c>
      <c r="H25" s="23">
        <f t="shared" si="2"/>
        <v>0</v>
      </c>
      <c r="I25" s="167">
        <v>0.0</v>
      </c>
      <c r="J25" s="18">
        <v>0.0</v>
      </c>
      <c r="K25" s="168">
        <f t="shared" si="3"/>
        <v>0</v>
      </c>
      <c r="L25" s="11"/>
      <c r="M25" s="11"/>
      <c r="N25" s="5"/>
    </row>
    <row r="26" ht="15.0" customHeight="1">
      <c r="A26" s="96">
        <f t="shared" si="1"/>
        <v>24</v>
      </c>
      <c r="B26" s="15">
        <v>44998.0</v>
      </c>
      <c r="C26" s="164" t="s">
        <v>233</v>
      </c>
      <c r="D26" s="165" t="s">
        <v>254</v>
      </c>
      <c r="E26" s="166" t="s">
        <v>253</v>
      </c>
      <c r="F26" s="92">
        <v>1070.22</v>
      </c>
      <c r="G26" s="92">
        <v>0.0</v>
      </c>
      <c r="H26" s="23">
        <f t="shared" si="2"/>
        <v>-0.001683</v>
      </c>
      <c r="I26" s="167">
        <v>5.415E-4</v>
      </c>
      <c r="J26" s="18">
        <v>1976402.0</v>
      </c>
      <c r="K26" s="168">
        <f t="shared" si="3"/>
        <v>1070.221683</v>
      </c>
      <c r="L26" s="11"/>
      <c r="M26" s="11"/>
      <c r="N26" s="5"/>
    </row>
    <row r="27" ht="15.0" customHeight="1">
      <c r="A27" s="96">
        <f t="shared" si="1"/>
        <v>25</v>
      </c>
      <c r="B27" s="15">
        <v>44998.0</v>
      </c>
      <c r="C27" s="164" t="s">
        <v>233</v>
      </c>
      <c r="D27" s="165" t="s">
        <v>259</v>
      </c>
      <c r="E27" s="166" t="s">
        <v>253</v>
      </c>
      <c r="F27" s="92">
        <v>696.34</v>
      </c>
      <c r="G27" s="92">
        <v>0.0</v>
      </c>
      <c r="H27" s="23">
        <f t="shared" si="2"/>
        <v>-0.000272</v>
      </c>
      <c r="I27" s="167">
        <v>0.005073</v>
      </c>
      <c r="J27" s="18">
        <v>137264.0</v>
      </c>
      <c r="K27" s="168">
        <f t="shared" si="3"/>
        <v>696.340272</v>
      </c>
      <c r="L27" s="11"/>
      <c r="M27" s="11"/>
      <c r="N27" s="5"/>
    </row>
    <row r="28" ht="15.0" customHeight="1">
      <c r="A28" s="96">
        <f t="shared" si="1"/>
        <v>26</v>
      </c>
      <c r="B28" s="15">
        <v>45041.0</v>
      </c>
      <c r="C28" s="164" t="s">
        <v>233</v>
      </c>
      <c r="D28" s="165" t="s">
        <v>255</v>
      </c>
      <c r="E28" s="166" t="s">
        <v>253</v>
      </c>
      <c r="F28" s="92">
        <v>0.0</v>
      </c>
      <c r="G28" s="92">
        <v>0.0</v>
      </c>
      <c r="H28" s="23">
        <f t="shared" si="2"/>
        <v>0</v>
      </c>
      <c r="I28" s="167">
        <v>7.5</v>
      </c>
      <c r="J28" s="18">
        <v>0.0</v>
      </c>
      <c r="K28" s="168">
        <f t="shared" si="3"/>
        <v>0</v>
      </c>
      <c r="L28" s="11"/>
      <c r="M28" s="11"/>
      <c r="N28" s="5"/>
    </row>
    <row r="29" ht="15.0" customHeight="1">
      <c r="A29" s="96">
        <f t="shared" si="1"/>
        <v>27</v>
      </c>
      <c r="B29" s="15">
        <v>45079.0</v>
      </c>
      <c r="C29" s="164" t="s">
        <v>233</v>
      </c>
      <c r="D29" s="165" t="s">
        <v>259</v>
      </c>
      <c r="E29" s="166" t="s">
        <v>253</v>
      </c>
      <c r="F29" s="92">
        <v>0.0</v>
      </c>
      <c r="G29" s="92">
        <v>0.0</v>
      </c>
      <c r="H29" s="23">
        <f t="shared" si="2"/>
        <v>0</v>
      </c>
      <c r="I29" s="167">
        <v>0.001253</v>
      </c>
      <c r="J29" s="18">
        <v>0.0</v>
      </c>
      <c r="K29" s="168">
        <f t="shared" si="3"/>
        <v>0</v>
      </c>
      <c r="L29" s="11"/>
      <c r="M29" s="11"/>
      <c r="N29" s="5"/>
    </row>
    <row r="30" ht="15.0" customHeight="1">
      <c r="A30" s="96">
        <f t="shared" si="1"/>
        <v>28</v>
      </c>
      <c r="B30" s="15">
        <v>45079.0</v>
      </c>
      <c r="C30" s="164" t="s">
        <v>233</v>
      </c>
      <c r="D30" s="165" t="s">
        <v>255</v>
      </c>
      <c r="E30" s="166" t="s">
        <v>306</v>
      </c>
      <c r="F30" s="92">
        <v>-5032.0</v>
      </c>
      <c r="G30" s="92">
        <v>5032.0</v>
      </c>
      <c r="H30" s="23">
        <f t="shared" si="2"/>
        <v>0</v>
      </c>
      <c r="I30" s="167">
        <v>-68.0</v>
      </c>
      <c r="J30" s="18">
        <v>74.0</v>
      </c>
      <c r="K30" s="168">
        <f t="shared" si="3"/>
        <v>-5032</v>
      </c>
      <c r="L30" s="11"/>
      <c r="M30" s="11"/>
      <c r="N30" s="5"/>
    </row>
    <row r="31" ht="15.0" customHeight="1">
      <c r="A31" s="96">
        <f t="shared" si="1"/>
        <v>29</v>
      </c>
      <c r="B31" s="15">
        <v>45119.0</v>
      </c>
      <c r="C31" s="164" t="s">
        <v>233</v>
      </c>
      <c r="D31" s="165" t="s">
        <v>255</v>
      </c>
      <c r="E31" s="166" t="s">
        <v>253</v>
      </c>
      <c r="F31" s="92">
        <v>0.0</v>
      </c>
      <c r="G31" s="92">
        <v>0.0</v>
      </c>
      <c r="H31" s="23">
        <f t="shared" si="2"/>
        <v>0</v>
      </c>
      <c r="I31" s="167">
        <v>3.03222</v>
      </c>
      <c r="J31" s="18">
        <v>0.0</v>
      </c>
      <c r="K31" s="168">
        <f t="shared" si="3"/>
        <v>0</v>
      </c>
      <c r="L31" s="11"/>
      <c r="M31" s="11"/>
      <c r="N31" s="5"/>
    </row>
    <row r="32" ht="15.0" customHeight="1">
      <c r="A32" s="96">
        <f t="shared" si="1"/>
        <v>30</v>
      </c>
      <c r="B32" s="15">
        <v>45120.0</v>
      </c>
      <c r="C32" s="164" t="s">
        <v>233</v>
      </c>
      <c r="D32" s="165" t="s">
        <v>259</v>
      </c>
      <c r="E32" s="166" t="s">
        <v>253</v>
      </c>
      <c r="F32" s="92">
        <v>744.21</v>
      </c>
      <c r="G32" s="92">
        <v>0.0</v>
      </c>
      <c r="H32" s="23">
        <f t="shared" si="2"/>
        <v>0.00307</v>
      </c>
      <c r="I32" s="167">
        <v>0.004841</v>
      </c>
      <c r="J32" s="18">
        <v>153730.0</v>
      </c>
      <c r="K32" s="168">
        <f t="shared" si="3"/>
        <v>744.20693</v>
      </c>
      <c r="L32" s="11"/>
      <c r="M32" s="11"/>
      <c r="N32" s="5"/>
    </row>
    <row r="33" ht="15.0" customHeight="1">
      <c r="A33" s="96">
        <f t="shared" si="1"/>
        <v>31</v>
      </c>
      <c r="B33" s="15">
        <v>45120.0</v>
      </c>
      <c r="C33" s="164" t="s">
        <v>233</v>
      </c>
      <c r="D33" s="165" t="s">
        <v>255</v>
      </c>
      <c r="E33" s="166" t="s">
        <v>253</v>
      </c>
      <c r="F33" s="92">
        <v>0.0</v>
      </c>
      <c r="G33" s="92">
        <v>0.0</v>
      </c>
      <c r="H33" s="23">
        <f t="shared" si="2"/>
        <v>0</v>
      </c>
      <c r="I33" s="167">
        <v>69.0798</v>
      </c>
      <c r="J33" s="18">
        <v>0.0</v>
      </c>
      <c r="K33" s="168">
        <f t="shared" si="3"/>
        <v>0</v>
      </c>
      <c r="L33" s="11"/>
      <c r="M33" s="11"/>
      <c r="N33" s="5"/>
    </row>
    <row r="34" ht="15.0" customHeight="1">
      <c r="A34" s="96">
        <f t="shared" si="1"/>
        <v>32</v>
      </c>
      <c r="B34" s="15">
        <v>45140.0</v>
      </c>
      <c r="C34" s="164" t="s">
        <v>233</v>
      </c>
      <c r="D34" s="165" t="s">
        <v>255</v>
      </c>
      <c r="E34" s="166" t="s">
        <v>253</v>
      </c>
      <c r="F34" s="92">
        <v>0.0</v>
      </c>
      <c r="G34" s="92">
        <v>0.0</v>
      </c>
      <c r="H34" s="23">
        <f t="shared" si="2"/>
        <v>0</v>
      </c>
      <c r="I34" s="167">
        <v>18.39</v>
      </c>
      <c r="J34" s="18">
        <v>0.0</v>
      </c>
      <c r="K34" s="168">
        <f t="shared" si="3"/>
        <v>0</v>
      </c>
      <c r="L34" s="11"/>
      <c r="M34" s="11"/>
      <c r="N34" s="5"/>
    </row>
    <row r="35" ht="15.0" customHeight="1">
      <c r="A35" s="96">
        <f t="shared" si="1"/>
        <v>33</v>
      </c>
      <c r="B35" s="15">
        <v>45200.0</v>
      </c>
      <c r="C35" s="164" t="s">
        <v>233</v>
      </c>
      <c r="D35" s="165" t="s">
        <v>254</v>
      </c>
      <c r="E35" s="166" t="s">
        <v>253</v>
      </c>
      <c r="F35" s="92">
        <v>0.0</v>
      </c>
      <c r="G35" s="92">
        <v>0.0</v>
      </c>
      <c r="H35" s="23">
        <f t="shared" si="2"/>
        <v>0</v>
      </c>
      <c r="I35" s="167">
        <v>3.2896E-4</v>
      </c>
      <c r="J35" s="18">
        <v>0.0</v>
      </c>
      <c r="K35" s="168">
        <f t="shared" si="3"/>
        <v>0</v>
      </c>
      <c r="L35" s="11"/>
      <c r="M35" s="11"/>
      <c r="N35" s="5"/>
    </row>
    <row r="36" ht="15.0" customHeight="1">
      <c r="A36" s="96">
        <f t="shared" si="1"/>
        <v>34</v>
      </c>
      <c r="B36" s="15">
        <v>45200.0</v>
      </c>
      <c r="C36" s="164" t="s">
        <v>233</v>
      </c>
      <c r="D36" s="165" t="s">
        <v>259</v>
      </c>
      <c r="E36" s="166" t="s">
        <v>253</v>
      </c>
      <c r="F36" s="92">
        <v>0.0</v>
      </c>
      <c r="G36" s="92">
        <v>0.0</v>
      </c>
      <c r="H36" s="23">
        <f t="shared" si="2"/>
        <v>0</v>
      </c>
      <c r="I36" s="167">
        <v>0.0014956</v>
      </c>
      <c r="J36" s="18">
        <v>0.0</v>
      </c>
      <c r="K36" s="168">
        <f t="shared" si="3"/>
        <v>0</v>
      </c>
      <c r="L36" s="11"/>
      <c r="M36" s="11"/>
      <c r="N36" s="5"/>
    </row>
    <row r="37" ht="15.0" customHeight="1">
      <c r="A37" s="96">
        <f t="shared" si="1"/>
        <v>35</v>
      </c>
      <c r="B37" s="15">
        <v>45200.0</v>
      </c>
      <c r="C37" s="164" t="s">
        <v>233</v>
      </c>
      <c r="D37" s="165" t="s">
        <v>255</v>
      </c>
      <c r="E37" s="166" t="s">
        <v>253</v>
      </c>
      <c r="F37" s="92">
        <v>0.0</v>
      </c>
      <c r="G37" s="92">
        <v>0.0</v>
      </c>
      <c r="H37" s="23">
        <f t="shared" si="2"/>
        <v>0</v>
      </c>
      <c r="I37" s="167">
        <v>24.81</v>
      </c>
      <c r="J37" s="18">
        <v>0.0</v>
      </c>
      <c r="K37" s="168">
        <f t="shared" si="3"/>
        <v>0</v>
      </c>
      <c r="L37" s="11"/>
      <c r="M37" s="11"/>
      <c r="N37" s="5"/>
    </row>
    <row r="38" ht="15.0" customHeight="1">
      <c r="A38" s="96">
        <f t="shared" si="1"/>
        <v>36</v>
      </c>
      <c r="B38" s="15">
        <v>45200.0</v>
      </c>
      <c r="C38" s="164" t="s">
        <v>233</v>
      </c>
      <c r="D38" s="165" t="s">
        <v>255</v>
      </c>
      <c r="E38" s="166" t="s">
        <v>253</v>
      </c>
      <c r="F38" s="92">
        <v>0.0</v>
      </c>
      <c r="G38" s="92">
        <v>0.0</v>
      </c>
      <c r="H38" s="23">
        <f t="shared" si="2"/>
        <v>0</v>
      </c>
      <c r="I38" s="167">
        <v>3.9948</v>
      </c>
      <c r="J38" s="18">
        <v>0.0</v>
      </c>
      <c r="K38" s="168">
        <f t="shared" si="3"/>
        <v>0</v>
      </c>
      <c r="L38" s="11"/>
      <c r="M38" s="11"/>
      <c r="N38" s="5"/>
    </row>
    <row r="39" ht="15.0" customHeight="1">
      <c r="A39" s="96">
        <f t="shared" si="1"/>
        <v>37</v>
      </c>
      <c r="B39" s="15">
        <v>45200.0</v>
      </c>
      <c r="C39" s="164" t="s">
        <v>233</v>
      </c>
      <c r="D39" s="165" t="s">
        <v>257</v>
      </c>
      <c r="E39" s="166" t="s">
        <v>253</v>
      </c>
      <c r="F39" s="92">
        <v>0.0</v>
      </c>
      <c r="G39" s="92">
        <v>0.0</v>
      </c>
      <c r="H39" s="23">
        <f t="shared" si="2"/>
        <v>0</v>
      </c>
      <c r="I39" s="167">
        <v>9.4424</v>
      </c>
      <c r="J39" s="18">
        <v>0.0</v>
      </c>
      <c r="K39" s="168">
        <f t="shared" si="3"/>
        <v>0</v>
      </c>
      <c r="L39" s="11"/>
      <c r="M39" s="11"/>
      <c r="N39" s="5"/>
    </row>
    <row r="40" ht="15.0" customHeight="1">
      <c r="A40" s="96">
        <f t="shared" si="1"/>
        <v>38</v>
      </c>
      <c r="B40" s="15">
        <v>45240.0</v>
      </c>
      <c r="C40" s="164" t="s">
        <v>233</v>
      </c>
      <c r="D40" s="165" t="s">
        <v>255</v>
      </c>
      <c r="E40" s="166" t="s">
        <v>253</v>
      </c>
      <c r="F40" s="92">
        <v>0.0</v>
      </c>
      <c r="G40" s="92">
        <v>0.0</v>
      </c>
      <c r="H40" s="23">
        <f t="shared" si="2"/>
        <v>0</v>
      </c>
      <c r="I40" s="167">
        <v>24.685</v>
      </c>
      <c r="J40" s="18">
        <v>0.0</v>
      </c>
      <c r="K40" s="168">
        <f t="shared" si="3"/>
        <v>0</v>
      </c>
      <c r="L40" s="11"/>
      <c r="M40" s="11"/>
      <c r="N40" s="5"/>
    </row>
    <row r="41" ht="15.0" customHeight="1">
      <c r="A41" s="96">
        <f t="shared" si="1"/>
        <v>39</v>
      </c>
      <c r="B41" s="15">
        <v>45244.0</v>
      </c>
      <c r="C41" s="164" t="s">
        <v>233</v>
      </c>
      <c r="D41" s="165" t="s">
        <v>255</v>
      </c>
      <c r="E41" s="166" t="s">
        <v>306</v>
      </c>
      <c r="F41" s="92">
        <v>0.0</v>
      </c>
      <c r="G41" s="92">
        <v>5330.0</v>
      </c>
      <c r="H41" s="23">
        <f t="shared" si="2"/>
        <v>0</v>
      </c>
      <c r="I41" s="167">
        <v>-65.0</v>
      </c>
      <c r="J41" s="18">
        <v>82.0</v>
      </c>
      <c r="K41" s="168">
        <f t="shared" si="3"/>
        <v>-5330</v>
      </c>
      <c r="L41" s="11"/>
      <c r="M41" s="11"/>
      <c r="N41" s="5"/>
    </row>
    <row r="42" ht="15.0" customHeight="1">
      <c r="A42" s="96">
        <f t="shared" si="1"/>
        <v>40</v>
      </c>
      <c r="B42" s="15">
        <v>45263.0</v>
      </c>
      <c r="C42" s="164" t="s">
        <v>233</v>
      </c>
      <c r="D42" s="165" t="s">
        <v>255</v>
      </c>
      <c r="E42" s="166" t="s">
        <v>253</v>
      </c>
      <c r="F42" s="92">
        <v>0.0</v>
      </c>
      <c r="G42" s="92">
        <v>0.0</v>
      </c>
      <c r="H42" s="23">
        <f t="shared" si="2"/>
        <v>0</v>
      </c>
      <c r="I42" s="167">
        <v>9.99424</v>
      </c>
      <c r="J42" s="18">
        <v>0.0</v>
      </c>
      <c r="K42" s="168">
        <f t="shared" si="3"/>
        <v>0</v>
      </c>
      <c r="L42" s="11"/>
      <c r="M42" s="11"/>
      <c r="N42" s="5"/>
    </row>
    <row r="43" ht="15.0" customHeight="1">
      <c r="A43" s="96">
        <f t="shared" si="1"/>
        <v>41</v>
      </c>
      <c r="B43" s="15">
        <v>45266.0</v>
      </c>
      <c r="C43" s="164" t="s">
        <v>233</v>
      </c>
      <c r="D43" s="165" t="s">
        <v>257</v>
      </c>
      <c r="E43" s="166" t="s">
        <v>253</v>
      </c>
      <c r="F43" s="92">
        <v>0.0</v>
      </c>
      <c r="G43" s="92">
        <v>0.0</v>
      </c>
      <c r="H43" s="23">
        <f t="shared" si="2"/>
        <v>0</v>
      </c>
      <c r="I43" s="167">
        <v>11.593</v>
      </c>
      <c r="J43" s="18">
        <v>0.0</v>
      </c>
      <c r="K43" s="168">
        <f t="shared" si="3"/>
        <v>0</v>
      </c>
      <c r="L43" s="11"/>
      <c r="M43" s="11"/>
      <c r="N43" s="5"/>
    </row>
    <row r="44" ht="15.0" customHeight="1">
      <c r="A44" s="96">
        <f t="shared" si="1"/>
        <v>42</v>
      </c>
      <c r="B44" s="15">
        <v>45268.0</v>
      </c>
      <c r="C44" s="164" t="s">
        <v>233</v>
      </c>
      <c r="D44" s="165" t="s">
        <v>259</v>
      </c>
      <c r="E44" s="166" t="s">
        <v>253</v>
      </c>
      <c r="F44" s="92">
        <v>965.73</v>
      </c>
      <c r="G44" s="92">
        <v>0.0</v>
      </c>
      <c r="H44" s="23">
        <f t="shared" si="2"/>
        <v>-0.0011286</v>
      </c>
      <c r="I44" s="167">
        <v>0.00455996</v>
      </c>
      <c r="J44" s="18">
        <v>211785.0</v>
      </c>
      <c r="K44" s="168">
        <f t="shared" si="3"/>
        <v>965.7311286</v>
      </c>
      <c r="L44" s="11"/>
      <c r="M44" s="11"/>
      <c r="N44" s="5"/>
    </row>
    <row r="45" ht="15.0" customHeight="1">
      <c r="A45" s="96">
        <f t="shared" si="1"/>
        <v>43</v>
      </c>
      <c r="B45" s="15">
        <v>45268.0</v>
      </c>
      <c r="C45" s="164" t="s">
        <v>233</v>
      </c>
      <c r="D45" s="165" t="s">
        <v>254</v>
      </c>
      <c r="E45" s="166" t="s">
        <v>253</v>
      </c>
      <c r="F45" s="92">
        <v>918.95</v>
      </c>
      <c r="G45" s="92">
        <v>0.0</v>
      </c>
      <c r="H45" s="23">
        <f t="shared" si="2"/>
        <v>-0.0006114399999</v>
      </c>
      <c r="I45" s="167">
        <v>2.5041E-4</v>
      </c>
      <c r="J45" s="18">
        <v>3669784.0</v>
      </c>
      <c r="K45" s="168">
        <f t="shared" si="3"/>
        <v>918.9506114</v>
      </c>
      <c r="L45" s="11"/>
      <c r="M45" s="11"/>
      <c r="N45" s="5"/>
    </row>
    <row r="46" ht="15.0" customHeight="1">
      <c r="A46" s="96">
        <f t="shared" si="1"/>
        <v>44</v>
      </c>
      <c r="B46" s="15">
        <v>45288.0</v>
      </c>
      <c r="C46" s="164" t="s">
        <v>233</v>
      </c>
      <c r="D46" s="165" t="s">
        <v>257</v>
      </c>
      <c r="E46" s="166" t="s">
        <v>253</v>
      </c>
      <c r="F46" s="92">
        <v>0.0</v>
      </c>
      <c r="G46" s="92">
        <v>0.0</v>
      </c>
      <c r="H46" s="23">
        <f t="shared" si="2"/>
        <v>0</v>
      </c>
      <c r="I46" s="167">
        <v>9.158</v>
      </c>
      <c r="J46" s="18">
        <v>0.0</v>
      </c>
      <c r="K46" s="168">
        <f t="shared" si="3"/>
        <v>0</v>
      </c>
      <c r="L46" s="11"/>
      <c r="M46" s="11"/>
      <c r="N46" s="5"/>
    </row>
    <row r="47" ht="15.0" customHeight="1">
      <c r="A47" s="96">
        <f t="shared" si="1"/>
        <v>45</v>
      </c>
      <c r="B47" s="15">
        <v>45304.0</v>
      </c>
      <c r="C47" s="164" t="s">
        <v>233</v>
      </c>
      <c r="D47" s="165" t="s">
        <v>254</v>
      </c>
      <c r="E47" s="166" t="s">
        <v>253</v>
      </c>
      <c r="F47" s="92">
        <v>999.46</v>
      </c>
      <c r="G47" s="92">
        <v>0.0</v>
      </c>
      <c r="H47" s="23">
        <f t="shared" si="2"/>
        <v>-0.00262368</v>
      </c>
      <c r="I47" s="167">
        <v>2.4208E-4</v>
      </c>
      <c r="J47" s="18">
        <v>4128646.0</v>
      </c>
      <c r="K47" s="168">
        <f t="shared" si="3"/>
        <v>999.4626237</v>
      </c>
      <c r="L47" s="11"/>
      <c r="M47" s="11"/>
      <c r="N47" s="5"/>
    </row>
    <row r="48" ht="15.0" customHeight="1">
      <c r="A48" s="96">
        <f t="shared" si="1"/>
        <v>46</v>
      </c>
      <c r="B48" s="15">
        <v>45304.0</v>
      </c>
      <c r="C48" s="164" t="s">
        <v>233</v>
      </c>
      <c r="D48" s="165" t="s">
        <v>255</v>
      </c>
      <c r="E48" s="166" t="s">
        <v>306</v>
      </c>
      <c r="F48" s="92">
        <v>0.0</v>
      </c>
      <c r="G48" s="92">
        <v>0.0</v>
      </c>
      <c r="H48" s="23">
        <f t="shared" si="2"/>
        <v>0</v>
      </c>
      <c r="I48" s="167">
        <v>-82.0</v>
      </c>
      <c r="J48" s="18">
        <v>0.0</v>
      </c>
      <c r="K48" s="168">
        <f t="shared" si="3"/>
        <v>0</v>
      </c>
      <c r="L48" s="11"/>
      <c r="M48" s="11"/>
      <c r="N48" s="5"/>
    </row>
    <row r="49" ht="15.0" customHeight="1">
      <c r="A49" s="96">
        <f t="shared" si="1"/>
        <v>47</v>
      </c>
      <c r="B49" s="15">
        <v>45307.0</v>
      </c>
      <c r="C49" s="164" t="s">
        <v>233</v>
      </c>
      <c r="D49" s="165" t="s">
        <v>255</v>
      </c>
      <c r="E49" s="166" t="s">
        <v>253</v>
      </c>
      <c r="F49" s="92">
        <v>965.12</v>
      </c>
      <c r="G49" s="92">
        <v>0.0</v>
      </c>
      <c r="H49" s="23">
        <f t="shared" si="2"/>
        <v>-0.004</v>
      </c>
      <c r="I49" s="167">
        <v>11.628</v>
      </c>
      <c r="J49" s="18">
        <v>83.0</v>
      </c>
      <c r="K49" s="168">
        <f t="shared" si="3"/>
        <v>965.124</v>
      </c>
      <c r="L49" s="11"/>
      <c r="M49" s="11"/>
      <c r="N49" s="5"/>
    </row>
    <row r="50" ht="15.0" customHeight="1">
      <c r="A50" s="96">
        <f t="shared" si="1"/>
        <v>48</v>
      </c>
      <c r="B50" s="15">
        <v>45307.0</v>
      </c>
      <c r="C50" s="164" t="s">
        <v>233</v>
      </c>
      <c r="D50" s="165" t="s">
        <v>257</v>
      </c>
      <c r="E50" s="166" t="s">
        <v>253</v>
      </c>
      <c r="F50" s="92">
        <v>0.0</v>
      </c>
      <c r="G50" s="92">
        <v>0.0</v>
      </c>
      <c r="H50" s="23">
        <f t="shared" si="2"/>
        <v>0</v>
      </c>
      <c r="I50" s="167">
        <v>5.1853</v>
      </c>
      <c r="J50" s="18">
        <v>0.0</v>
      </c>
      <c r="K50" s="168">
        <f t="shared" si="3"/>
        <v>0</v>
      </c>
      <c r="L50" s="11"/>
      <c r="M50" s="11"/>
      <c r="N50" s="5"/>
    </row>
    <row r="51" ht="15.0" customHeight="1">
      <c r="A51" s="96">
        <f t="shared" si="1"/>
        <v>49</v>
      </c>
      <c r="B51" s="15">
        <v>45307.0</v>
      </c>
      <c r="C51" s="164" t="s">
        <v>233</v>
      </c>
      <c r="D51" s="165" t="s">
        <v>255</v>
      </c>
      <c r="E51" s="166" t="s">
        <v>253</v>
      </c>
      <c r="F51" s="92">
        <v>0.0</v>
      </c>
      <c r="G51" s="92">
        <v>0.0</v>
      </c>
      <c r="H51" s="23">
        <f t="shared" si="2"/>
        <v>0</v>
      </c>
      <c r="I51" s="167">
        <v>7.69</v>
      </c>
      <c r="J51" s="18">
        <v>0.0</v>
      </c>
      <c r="K51" s="168">
        <f t="shared" si="3"/>
        <v>0</v>
      </c>
      <c r="L51" s="11"/>
      <c r="M51" s="11"/>
      <c r="N51" s="5"/>
    </row>
    <row r="52" ht="15.0" customHeight="1">
      <c r="A52" s="96">
        <f t="shared" si="1"/>
        <v>50</v>
      </c>
      <c r="B52" s="15">
        <v>45318.0</v>
      </c>
      <c r="C52" s="164" t="s">
        <v>233</v>
      </c>
      <c r="D52" s="165" t="s">
        <v>255</v>
      </c>
      <c r="E52" s="166" t="s">
        <v>253</v>
      </c>
      <c r="F52" s="92">
        <v>871.96</v>
      </c>
      <c r="G52" s="92">
        <v>0.0</v>
      </c>
      <c r="H52" s="23">
        <f t="shared" si="2"/>
        <v>0.001825</v>
      </c>
      <c r="I52" s="167">
        <v>13.7859</v>
      </c>
      <c r="J52" s="18">
        <v>63.25</v>
      </c>
      <c r="K52" s="168">
        <f t="shared" si="3"/>
        <v>871.958175</v>
      </c>
      <c r="L52" s="11"/>
      <c r="M52" s="11"/>
      <c r="N52" s="5"/>
    </row>
    <row r="53" ht="15.0" customHeight="1">
      <c r="A53" s="96">
        <f t="shared" si="1"/>
        <v>51</v>
      </c>
      <c r="B53" s="15">
        <v>45322.0</v>
      </c>
      <c r="C53" s="164" t="s">
        <v>234</v>
      </c>
      <c r="D53" s="165" t="s">
        <v>286</v>
      </c>
      <c r="E53" s="166" t="s">
        <v>253</v>
      </c>
      <c r="F53" s="92">
        <v>14737.0</v>
      </c>
      <c r="G53" s="92">
        <v>0.0</v>
      </c>
      <c r="H53" s="23">
        <f t="shared" si="2"/>
        <v>0.78168</v>
      </c>
      <c r="I53" s="167">
        <v>369.514</v>
      </c>
      <c r="J53" s="18">
        <v>39.88</v>
      </c>
      <c r="K53" s="168">
        <f t="shared" si="3"/>
        <v>14736.21832</v>
      </c>
      <c r="L53" s="11"/>
      <c r="M53" s="11"/>
      <c r="N53" s="5"/>
    </row>
    <row r="54" ht="15.0" customHeight="1">
      <c r="A54" s="96">
        <f t="shared" si="1"/>
        <v>52</v>
      </c>
      <c r="B54" s="15">
        <v>45326.0</v>
      </c>
      <c r="C54" s="164" t="s">
        <v>233</v>
      </c>
      <c r="D54" s="165" t="s">
        <v>274</v>
      </c>
      <c r="E54" s="166" t="s">
        <v>253</v>
      </c>
      <c r="F54" s="92">
        <v>1165.5</v>
      </c>
      <c r="G54" s="92">
        <v>0.0</v>
      </c>
      <c r="H54" s="23">
        <f t="shared" si="2"/>
        <v>-0.40164843</v>
      </c>
      <c r="I54" s="167">
        <v>0.14452729</v>
      </c>
      <c r="J54" s="18">
        <v>8067.0</v>
      </c>
      <c r="K54" s="168">
        <f t="shared" si="3"/>
        <v>1165.901648</v>
      </c>
      <c r="L54" s="11"/>
      <c r="M54" s="11"/>
      <c r="N54" s="5"/>
    </row>
    <row r="55" ht="15.0" customHeight="1">
      <c r="A55" s="96">
        <f t="shared" si="1"/>
        <v>53</v>
      </c>
      <c r="B55" s="15">
        <v>45326.0</v>
      </c>
      <c r="C55" s="164" t="s">
        <v>233</v>
      </c>
      <c r="D55" s="165" t="s">
        <v>259</v>
      </c>
      <c r="E55" s="166" t="s">
        <v>253</v>
      </c>
      <c r="F55" s="92">
        <v>866.89</v>
      </c>
      <c r="G55" s="92">
        <v>0.0</v>
      </c>
      <c r="H55" s="23">
        <f t="shared" si="2"/>
        <v>0.0002479809999</v>
      </c>
      <c r="I55" s="167">
        <v>0.0045453</v>
      </c>
      <c r="J55" s="18">
        <v>190722.23</v>
      </c>
      <c r="K55" s="168">
        <f t="shared" si="3"/>
        <v>866.889752</v>
      </c>
      <c r="L55" s="11"/>
      <c r="M55" s="11"/>
      <c r="N55" s="5"/>
    </row>
    <row r="56" ht="15.0" customHeight="1">
      <c r="A56" s="96">
        <f t="shared" si="1"/>
        <v>54</v>
      </c>
      <c r="B56" s="15">
        <v>45326.0</v>
      </c>
      <c r="C56" s="164" t="s">
        <v>233</v>
      </c>
      <c r="D56" s="165" t="s">
        <v>255</v>
      </c>
      <c r="E56" s="166" t="s">
        <v>253</v>
      </c>
      <c r="F56" s="92">
        <v>0.0</v>
      </c>
      <c r="G56" s="92">
        <v>0.0</v>
      </c>
      <c r="H56" s="23">
        <f t="shared" si="2"/>
        <v>0</v>
      </c>
      <c r="I56" s="167">
        <v>1.99488</v>
      </c>
      <c r="J56" s="18">
        <v>0.0</v>
      </c>
      <c r="K56" s="168">
        <f t="shared" si="3"/>
        <v>0</v>
      </c>
      <c r="L56" s="11"/>
      <c r="M56" s="11"/>
      <c r="N56" s="5"/>
    </row>
    <row r="57" ht="15.0" customHeight="1">
      <c r="A57" s="96">
        <f t="shared" si="1"/>
        <v>55</v>
      </c>
      <c r="B57" s="15">
        <v>45326.0</v>
      </c>
      <c r="C57" s="164" t="s">
        <v>233</v>
      </c>
      <c r="D57" s="165" t="s">
        <v>257</v>
      </c>
      <c r="E57" s="166" t="s">
        <v>253</v>
      </c>
      <c r="F57" s="92">
        <v>0.0</v>
      </c>
      <c r="G57" s="92">
        <v>0.0</v>
      </c>
      <c r="H57" s="23">
        <f t="shared" si="2"/>
        <v>0</v>
      </c>
      <c r="I57" s="167">
        <v>6.102466</v>
      </c>
      <c r="J57" s="18">
        <v>0.0</v>
      </c>
      <c r="K57" s="168">
        <f t="shared" si="3"/>
        <v>0</v>
      </c>
      <c r="L57" s="11"/>
      <c r="M57" s="11"/>
      <c r="N57" s="5"/>
    </row>
    <row r="58" ht="15.0" customHeight="1">
      <c r="A58" s="96">
        <f t="shared" si="1"/>
        <v>56</v>
      </c>
      <c r="B58" s="15">
        <v>45326.0</v>
      </c>
      <c r="C58" s="164" t="s">
        <v>234</v>
      </c>
      <c r="D58" s="165" t="s">
        <v>286</v>
      </c>
      <c r="E58" s="166" t="s">
        <v>253</v>
      </c>
      <c r="F58" s="92">
        <v>1000.0</v>
      </c>
      <c r="G58" s="92">
        <v>0.0</v>
      </c>
      <c r="H58" s="23">
        <f t="shared" si="2"/>
        <v>0.0579148</v>
      </c>
      <c r="I58" s="167">
        <v>25.042</v>
      </c>
      <c r="J58" s="18">
        <v>39.9306</v>
      </c>
      <c r="K58" s="168">
        <f t="shared" si="3"/>
        <v>999.9420852</v>
      </c>
      <c r="L58" s="11"/>
      <c r="M58" s="11"/>
      <c r="N58" s="5"/>
    </row>
    <row r="59" ht="15.0" customHeight="1">
      <c r="A59" s="96">
        <f t="shared" si="1"/>
        <v>57</v>
      </c>
      <c r="B59" s="15">
        <v>45333.0</v>
      </c>
      <c r="C59" s="164" t="s">
        <v>233</v>
      </c>
      <c r="D59" s="165" t="s">
        <v>255</v>
      </c>
      <c r="E59" s="166" t="s">
        <v>253</v>
      </c>
      <c r="F59" s="92">
        <v>0.0</v>
      </c>
      <c r="G59" s="92">
        <v>0.0</v>
      </c>
      <c r="H59" s="23">
        <f t="shared" si="2"/>
        <v>0</v>
      </c>
      <c r="I59" s="167">
        <v>2.5001</v>
      </c>
      <c r="J59" s="18">
        <v>0.0</v>
      </c>
      <c r="K59" s="168">
        <f t="shared" si="3"/>
        <v>0</v>
      </c>
      <c r="L59" s="11"/>
      <c r="M59" s="11"/>
      <c r="N59" s="5"/>
    </row>
    <row r="60" ht="15.0" customHeight="1">
      <c r="A60" s="96">
        <f t="shared" si="1"/>
        <v>58</v>
      </c>
      <c r="B60" s="15">
        <v>45346.0</v>
      </c>
      <c r="C60" s="164" t="s">
        <v>233</v>
      </c>
      <c r="D60" s="165" t="s">
        <v>254</v>
      </c>
      <c r="E60" s="166" t="s">
        <v>253</v>
      </c>
      <c r="F60" s="92">
        <v>0.0</v>
      </c>
      <c r="G60" s="92">
        <v>0.0</v>
      </c>
      <c r="H60" s="23">
        <f t="shared" si="2"/>
        <v>0</v>
      </c>
      <c r="I60" s="167">
        <v>4.968E-5</v>
      </c>
      <c r="J60" s="18">
        <v>0.0</v>
      </c>
      <c r="K60" s="168">
        <f t="shared" si="3"/>
        <v>0</v>
      </c>
      <c r="L60" s="11"/>
      <c r="M60" s="11"/>
      <c r="N60" s="5"/>
    </row>
    <row r="61" ht="15.0" customHeight="1">
      <c r="A61" s="96">
        <f t="shared" si="1"/>
        <v>59</v>
      </c>
      <c r="B61" s="15">
        <v>45346.0</v>
      </c>
      <c r="C61" s="164" t="s">
        <v>233</v>
      </c>
      <c r="D61" s="165" t="s">
        <v>255</v>
      </c>
      <c r="E61" s="166" t="s">
        <v>253</v>
      </c>
      <c r="F61" s="92">
        <v>0.0</v>
      </c>
      <c r="G61" s="92">
        <v>0.0</v>
      </c>
      <c r="H61" s="23">
        <f t="shared" si="2"/>
        <v>0</v>
      </c>
      <c r="I61" s="167">
        <v>2.2</v>
      </c>
      <c r="J61" s="18">
        <v>0.0</v>
      </c>
      <c r="K61" s="168">
        <f t="shared" si="3"/>
        <v>0</v>
      </c>
      <c r="L61" s="11"/>
      <c r="M61" s="11"/>
      <c r="N61" s="5"/>
    </row>
    <row r="62" ht="15.0" customHeight="1">
      <c r="A62" s="96">
        <f t="shared" si="1"/>
        <v>60</v>
      </c>
      <c r="B62" s="15">
        <v>45353.0</v>
      </c>
      <c r="C62" s="164" t="s">
        <v>233</v>
      </c>
      <c r="D62" s="165" t="s">
        <v>255</v>
      </c>
      <c r="E62" s="166" t="s">
        <v>253</v>
      </c>
      <c r="F62" s="92">
        <v>0.0</v>
      </c>
      <c r="G62" s="92">
        <v>0.0</v>
      </c>
      <c r="H62" s="23">
        <f t="shared" si="2"/>
        <v>0</v>
      </c>
      <c r="I62" s="167">
        <v>1.520171</v>
      </c>
      <c r="J62" s="18">
        <v>0.0</v>
      </c>
      <c r="K62" s="168">
        <f t="shared" si="3"/>
        <v>0</v>
      </c>
      <c r="L62" s="11"/>
      <c r="M62" s="11"/>
      <c r="N62" s="5"/>
    </row>
    <row r="63" ht="15.0" customHeight="1">
      <c r="A63" s="96">
        <f t="shared" si="1"/>
        <v>61</v>
      </c>
      <c r="B63" s="15">
        <v>45354.0</v>
      </c>
      <c r="C63" s="164" t="s">
        <v>233</v>
      </c>
      <c r="D63" s="165" t="s">
        <v>259</v>
      </c>
      <c r="E63" s="166" t="s">
        <v>253</v>
      </c>
      <c r="F63" s="92">
        <v>950.52</v>
      </c>
      <c r="G63" s="92">
        <v>0.0</v>
      </c>
      <c r="H63" s="23">
        <f t="shared" si="2"/>
        <v>0.000168455</v>
      </c>
      <c r="I63" s="167">
        <v>0.0032965</v>
      </c>
      <c r="J63" s="18">
        <v>288342.13</v>
      </c>
      <c r="K63" s="168">
        <f t="shared" si="3"/>
        <v>950.5198315</v>
      </c>
      <c r="L63" s="11"/>
      <c r="M63" s="11"/>
      <c r="N63" s="5"/>
    </row>
    <row r="64" ht="15.0" customHeight="1">
      <c r="A64" s="96">
        <f t="shared" si="1"/>
        <v>62</v>
      </c>
      <c r="B64" s="15">
        <v>45354.0</v>
      </c>
      <c r="C64" s="164" t="s">
        <v>233</v>
      </c>
      <c r="D64" s="165" t="s">
        <v>274</v>
      </c>
      <c r="E64" s="166" t="s">
        <v>253</v>
      </c>
      <c r="F64" s="92">
        <v>562.83</v>
      </c>
      <c r="G64" s="92">
        <v>0.0</v>
      </c>
      <c r="H64" s="23">
        <f t="shared" si="2"/>
        <v>0.002966</v>
      </c>
      <c r="I64" s="167">
        <v>0.05194</v>
      </c>
      <c r="J64" s="18">
        <v>10836.1</v>
      </c>
      <c r="K64" s="168">
        <f t="shared" si="3"/>
        <v>562.827034</v>
      </c>
      <c r="L64" s="11"/>
      <c r="M64" s="11"/>
      <c r="N64" s="5"/>
    </row>
    <row r="65" ht="15.0" customHeight="1">
      <c r="A65" s="96">
        <f t="shared" si="1"/>
        <v>63</v>
      </c>
      <c r="B65" s="15">
        <v>45354.0</v>
      </c>
      <c r="C65" s="164" t="s">
        <v>233</v>
      </c>
      <c r="D65" s="165" t="s">
        <v>254</v>
      </c>
      <c r="E65" s="166" t="s">
        <v>253</v>
      </c>
      <c r="F65" s="92">
        <v>986.61</v>
      </c>
      <c r="G65" s="92">
        <v>0.0</v>
      </c>
      <c r="H65" s="23">
        <f t="shared" si="2"/>
        <v>-0.0043564332</v>
      </c>
      <c r="I65" s="167">
        <v>1.8964E-4</v>
      </c>
      <c r="J65" s="18">
        <v>5202564.63</v>
      </c>
      <c r="K65" s="168">
        <f t="shared" si="3"/>
        <v>986.6143564</v>
      </c>
      <c r="L65" s="11"/>
      <c r="M65" s="11"/>
      <c r="N65" s="5"/>
    </row>
    <row r="66" ht="15.0" customHeight="1">
      <c r="A66" s="96">
        <f t="shared" si="1"/>
        <v>64</v>
      </c>
      <c r="B66" s="15">
        <v>45354.0</v>
      </c>
      <c r="C66" s="164" t="s">
        <v>233</v>
      </c>
      <c r="D66" s="165" t="s">
        <v>254</v>
      </c>
      <c r="E66" s="166" t="s">
        <v>253</v>
      </c>
      <c r="F66" s="92">
        <v>0.0</v>
      </c>
      <c r="G66" s="92">
        <v>0.0</v>
      </c>
      <c r="H66" s="23">
        <f t="shared" si="2"/>
        <v>0</v>
      </c>
      <c r="I66" s="167">
        <v>9.97E-6</v>
      </c>
      <c r="J66" s="18">
        <v>0.0</v>
      </c>
      <c r="K66" s="168">
        <f t="shared" si="3"/>
        <v>0</v>
      </c>
      <c r="L66" s="11"/>
      <c r="M66" s="11"/>
      <c r="N66" s="5"/>
    </row>
    <row r="67" ht="15.0" customHeight="1">
      <c r="A67" s="96">
        <f t="shared" si="1"/>
        <v>65</v>
      </c>
      <c r="B67" s="15">
        <v>45358.0</v>
      </c>
      <c r="C67" s="164" t="s">
        <v>234</v>
      </c>
      <c r="D67" s="165" t="s">
        <v>286</v>
      </c>
      <c r="E67" s="166" t="s">
        <v>253</v>
      </c>
      <c r="F67" s="92">
        <v>1000.0</v>
      </c>
      <c r="G67" s="92">
        <v>0.0</v>
      </c>
      <c r="H67" s="23">
        <f t="shared" si="2"/>
        <v>0.06470252</v>
      </c>
      <c r="I67" s="167">
        <v>24.874</v>
      </c>
      <c r="J67" s="18">
        <v>40.20002</v>
      </c>
      <c r="K67" s="168">
        <f t="shared" si="3"/>
        <v>999.9352975</v>
      </c>
      <c r="L67" s="11"/>
      <c r="M67" s="11"/>
      <c r="N67" s="5"/>
    </row>
    <row r="68" ht="15.0" customHeight="1">
      <c r="A68" s="96">
        <f t="shared" si="1"/>
        <v>66</v>
      </c>
      <c r="B68" s="15">
        <v>45365.0</v>
      </c>
      <c r="C68" s="164" t="s">
        <v>233</v>
      </c>
      <c r="D68" s="165" t="s">
        <v>255</v>
      </c>
      <c r="E68" s="166" t="s">
        <v>253</v>
      </c>
      <c r="F68" s="92">
        <v>0.0</v>
      </c>
      <c r="G68" s="92">
        <v>0.0</v>
      </c>
      <c r="H68" s="23">
        <f t="shared" si="2"/>
        <v>0</v>
      </c>
      <c r="I68" s="167">
        <v>0.583769</v>
      </c>
      <c r="J68" s="18">
        <v>0.0</v>
      </c>
      <c r="K68" s="168">
        <f t="shared" si="3"/>
        <v>0</v>
      </c>
      <c r="L68" s="11"/>
      <c r="M68" s="11"/>
      <c r="N68" s="5"/>
    </row>
    <row r="69" ht="15.0" customHeight="1">
      <c r="A69" s="96">
        <f t="shared" si="1"/>
        <v>67</v>
      </c>
      <c r="B69" s="15">
        <v>45384.0</v>
      </c>
      <c r="C69" s="164" t="s">
        <v>234</v>
      </c>
      <c r="D69" s="165" t="s">
        <v>286</v>
      </c>
      <c r="E69" s="166" t="s">
        <v>253</v>
      </c>
      <c r="F69" s="92">
        <v>1000.0</v>
      </c>
      <c r="G69" s="92">
        <v>0.0</v>
      </c>
      <c r="H69" s="23">
        <f t="shared" si="2"/>
        <v>0.0697108</v>
      </c>
      <c r="I69" s="167">
        <v>24.708</v>
      </c>
      <c r="J69" s="18">
        <v>40.4699</v>
      </c>
      <c r="K69" s="168">
        <f t="shared" si="3"/>
        <v>999.9302892</v>
      </c>
      <c r="L69" s="11"/>
      <c r="M69" s="11"/>
      <c r="N69" s="5"/>
    </row>
    <row r="70" ht="15.0" customHeight="1">
      <c r="A70" s="96">
        <f t="shared" si="1"/>
        <v>68</v>
      </c>
      <c r="B70" s="15">
        <v>45395.0</v>
      </c>
      <c r="C70" s="164" t="s">
        <v>233</v>
      </c>
      <c r="D70" s="165" t="s">
        <v>254</v>
      </c>
      <c r="E70" s="166" t="s">
        <v>253</v>
      </c>
      <c r="F70" s="92">
        <v>91.81</v>
      </c>
      <c r="G70" s="92">
        <v>0.0</v>
      </c>
      <c r="H70" s="23">
        <f t="shared" si="2"/>
        <v>0.0030465982</v>
      </c>
      <c r="I70" s="167">
        <v>1.422E-5</v>
      </c>
      <c r="J70" s="18">
        <v>6456185.19</v>
      </c>
      <c r="K70" s="168">
        <f t="shared" si="3"/>
        <v>91.8069534</v>
      </c>
      <c r="L70" s="11"/>
      <c r="M70" s="11"/>
      <c r="N70" s="5"/>
    </row>
    <row r="71" ht="15.0" customHeight="1">
      <c r="A71" s="96">
        <f t="shared" si="1"/>
        <v>69</v>
      </c>
      <c r="B71" s="15">
        <v>45395.0</v>
      </c>
      <c r="C71" s="164" t="s">
        <v>233</v>
      </c>
      <c r="D71" s="165" t="s">
        <v>259</v>
      </c>
      <c r="E71" s="166" t="s">
        <v>253</v>
      </c>
      <c r="F71" s="92">
        <v>988.16</v>
      </c>
      <c r="G71" s="92">
        <v>0.0</v>
      </c>
      <c r="H71" s="23">
        <f t="shared" si="2"/>
        <v>-0.004323784</v>
      </c>
      <c r="I71" s="167">
        <v>0.00317592</v>
      </c>
      <c r="J71" s="18">
        <v>311142.7</v>
      </c>
      <c r="K71" s="168">
        <f t="shared" si="3"/>
        <v>988.1643238</v>
      </c>
      <c r="L71" s="11"/>
      <c r="M71" s="11"/>
      <c r="N71" s="5"/>
    </row>
    <row r="72" ht="15.0" customHeight="1">
      <c r="A72" s="96">
        <f t="shared" si="1"/>
        <v>70</v>
      </c>
      <c r="B72" s="15">
        <v>45396.0</v>
      </c>
      <c r="C72" s="164" t="s">
        <v>233</v>
      </c>
      <c r="D72" s="165"/>
      <c r="E72" s="166" t="s">
        <v>253</v>
      </c>
      <c r="F72" s="92">
        <v>252.0</v>
      </c>
      <c r="G72" s="92">
        <v>0.0</v>
      </c>
      <c r="H72" s="23">
        <f t="shared" si="2"/>
        <v>0</v>
      </c>
      <c r="I72" s="167">
        <v>0.0</v>
      </c>
      <c r="J72" s="18">
        <v>0.0</v>
      </c>
      <c r="K72" s="168">
        <f t="shared" si="3"/>
        <v>0</v>
      </c>
      <c r="L72" s="11"/>
      <c r="M72" s="11"/>
      <c r="N72" s="5"/>
    </row>
    <row r="73" ht="15.0" customHeight="1">
      <c r="A73" s="96">
        <f t="shared" si="1"/>
        <v>71</v>
      </c>
      <c r="B73" s="15">
        <v>45398.0</v>
      </c>
      <c r="C73" s="164" t="s">
        <v>233</v>
      </c>
      <c r="D73" s="165" t="s">
        <v>255</v>
      </c>
      <c r="E73" s="166" t="s">
        <v>253</v>
      </c>
      <c r="F73" s="92">
        <v>0.0</v>
      </c>
      <c r="G73" s="92">
        <v>0.0</v>
      </c>
      <c r="H73" s="23">
        <f t="shared" si="2"/>
        <v>0</v>
      </c>
      <c r="I73" s="167">
        <v>46.421</v>
      </c>
      <c r="J73" s="18">
        <v>0.0</v>
      </c>
      <c r="K73" s="168">
        <f t="shared" si="3"/>
        <v>0</v>
      </c>
      <c r="L73" s="11"/>
      <c r="M73" s="11"/>
      <c r="N73" s="5"/>
    </row>
    <row r="74" ht="15.0" customHeight="1">
      <c r="A74" s="96">
        <f t="shared" si="1"/>
        <v>72</v>
      </c>
      <c r="B74" s="15">
        <v>45398.0</v>
      </c>
      <c r="C74" s="164" t="s">
        <v>233</v>
      </c>
      <c r="D74" s="165" t="s">
        <v>254</v>
      </c>
      <c r="E74" s="166" t="s">
        <v>253</v>
      </c>
      <c r="F74" s="92">
        <v>0.0</v>
      </c>
      <c r="G74" s="92">
        <v>0.0</v>
      </c>
      <c r="H74" s="23">
        <f t="shared" si="2"/>
        <v>0</v>
      </c>
      <c r="I74" s="167">
        <v>1.2277E-4</v>
      </c>
      <c r="J74" s="18">
        <v>0.0</v>
      </c>
      <c r="K74" s="168">
        <f t="shared" si="3"/>
        <v>0</v>
      </c>
      <c r="L74" s="11"/>
      <c r="M74" s="11"/>
      <c r="N74" s="5"/>
    </row>
    <row r="75" ht="15.0" customHeight="1">
      <c r="A75" s="96">
        <f t="shared" si="1"/>
        <v>73</v>
      </c>
      <c r="B75" s="15">
        <v>45399.0</v>
      </c>
      <c r="C75" s="164" t="s">
        <v>233</v>
      </c>
      <c r="D75" s="165" t="s">
        <v>255</v>
      </c>
      <c r="E75" s="166" t="s">
        <v>306</v>
      </c>
      <c r="F75" s="92">
        <v>0.0</v>
      </c>
      <c r="G75" s="92">
        <v>0.0</v>
      </c>
      <c r="H75" s="23">
        <f t="shared" si="2"/>
        <v>0</v>
      </c>
      <c r="I75" s="167">
        <v>-14.207</v>
      </c>
      <c r="J75" s="18">
        <v>0.0</v>
      </c>
      <c r="K75" s="168">
        <f t="shared" si="3"/>
        <v>0</v>
      </c>
      <c r="L75" s="11"/>
      <c r="M75" s="11"/>
      <c r="N75" s="5"/>
    </row>
    <row r="76" ht="15.0" customHeight="1">
      <c r="A76" s="96">
        <f t="shared" si="1"/>
        <v>74</v>
      </c>
      <c r="B76" s="15">
        <v>45417.0</v>
      </c>
      <c r="C76" s="164" t="s">
        <v>234</v>
      </c>
      <c r="D76" s="165" t="s">
        <v>286</v>
      </c>
      <c r="E76" s="166" t="s">
        <v>253</v>
      </c>
      <c r="F76" s="92">
        <v>1000.0</v>
      </c>
      <c r="G76" s="92">
        <v>0.0</v>
      </c>
      <c r="H76" s="23">
        <f t="shared" si="2"/>
        <v>0.69048</v>
      </c>
      <c r="I76" s="167">
        <v>24.541</v>
      </c>
      <c r="J76" s="18">
        <v>40.72</v>
      </c>
      <c r="K76" s="168">
        <f t="shared" si="3"/>
        <v>999.30952</v>
      </c>
      <c r="L76" s="11"/>
      <c r="M76" s="11"/>
      <c r="N76" s="5"/>
    </row>
    <row r="77" ht="15.0" customHeight="1">
      <c r="A77" s="96">
        <f t="shared" si="1"/>
        <v>75</v>
      </c>
      <c r="B77" s="15">
        <v>45420.0</v>
      </c>
      <c r="C77" s="164" t="s">
        <v>233</v>
      </c>
      <c r="D77" s="165" t="s">
        <v>274</v>
      </c>
      <c r="E77" s="166" t="s">
        <v>253</v>
      </c>
      <c r="F77" s="92">
        <v>0.0</v>
      </c>
      <c r="G77" s="92">
        <v>0.0</v>
      </c>
      <c r="H77" s="23">
        <f t="shared" si="2"/>
        <v>0</v>
      </c>
      <c r="I77" s="167">
        <v>0.0556774</v>
      </c>
      <c r="J77" s="18">
        <v>0.0</v>
      </c>
      <c r="K77" s="168">
        <f t="shared" si="3"/>
        <v>0</v>
      </c>
      <c r="L77" s="11"/>
      <c r="M77" s="11"/>
      <c r="N77" s="5"/>
    </row>
    <row r="78" ht="15.0" customHeight="1">
      <c r="A78" s="96">
        <f t="shared" si="1"/>
        <v>76</v>
      </c>
      <c r="B78" s="15">
        <v>45430.0</v>
      </c>
      <c r="C78" s="164" t="s">
        <v>233</v>
      </c>
      <c r="D78" s="165" t="s">
        <v>274</v>
      </c>
      <c r="E78" s="166" t="s">
        <v>253</v>
      </c>
      <c r="F78" s="92">
        <v>0.0</v>
      </c>
      <c r="G78" s="92">
        <v>0.0</v>
      </c>
      <c r="H78" s="23">
        <f t="shared" si="2"/>
        <v>0</v>
      </c>
      <c r="I78" s="167">
        <v>0.068903</v>
      </c>
      <c r="J78" s="18">
        <v>0.0</v>
      </c>
      <c r="K78" s="168">
        <f t="shared" si="3"/>
        <v>0</v>
      </c>
      <c r="L78" s="11"/>
      <c r="M78" s="11"/>
      <c r="N78" s="5"/>
    </row>
    <row r="79" ht="15.0" customHeight="1">
      <c r="A79" s="96">
        <f t="shared" si="1"/>
        <v>77</v>
      </c>
      <c r="B79" s="15">
        <v>45435.0</v>
      </c>
      <c r="C79" s="164" t="s">
        <v>233</v>
      </c>
      <c r="D79" s="165" t="s">
        <v>254</v>
      </c>
      <c r="E79" s="166" t="s">
        <v>253</v>
      </c>
      <c r="F79" s="92">
        <v>0.0</v>
      </c>
      <c r="G79" s="92">
        <v>0.0</v>
      </c>
      <c r="H79" s="23">
        <f t="shared" si="2"/>
        <v>0</v>
      </c>
      <c r="I79" s="167">
        <v>1.5586E-4</v>
      </c>
      <c r="J79" s="18">
        <v>0.0</v>
      </c>
      <c r="K79" s="168">
        <f t="shared" si="3"/>
        <v>0</v>
      </c>
      <c r="L79" s="11"/>
      <c r="M79" s="11"/>
      <c r="N79" s="5"/>
    </row>
    <row r="80" ht="15.0" customHeight="1">
      <c r="A80" s="96">
        <f t="shared" si="1"/>
        <v>78</v>
      </c>
      <c r="B80" s="15">
        <v>45448.0</v>
      </c>
      <c r="C80" s="164" t="s">
        <v>234</v>
      </c>
      <c r="D80" s="165" t="s">
        <v>286</v>
      </c>
      <c r="E80" s="166" t="s">
        <v>253</v>
      </c>
      <c r="F80" s="92">
        <v>4273.0</v>
      </c>
      <c r="G80" s="92">
        <v>0.0</v>
      </c>
      <c r="H80" s="23">
        <f t="shared" si="2"/>
        <v>0.1955842</v>
      </c>
      <c r="I80" s="167">
        <v>104.274</v>
      </c>
      <c r="J80" s="18">
        <v>40.9767</v>
      </c>
      <c r="K80" s="168">
        <f t="shared" si="3"/>
        <v>4272.804416</v>
      </c>
      <c r="L80" s="11"/>
      <c r="M80" s="11"/>
      <c r="N80" s="5"/>
    </row>
    <row r="81" ht="15.0" customHeight="1">
      <c r="A81" s="96">
        <f t="shared" si="1"/>
        <v>79</v>
      </c>
      <c r="B81" s="15">
        <v>45471.0</v>
      </c>
      <c r="C81" s="164" t="s">
        <v>233</v>
      </c>
      <c r="D81" s="165" t="s">
        <v>257</v>
      </c>
      <c r="E81" s="166" t="s">
        <v>253</v>
      </c>
      <c r="F81" s="92">
        <v>0.0</v>
      </c>
      <c r="G81" s="92">
        <v>0.0</v>
      </c>
      <c r="H81" s="23">
        <f t="shared" si="2"/>
        <v>0</v>
      </c>
      <c r="I81" s="167">
        <v>2.10369</v>
      </c>
      <c r="J81" s="18">
        <v>0.0</v>
      </c>
      <c r="K81" s="168">
        <f t="shared" si="3"/>
        <v>0</v>
      </c>
      <c r="L81" s="11"/>
      <c r="M81" s="11"/>
      <c r="N81" s="5"/>
    </row>
    <row r="82" ht="15.0" customHeight="1">
      <c r="A82" s="96">
        <f t="shared" si="1"/>
        <v>80</v>
      </c>
      <c r="B82" s="15">
        <v>45471.0</v>
      </c>
      <c r="C82" s="164" t="s">
        <v>233</v>
      </c>
      <c r="D82" s="165" t="s">
        <v>255</v>
      </c>
      <c r="E82" s="166" t="s">
        <v>253</v>
      </c>
      <c r="F82" s="92">
        <v>0.0</v>
      </c>
      <c r="G82" s="92">
        <v>0.0</v>
      </c>
      <c r="H82" s="23">
        <f t="shared" si="2"/>
        <v>0</v>
      </c>
      <c r="I82" s="167">
        <v>1.804</v>
      </c>
      <c r="J82" s="18">
        <v>0.0</v>
      </c>
      <c r="K82" s="168">
        <f t="shared" si="3"/>
        <v>0</v>
      </c>
      <c r="L82" s="11"/>
      <c r="M82" s="11"/>
      <c r="N82" s="5"/>
    </row>
    <row r="83" ht="15.0" customHeight="1">
      <c r="A83" s="96">
        <f t="shared" si="1"/>
        <v>81</v>
      </c>
      <c r="B83" s="15">
        <v>45477.0</v>
      </c>
      <c r="C83" s="164" t="s">
        <v>233</v>
      </c>
      <c r="D83" s="165" t="s">
        <v>259</v>
      </c>
      <c r="E83" s="166" t="s">
        <v>253</v>
      </c>
      <c r="F83" s="92">
        <v>0.0</v>
      </c>
      <c r="G83" s="92">
        <v>0.0</v>
      </c>
      <c r="H83" s="23">
        <f t="shared" si="2"/>
        <v>0</v>
      </c>
      <c r="I83" s="167">
        <v>0.010512</v>
      </c>
      <c r="J83" s="18">
        <v>0.0</v>
      </c>
      <c r="K83" s="168">
        <f t="shared" si="3"/>
        <v>0</v>
      </c>
      <c r="L83" s="11"/>
      <c r="M83" s="11"/>
      <c r="N83" s="5"/>
    </row>
    <row r="84" ht="15.0" customHeight="1">
      <c r="A84" s="96">
        <f t="shared" si="1"/>
        <v>82</v>
      </c>
      <c r="B84" s="15">
        <v>45477.0</v>
      </c>
      <c r="C84" s="164" t="s">
        <v>233</v>
      </c>
      <c r="D84" s="165" t="s">
        <v>255</v>
      </c>
      <c r="E84" s="166" t="s">
        <v>253</v>
      </c>
      <c r="F84" s="92">
        <v>0.0</v>
      </c>
      <c r="G84" s="92">
        <v>0.0</v>
      </c>
      <c r="H84" s="23">
        <f t="shared" si="2"/>
        <v>0</v>
      </c>
      <c r="I84" s="167">
        <v>32.216</v>
      </c>
      <c r="J84" s="18">
        <v>0.0</v>
      </c>
      <c r="K84" s="168">
        <f t="shared" si="3"/>
        <v>0</v>
      </c>
      <c r="L84" s="11"/>
      <c r="M84" s="11"/>
      <c r="N84" s="5"/>
    </row>
    <row r="85" ht="15.0" customHeight="1">
      <c r="A85" s="96">
        <f t="shared" si="1"/>
        <v>83</v>
      </c>
      <c r="B85" s="15">
        <v>45477.0</v>
      </c>
      <c r="C85" s="164" t="s">
        <v>233</v>
      </c>
      <c r="D85" s="165" t="s">
        <v>274</v>
      </c>
      <c r="E85" s="166" t="s">
        <v>253</v>
      </c>
      <c r="F85" s="92">
        <v>0.0</v>
      </c>
      <c r="G85" s="92">
        <v>0.0</v>
      </c>
      <c r="H85" s="23">
        <f t="shared" si="2"/>
        <v>0</v>
      </c>
      <c r="I85" s="167">
        <v>0.100201</v>
      </c>
      <c r="J85" s="18">
        <v>0.0</v>
      </c>
      <c r="K85" s="168">
        <f t="shared" si="3"/>
        <v>0</v>
      </c>
      <c r="L85" s="11"/>
      <c r="M85" s="11"/>
      <c r="N85" s="5"/>
    </row>
    <row r="86" ht="15.0" customHeight="1">
      <c r="A86" s="96">
        <f t="shared" si="1"/>
        <v>84</v>
      </c>
      <c r="B86" s="15">
        <v>45479.0</v>
      </c>
      <c r="C86" s="164" t="s">
        <v>234</v>
      </c>
      <c r="D86" s="165" t="s">
        <v>286</v>
      </c>
      <c r="E86" s="166" t="s">
        <v>253</v>
      </c>
      <c r="F86" s="92">
        <v>1000.0</v>
      </c>
      <c r="G86" s="92">
        <v>0.0</v>
      </c>
      <c r="H86" s="23">
        <f t="shared" si="2"/>
        <v>0.049056</v>
      </c>
      <c r="I86" s="167">
        <v>24.265</v>
      </c>
      <c r="J86" s="18">
        <v>41.2096</v>
      </c>
      <c r="K86" s="168">
        <f t="shared" si="3"/>
        <v>999.950944</v>
      </c>
      <c r="L86" s="11"/>
      <c r="M86" s="11"/>
      <c r="N86" s="5"/>
    </row>
    <row r="87" ht="15.0" customHeight="1">
      <c r="A87" s="96"/>
      <c r="B87" s="15"/>
      <c r="C87" s="164"/>
      <c r="D87" s="165"/>
      <c r="E87" s="166"/>
      <c r="F87" s="92"/>
      <c r="G87" s="92"/>
      <c r="H87" s="18"/>
      <c r="I87" s="167"/>
      <c r="J87" s="18"/>
      <c r="K87" s="168"/>
      <c r="L87" s="11"/>
      <c r="M87" s="11"/>
      <c r="N87" s="5"/>
    </row>
    <row r="88" ht="15.0" customHeight="1">
      <c r="A88" s="96"/>
      <c r="B88" s="15"/>
      <c r="C88" s="164"/>
      <c r="D88" s="165"/>
      <c r="E88" s="166"/>
      <c r="F88" s="92"/>
      <c r="G88" s="92"/>
      <c r="H88" s="18"/>
      <c r="I88" s="167"/>
      <c r="J88" s="18"/>
      <c r="K88" s="168"/>
      <c r="L88" s="11"/>
      <c r="M88" s="11"/>
      <c r="N88" s="5"/>
    </row>
    <row r="89" ht="15.0" customHeight="1">
      <c r="A89" s="96"/>
      <c r="B89" s="15"/>
      <c r="C89" s="164"/>
      <c r="D89" s="165"/>
      <c r="E89" s="166"/>
      <c r="F89" s="92"/>
      <c r="G89" s="92"/>
      <c r="H89" s="18"/>
      <c r="I89" s="167"/>
      <c r="J89" s="18"/>
      <c r="K89" s="168"/>
      <c r="L89" s="11"/>
      <c r="M89" s="11"/>
      <c r="N89" s="5"/>
    </row>
    <row r="90" ht="15.0" customHeight="1">
      <c r="A90" s="96"/>
      <c r="B90" s="15"/>
      <c r="C90" s="164"/>
      <c r="D90" s="165"/>
      <c r="E90" s="166"/>
      <c r="F90" s="92"/>
      <c r="G90" s="92"/>
      <c r="H90" s="18"/>
      <c r="I90" s="167"/>
      <c r="J90" s="18"/>
      <c r="K90" s="168"/>
      <c r="L90" s="11"/>
      <c r="M90" s="11"/>
      <c r="N90" s="5"/>
    </row>
    <row r="91" ht="15.0" customHeight="1">
      <c r="A91" s="96"/>
      <c r="B91" s="15"/>
      <c r="C91" s="164"/>
      <c r="D91" s="165"/>
      <c r="E91" s="166"/>
      <c r="F91" s="92"/>
      <c r="G91" s="92"/>
      <c r="H91" s="18"/>
      <c r="I91" s="167"/>
      <c r="J91" s="18"/>
      <c r="K91" s="168"/>
      <c r="L91" s="11"/>
      <c r="M91" s="11"/>
      <c r="N91" s="5"/>
    </row>
    <row r="92" ht="15.0" customHeight="1">
      <c r="A92" s="96"/>
      <c r="B92" s="15"/>
      <c r="C92" s="164"/>
      <c r="D92" s="165"/>
      <c r="E92" s="166"/>
      <c r="F92" s="92"/>
      <c r="G92" s="92"/>
      <c r="H92" s="18"/>
      <c r="I92" s="167"/>
      <c r="J92" s="18"/>
      <c r="K92" s="168"/>
      <c r="L92" s="11"/>
      <c r="M92" s="11"/>
      <c r="N92" s="5"/>
    </row>
    <row r="93" ht="15.0" customHeight="1">
      <c r="A93" s="96"/>
      <c r="B93" s="15"/>
      <c r="C93" s="164"/>
      <c r="D93" s="165"/>
      <c r="E93" s="166"/>
      <c r="F93" s="92"/>
      <c r="G93" s="92"/>
      <c r="H93" s="18"/>
      <c r="I93" s="167"/>
      <c r="J93" s="18"/>
      <c r="K93" s="168"/>
      <c r="L93" s="11"/>
      <c r="M93" s="11"/>
      <c r="N93" s="5"/>
    </row>
    <row r="94" ht="15.0" customHeight="1">
      <c r="A94" s="96"/>
      <c r="B94" s="15"/>
      <c r="C94" s="164"/>
      <c r="D94" s="165"/>
      <c r="E94" s="166"/>
      <c r="F94" s="92"/>
      <c r="G94" s="92"/>
      <c r="H94" s="18"/>
      <c r="I94" s="167"/>
      <c r="J94" s="18"/>
      <c r="K94" s="168"/>
      <c r="L94" s="11"/>
      <c r="M94" s="11"/>
      <c r="N94" s="5"/>
    </row>
    <row r="95" ht="15.0" customHeight="1">
      <c r="A95" s="96"/>
      <c r="B95" s="15"/>
      <c r="C95" s="164"/>
      <c r="D95" s="165"/>
      <c r="E95" s="166"/>
      <c r="F95" s="92"/>
      <c r="G95" s="92"/>
      <c r="H95" s="18"/>
      <c r="I95" s="167"/>
      <c r="J95" s="18"/>
      <c r="K95" s="168"/>
      <c r="L95" s="11"/>
      <c r="M95" s="11"/>
      <c r="N95" s="5"/>
    </row>
    <row r="96" ht="15.0" customHeight="1">
      <c r="A96" s="96"/>
      <c r="B96" s="15"/>
      <c r="C96" s="164"/>
      <c r="D96" s="165"/>
      <c r="E96" s="166"/>
      <c r="F96" s="92"/>
      <c r="G96" s="92"/>
      <c r="H96" s="18"/>
      <c r="I96" s="167"/>
      <c r="J96" s="18"/>
      <c r="K96" s="168"/>
      <c r="L96" s="11"/>
      <c r="M96" s="11"/>
      <c r="N96" s="5"/>
    </row>
    <row r="97" ht="15.0" customHeight="1">
      <c r="A97" s="96"/>
      <c r="B97" s="15"/>
      <c r="C97" s="164"/>
      <c r="D97" s="165"/>
      <c r="E97" s="166"/>
      <c r="F97" s="92"/>
      <c r="G97" s="92"/>
      <c r="H97" s="18"/>
      <c r="I97" s="167"/>
      <c r="J97" s="18"/>
      <c r="K97" s="168"/>
      <c r="L97" s="11"/>
      <c r="M97" s="11"/>
      <c r="N97" s="5"/>
    </row>
    <row r="98" ht="15.0" customHeight="1">
      <c r="A98" s="96"/>
      <c r="B98" s="15"/>
      <c r="C98" s="164"/>
      <c r="D98" s="165"/>
      <c r="E98" s="166"/>
      <c r="F98" s="92"/>
      <c r="G98" s="92"/>
      <c r="H98" s="18"/>
      <c r="I98" s="167"/>
      <c r="J98" s="18"/>
      <c r="K98" s="168"/>
      <c r="L98" s="11"/>
      <c r="M98" s="11"/>
      <c r="N98" s="5"/>
    </row>
    <row r="99" ht="15.0" customHeight="1">
      <c r="A99" s="96"/>
      <c r="B99" s="15"/>
      <c r="C99" s="164"/>
      <c r="D99" s="165"/>
      <c r="E99" s="166"/>
      <c r="F99" s="92"/>
      <c r="G99" s="92"/>
      <c r="H99" s="18"/>
      <c r="I99" s="167"/>
      <c r="J99" s="18"/>
      <c r="K99" s="168"/>
      <c r="L99" s="11"/>
      <c r="M99" s="11"/>
      <c r="N99" s="5"/>
    </row>
    <row r="100" ht="15.0" customHeight="1">
      <c r="A100" s="96"/>
      <c r="B100" s="15"/>
      <c r="C100" s="164"/>
      <c r="D100" s="165"/>
      <c r="E100" s="166"/>
      <c r="F100" s="92"/>
      <c r="G100" s="92"/>
      <c r="H100" s="18"/>
      <c r="I100" s="167"/>
      <c r="J100" s="18"/>
      <c r="K100" s="168"/>
      <c r="L100" s="11"/>
      <c r="M100" s="11"/>
      <c r="N100" s="5"/>
    </row>
    <row r="101" ht="15.0" customHeight="1">
      <c r="A101" s="96"/>
      <c r="B101" s="15"/>
      <c r="C101" s="164"/>
      <c r="D101" s="165"/>
      <c r="E101" s="166"/>
      <c r="F101" s="92"/>
      <c r="G101" s="92"/>
      <c r="H101" s="18"/>
      <c r="I101" s="167"/>
      <c r="J101" s="18"/>
      <c r="K101" s="168"/>
      <c r="L101" s="11"/>
      <c r="M101" s="11"/>
      <c r="N101" s="5"/>
    </row>
    <row r="102" ht="15.0" customHeight="1">
      <c r="A102" s="96"/>
      <c r="B102" s="15"/>
      <c r="C102" s="164"/>
      <c r="D102" s="165"/>
      <c r="E102" s="166"/>
      <c r="F102" s="92"/>
      <c r="G102" s="92"/>
      <c r="H102" s="18"/>
      <c r="I102" s="167"/>
      <c r="J102" s="18"/>
      <c r="K102" s="168"/>
      <c r="L102" s="11"/>
      <c r="M102" s="11"/>
      <c r="N102" s="5"/>
    </row>
    <row r="103" ht="15.0" customHeight="1">
      <c r="A103" s="96"/>
      <c r="B103" s="15"/>
      <c r="C103" s="164"/>
      <c r="D103" s="165"/>
      <c r="E103" s="166"/>
      <c r="F103" s="92"/>
      <c r="G103" s="92"/>
      <c r="H103" s="18"/>
      <c r="I103" s="167"/>
      <c r="J103" s="18"/>
      <c r="K103" s="168"/>
      <c r="L103" s="11"/>
      <c r="M103" s="11"/>
      <c r="N103" s="5"/>
    </row>
    <row r="104" ht="15.0" customHeight="1">
      <c r="A104" s="96"/>
      <c r="B104" s="15"/>
      <c r="C104" s="164"/>
      <c r="D104" s="165"/>
      <c r="E104" s="166"/>
      <c r="F104" s="92"/>
      <c r="G104" s="92"/>
      <c r="H104" s="18"/>
      <c r="I104" s="167"/>
      <c r="J104" s="18"/>
      <c r="K104" s="168"/>
      <c r="L104" s="11"/>
      <c r="M104" s="11"/>
      <c r="N104" s="5"/>
    </row>
    <row r="105" ht="15.0" customHeight="1">
      <c r="A105" s="96"/>
      <c r="B105" s="15"/>
      <c r="C105" s="164"/>
      <c r="D105" s="165"/>
      <c r="E105" s="166"/>
      <c r="F105" s="92"/>
      <c r="G105" s="92"/>
      <c r="H105" s="18"/>
      <c r="I105" s="167"/>
      <c r="J105" s="18"/>
      <c r="K105" s="168"/>
      <c r="L105" s="11"/>
      <c r="M105" s="11"/>
      <c r="N105" s="5"/>
    </row>
    <row r="106" ht="15.0" customHeight="1">
      <c r="A106" s="96"/>
      <c r="B106" s="15"/>
      <c r="C106" s="164"/>
      <c r="D106" s="165"/>
      <c r="E106" s="166"/>
      <c r="F106" s="92"/>
      <c r="G106" s="92"/>
      <c r="H106" s="18"/>
      <c r="I106" s="167"/>
      <c r="J106" s="18"/>
      <c r="K106" s="168"/>
      <c r="L106" s="11"/>
      <c r="M106" s="11"/>
      <c r="N106" s="5"/>
    </row>
    <row r="107" ht="15.0" customHeight="1">
      <c r="A107" s="96"/>
      <c r="B107" s="15"/>
      <c r="C107" s="164"/>
      <c r="D107" s="165"/>
      <c r="E107" s="166"/>
      <c r="F107" s="92"/>
      <c r="G107" s="92"/>
      <c r="H107" s="18"/>
      <c r="I107" s="167"/>
      <c r="J107" s="18"/>
      <c r="K107" s="168"/>
      <c r="L107" s="11"/>
      <c r="M107" s="11"/>
      <c r="N107" s="5"/>
    </row>
    <row r="108" ht="15.0" customHeight="1">
      <c r="A108" s="96"/>
      <c r="B108" s="15"/>
      <c r="C108" s="164"/>
      <c r="D108" s="165"/>
      <c r="E108" s="166"/>
      <c r="F108" s="92"/>
      <c r="G108" s="92"/>
      <c r="H108" s="18"/>
      <c r="I108" s="167"/>
      <c r="J108" s="18"/>
      <c r="K108" s="168"/>
      <c r="L108" s="11"/>
      <c r="M108" s="11"/>
      <c r="N108" s="5"/>
    </row>
    <row r="109" ht="15.0" customHeight="1">
      <c r="A109" s="96"/>
      <c r="B109" s="15"/>
      <c r="C109" s="164"/>
      <c r="D109" s="165"/>
      <c r="E109" s="166"/>
      <c r="F109" s="92"/>
      <c r="G109" s="92"/>
      <c r="H109" s="18"/>
      <c r="I109" s="167"/>
      <c r="J109" s="18"/>
      <c r="K109" s="168"/>
      <c r="L109" s="11"/>
      <c r="M109" s="11"/>
      <c r="N109" s="5"/>
    </row>
    <row r="110" ht="15.0" customHeight="1">
      <c r="A110" s="96"/>
      <c r="B110" s="15"/>
      <c r="C110" s="164"/>
      <c r="D110" s="165"/>
      <c r="E110" s="166"/>
      <c r="F110" s="92"/>
      <c r="G110" s="92"/>
      <c r="H110" s="18"/>
      <c r="I110" s="167"/>
      <c r="J110" s="18"/>
      <c r="K110" s="168"/>
      <c r="L110" s="11"/>
      <c r="M110" s="11"/>
      <c r="N110" s="5"/>
    </row>
    <row r="111" ht="15.0" customHeight="1">
      <c r="A111" s="96"/>
      <c r="B111" s="15"/>
      <c r="C111" s="164"/>
      <c r="D111" s="165"/>
      <c r="E111" s="166"/>
      <c r="F111" s="92"/>
      <c r="G111" s="92"/>
      <c r="H111" s="18"/>
      <c r="I111" s="167"/>
      <c r="J111" s="18"/>
      <c r="K111" s="168"/>
      <c r="L111" s="11"/>
      <c r="M111" s="11"/>
      <c r="N111" s="5"/>
    </row>
    <row r="112" ht="15.0" customHeight="1">
      <c r="A112" s="96"/>
      <c r="B112" s="15"/>
      <c r="C112" s="164"/>
      <c r="D112" s="165"/>
      <c r="E112" s="166"/>
      <c r="F112" s="92"/>
      <c r="G112" s="92"/>
      <c r="H112" s="18"/>
      <c r="I112" s="167"/>
      <c r="J112" s="18"/>
      <c r="K112" s="168"/>
      <c r="L112" s="11"/>
      <c r="M112" s="11"/>
      <c r="N112" s="5"/>
    </row>
    <row r="113" ht="15.0" customHeight="1">
      <c r="A113" s="96"/>
      <c r="B113" s="15"/>
      <c r="C113" s="164"/>
      <c r="D113" s="165"/>
      <c r="E113" s="166"/>
      <c r="F113" s="92"/>
      <c r="G113" s="92"/>
      <c r="H113" s="18"/>
      <c r="I113" s="167"/>
      <c r="J113" s="18"/>
      <c r="K113" s="168"/>
      <c r="L113" s="11"/>
      <c r="M113" s="11"/>
      <c r="N113" s="5"/>
    </row>
    <row r="114" ht="15.0" customHeight="1">
      <c r="A114" s="96"/>
      <c r="B114" s="15"/>
      <c r="C114" s="164"/>
      <c r="D114" s="165"/>
      <c r="E114" s="166"/>
      <c r="F114" s="92"/>
      <c r="G114" s="92"/>
      <c r="H114" s="18"/>
      <c r="I114" s="167"/>
      <c r="J114" s="18"/>
      <c r="K114" s="168"/>
      <c r="L114" s="11"/>
      <c r="M114" s="11"/>
      <c r="N114" s="5"/>
    </row>
    <row r="115" ht="15.0" customHeight="1">
      <c r="A115" s="96"/>
      <c r="B115" s="15"/>
      <c r="C115" s="164"/>
      <c r="D115" s="165"/>
      <c r="E115" s="166"/>
      <c r="F115" s="92"/>
      <c r="G115" s="92"/>
      <c r="H115" s="18"/>
      <c r="I115" s="167"/>
      <c r="J115" s="18"/>
      <c r="K115" s="168"/>
      <c r="L115" s="11"/>
      <c r="M115" s="11"/>
      <c r="N115" s="5"/>
    </row>
    <row r="116" ht="15.0" customHeight="1">
      <c r="A116" s="96"/>
      <c r="B116" s="15"/>
      <c r="C116" s="164"/>
      <c r="D116" s="165"/>
      <c r="E116" s="166"/>
      <c r="F116" s="92"/>
      <c r="G116" s="92"/>
      <c r="H116" s="18"/>
      <c r="I116" s="167"/>
      <c r="J116" s="18"/>
      <c r="K116" s="168"/>
      <c r="L116" s="11"/>
      <c r="M116" s="11"/>
      <c r="N116" s="5"/>
    </row>
    <row r="117" ht="15.0" customHeight="1">
      <c r="A117" s="96"/>
      <c r="B117" s="15"/>
      <c r="C117" s="164"/>
      <c r="D117" s="165"/>
      <c r="E117" s="166"/>
      <c r="F117" s="92"/>
      <c r="G117" s="92"/>
      <c r="H117" s="18"/>
      <c r="I117" s="167"/>
      <c r="J117" s="18"/>
      <c r="K117" s="168"/>
      <c r="L117" s="11"/>
      <c r="M117" s="11"/>
      <c r="N117" s="5"/>
    </row>
    <row r="118" ht="15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11"/>
      <c r="M118" s="11"/>
      <c r="N118" s="5"/>
    </row>
    <row r="119" ht="15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autoFilter ref="$A$3:$L$277"/>
  <mergeCells count="1">
    <mergeCell ref="A1:L1"/>
  </mergeCells>
  <conditionalFormatting sqref="E1:E1000">
    <cfRule type="containsText" dxfId="3" priority="1" operator="containsText" text="Sell / Redeem">
      <formula>NOT(ISERROR(SEARCH(("Sell / Redeem"),(E1))))</formula>
    </cfRule>
  </conditionalFormatting>
  <conditionalFormatting sqref="E1:E1000">
    <cfRule type="containsText" dxfId="4" priority="2" operator="containsText" text="Buy / Invest">
      <formula>NOT(ISERROR(SEARCH(("Buy / Invest"),(E1))))</formula>
    </cfRule>
  </conditionalFormatting>
  <conditionalFormatting sqref="C1:C1000 D2:E2">
    <cfRule type="containsText" dxfId="0" priority="3" operator="containsText" text="Crypto">
      <formula>NOT(ISERROR(SEARCH(("Crypto"),(C1))))</formula>
    </cfRule>
  </conditionalFormatting>
  <conditionalFormatting sqref="C1:C1000 D2:E2">
    <cfRule type="containsText" dxfId="1" priority="4" operator="containsText" text="Shares MF">
      <formula>NOT(ISERROR(SEARCH(("Shares MF"),(C1))))</formula>
    </cfRule>
  </conditionalFormatting>
  <dataValidations>
    <dataValidation type="list" allowBlank="1" sqref="E4:E492">
      <formula1>"Buy / Invest,Sell / Redeem,Transfer In,Transfer Out,Airdrop / Mining"</formula1>
    </dataValidation>
    <dataValidation type="list" allowBlank="1" sqref="C4:C492">
      <formula1>"Crypto,Shares MF"</formula1>
    </dataValidation>
    <dataValidation type="list" allowBlank="1" sqref="D4:D492">
      <formula1>SETTINGS!$H$3:$H$12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6E7A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29"/>
    <col customWidth="1" min="2" max="2" width="57.71"/>
    <col customWidth="1" min="3" max="3" width="80.57"/>
    <col customWidth="1" min="4" max="4" width="15.57"/>
    <col customWidth="1" min="5" max="5" width="8.71"/>
    <col customWidth="1" min="6" max="6" width="17.71"/>
    <col customWidth="1" min="7" max="7" width="12.0"/>
    <col customWidth="1" min="8" max="8" width="26.29"/>
    <col customWidth="1" min="9" max="9" width="19.29"/>
    <col customWidth="1" min="11" max="11" width="14.86"/>
  </cols>
  <sheetData>
    <row r="1" ht="15.0" customHeight="1">
      <c r="A1" s="169" t="s">
        <v>256</v>
      </c>
      <c r="B1" s="3"/>
      <c r="C1" s="3"/>
      <c r="D1" s="4"/>
      <c r="E1" s="170"/>
      <c r="F1" s="170"/>
      <c r="G1" s="170"/>
      <c r="H1" s="170"/>
      <c r="I1" s="170"/>
      <c r="J1" s="170"/>
      <c r="K1" s="170"/>
      <c r="L1" s="5"/>
    </row>
    <row r="2" ht="15.0" customHeight="1">
      <c r="A2" s="171" t="s">
        <v>258</v>
      </c>
      <c r="B2" s="172" t="s">
        <v>260</v>
      </c>
      <c r="C2" s="173" t="s">
        <v>261</v>
      </c>
      <c r="D2" s="174" t="s">
        <v>262</v>
      </c>
      <c r="E2" s="11"/>
      <c r="F2" s="175" t="s">
        <v>263</v>
      </c>
      <c r="G2" s="176" t="s">
        <v>3</v>
      </c>
      <c r="H2" s="176" t="s">
        <v>264</v>
      </c>
      <c r="I2" s="176" t="s">
        <v>265</v>
      </c>
      <c r="J2" s="176" t="s">
        <v>266</v>
      </c>
      <c r="K2" s="176" t="s">
        <v>267</v>
      </c>
      <c r="L2" s="5"/>
    </row>
    <row r="3" ht="15.0" customHeight="1">
      <c r="A3" s="177" t="s">
        <v>61</v>
      </c>
      <c r="B3" s="178" t="s">
        <v>268</v>
      </c>
      <c r="C3" s="177" t="s">
        <v>19</v>
      </c>
      <c r="D3" s="177" t="s">
        <v>20</v>
      </c>
      <c r="E3" s="11"/>
      <c r="F3" s="179"/>
      <c r="G3" s="130" t="s">
        <v>233</v>
      </c>
      <c r="H3" s="179" t="s">
        <v>254</v>
      </c>
      <c r="I3" s="179" t="s">
        <v>269</v>
      </c>
      <c r="J3" s="180">
        <f>IFERROR(__xludf.DUMMYFUNCTION("GOOGLEFINANCE(""Currency:USDINR"")*K3"),7385223.728485001)</f>
        <v>7385223.728</v>
      </c>
      <c r="K3" s="180">
        <f>IFERROR(__xludf.DUMMYFUNCTION("GOOGLEFINANCE(""BTCUSD"")"),77287.27)</f>
        <v>77287.27</v>
      </c>
      <c r="L3" s="5"/>
    </row>
    <row r="4" ht="15.0" customHeight="1">
      <c r="A4" s="181" t="s">
        <v>100</v>
      </c>
      <c r="B4" s="178" t="s">
        <v>270</v>
      </c>
      <c r="C4" s="181" t="s">
        <v>31</v>
      </c>
      <c r="D4" s="181" t="s">
        <v>22</v>
      </c>
      <c r="E4" s="11"/>
      <c r="F4" s="182"/>
      <c r="G4" s="130" t="s">
        <v>233</v>
      </c>
      <c r="H4" s="182" t="s">
        <v>259</v>
      </c>
      <c r="I4" s="182" t="s">
        <v>271</v>
      </c>
      <c r="J4" s="180">
        <f>IFERROR(__xludf.DUMMYFUNCTION("GOOGLEFINANCE(""Currency:USDINR"")*K4"),241971.1219857)</f>
        <v>241971.122</v>
      </c>
      <c r="K4" s="180">
        <f>IFERROR(__xludf.DUMMYFUNCTION("GOOGLEFINANCE(""ETHUSD"")"),2532.2574)</f>
        <v>2532.2574</v>
      </c>
      <c r="L4" s="5"/>
    </row>
    <row r="5" ht="15.0" customHeight="1">
      <c r="A5" s="177" t="s">
        <v>138</v>
      </c>
      <c r="B5" s="178" t="s">
        <v>272</v>
      </c>
      <c r="C5" s="177" t="s">
        <v>25</v>
      </c>
      <c r="D5" s="181" t="s">
        <v>273</v>
      </c>
      <c r="E5" s="11"/>
      <c r="F5" s="179"/>
      <c r="G5" s="130" t="s">
        <v>233</v>
      </c>
      <c r="H5" s="179" t="s">
        <v>274</v>
      </c>
      <c r="I5" s="179" t="s">
        <v>275</v>
      </c>
      <c r="J5" s="180">
        <f>IFERROR(__xludf.DUMMYFUNCTION("GOOGLEFINANCE(""Currency:USDINR"")*K5"),9746.183222500002)</f>
        <v>9746.183223</v>
      </c>
      <c r="K5" s="180">
        <f>IFERROR(__xludf.DUMMYFUNCTION("VALUE(
 REGEXEXTRACT(
  IMPORTDATA(""https://api.coinbase.com/v2/prices/SOL-USD/spot""),
  """"""amount"""":""""([0-9.]+)""""""
 )
)
"),101.995)</f>
        <v>101.995</v>
      </c>
      <c r="L5" s="5"/>
    </row>
    <row r="6" ht="15.0" customHeight="1">
      <c r="A6" s="181" t="s">
        <v>85</v>
      </c>
      <c r="B6" s="178" t="s">
        <v>276</v>
      </c>
      <c r="C6" s="181" t="s">
        <v>277</v>
      </c>
      <c r="D6" s="177" t="s">
        <v>278</v>
      </c>
      <c r="E6" s="11"/>
      <c r="F6" s="182"/>
      <c r="G6" s="130" t="s">
        <v>233</v>
      </c>
      <c r="H6" s="182" t="s">
        <v>257</v>
      </c>
      <c r="I6" s="182" t="s">
        <v>279</v>
      </c>
      <c r="J6" s="180">
        <f>IFERROR(__xludf.DUMMYFUNCTION("GOOGLEFINANCE(""Currency:USDINR"")*K6"),19.963932837500003)</f>
        <v>19.96393284</v>
      </c>
      <c r="K6" s="180">
        <f>IFERROR(__xludf.DUMMYFUNCTION("VALUE(
 REGEXEXTRACT(
  IMPORTDATA(""https://api.coinbase.com/v2/prices/ADA-USD/spot""),
  """"""amount"""":""""([0-9.]+)""""""
 )
)
"),0.208925)</f>
        <v>0.208925</v>
      </c>
      <c r="L6" s="5"/>
    </row>
    <row r="7" ht="15.0" customHeight="1">
      <c r="A7" s="177" t="s">
        <v>107</v>
      </c>
      <c r="B7" s="178" t="s">
        <v>280</v>
      </c>
      <c r="C7" s="177" t="s">
        <v>281</v>
      </c>
      <c r="D7" s="5"/>
      <c r="E7" s="11"/>
      <c r="F7" s="179"/>
      <c r="G7" s="130" t="s">
        <v>233</v>
      </c>
      <c r="H7" s="182" t="s">
        <v>282</v>
      </c>
      <c r="I7" s="182" t="s">
        <v>282</v>
      </c>
      <c r="J7" s="180">
        <f>IFERROR(__xludf.DUMMYFUNCTION("GOOGLEFINANCE(""Currency:USDINR"")*K7"),7385223.728485001)</f>
        <v>7385223.728</v>
      </c>
      <c r="K7" s="180">
        <f>IFERROR(__xludf.DUMMYFUNCTION("GOOGLEFINANCE(""BTCUSD"")"),77287.27)</f>
        <v>77287.27</v>
      </c>
      <c r="L7" s="5"/>
    </row>
    <row r="8" ht="15.0" customHeight="1">
      <c r="A8" s="181" t="s">
        <v>109</v>
      </c>
      <c r="B8" s="178" t="s">
        <v>283</v>
      </c>
      <c r="C8" s="181" t="s">
        <v>284</v>
      </c>
      <c r="D8" s="11"/>
      <c r="E8" s="11"/>
      <c r="F8" s="11"/>
      <c r="G8" s="137" t="s">
        <v>285</v>
      </c>
      <c r="H8" s="179" t="s">
        <v>286</v>
      </c>
      <c r="I8" s="179" t="s">
        <v>287</v>
      </c>
      <c r="J8" s="180">
        <f>IFERROR(__xludf.DUMMYFUNCTION("GOOGLEFINANCE(I8)"),48.03)</f>
        <v>48.03</v>
      </c>
      <c r="K8" s="180"/>
      <c r="L8" s="5"/>
    </row>
    <row r="9" ht="15.0" customHeight="1">
      <c r="A9" s="177" t="s">
        <v>113</v>
      </c>
      <c r="B9" s="178" t="s">
        <v>288</v>
      </c>
      <c r="C9" s="177" t="s">
        <v>152</v>
      </c>
      <c r="D9" s="11"/>
      <c r="E9" s="11"/>
      <c r="F9" s="11"/>
      <c r="G9" s="137" t="s">
        <v>285</v>
      </c>
      <c r="H9" s="182" t="s">
        <v>289</v>
      </c>
      <c r="I9" s="183" t="s">
        <v>290</v>
      </c>
      <c r="J9" s="180">
        <f>IFERROR(__xludf.DUMMYFUNCTION("GOOGLEFINANCE(I9)"),46.2)</f>
        <v>46.2</v>
      </c>
      <c r="K9" s="180"/>
      <c r="L9" s="5"/>
    </row>
    <row r="10" ht="15.0" customHeight="1">
      <c r="A10" s="181" t="s">
        <v>115</v>
      </c>
      <c r="B10" s="178" t="s">
        <v>291</v>
      </c>
      <c r="C10" s="11"/>
      <c r="D10" s="11"/>
      <c r="E10" s="11"/>
      <c r="F10" s="11"/>
      <c r="G10" s="137" t="s">
        <v>285</v>
      </c>
      <c r="H10" s="179" t="s">
        <v>292</v>
      </c>
      <c r="I10" s="179" t="s">
        <v>293</v>
      </c>
      <c r="J10" s="180">
        <f>IFERROR(__xludf.DUMMYFUNCTION("GOOGLEFINANCE(I10)"),24.17)</f>
        <v>24.17</v>
      </c>
      <c r="K10" s="180"/>
      <c r="L10" s="5"/>
    </row>
    <row r="11" ht="15.0" customHeight="1">
      <c r="A11" s="177" t="s">
        <v>35</v>
      </c>
      <c r="B11" s="178" t="s">
        <v>294</v>
      </c>
      <c r="C11" s="11"/>
      <c r="D11" s="11"/>
      <c r="E11" s="11"/>
      <c r="F11" s="11"/>
      <c r="G11" s="5"/>
      <c r="H11" s="5"/>
      <c r="I11" s="5"/>
      <c r="K11" s="5"/>
      <c r="L11" s="5"/>
    </row>
    <row r="12" ht="15.0" customHeight="1">
      <c r="A12" s="181" t="s">
        <v>33</v>
      </c>
      <c r="B12" s="178" t="s">
        <v>295</v>
      </c>
      <c r="C12" s="11"/>
      <c r="D12" s="11"/>
      <c r="E12" s="11"/>
      <c r="F12" s="11"/>
      <c r="G12" s="11"/>
      <c r="H12" s="11"/>
      <c r="I12" s="5"/>
      <c r="K12" s="5"/>
      <c r="L12" s="5"/>
    </row>
    <row r="13" ht="15.0" customHeight="1">
      <c r="A13" s="177" t="s">
        <v>38</v>
      </c>
      <c r="B13" s="178" t="s">
        <v>296</v>
      </c>
      <c r="C13" s="11"/>
      <c r="D13" s="11"/>
      <c r="E13" s="11"/>
      <c r="F13" s="11"/>
      <c r="G13" s="11"/>
      <c r="H13" s="11"/>
      <c r="I13" s="5"/>
      <c r="K13" s="5"/>
      <c r="L13" s="5"/>
    </row>
    <row r="14" ht="15.0" customHeight="1">
      <c r="A14" s="181" t="s">
        <v>118</v>
      </c>
      <c r="B14" s="178" t="s">
        <v>297</v>
      </c>
      <c r="C14" s="11"/>
      <c r="D14" s="11"/>
      <c r="E14" s="11"/>
      <c r="F14" s="11"/>
      <c r="G14" s="11"/>
      <c r="H14" s="11"/>
      <c r="I14" s="5"/>
      <c r="K14" s="5"/>
      <c r="L14" s="5"/>
    </row>
    <row r="15" ht="15.0" customHeight="1">
      <c r="A15" s="177" t="s">
        <v>120</v>
      </c>
      <c r="B15" s="178" t="s">
        <v>298</v>
      </c>
      <c r="C15" s="11"/>
      <c r="D15" s="11"/>
      <c r="E15" s="11"/>
      <c r="F15" s="11"/>
      <c r="G15" s="11"/>
      <c r="H15" s="11"/>
      <c r="I15" s="5"/>
      <c r="K15" s="5"/>
      <c r="L15" s="5"/>
    </row>
    <row r="16" ht="15.0" customHeight="1">
      <c r="A16" s="181" t="s">
        <v>122</v>
      </c>
      <c r="B16" s="178" t="s">
        <v>299</v>
      </c>
      <c r="C16" s="11"/>
      <c r="D16" s="11"/>
      <c r="E16" s="11"/>
      <c r="F16" s="11"/>
      <c r="G16" s="11"/>
      <c r="H16" s="11"/>
      <c r="I16" s="5"/>
      <c r="K16" s="5"/>
      <c r="L16" s="5"/>
    </row>
    <row r="17" ht="15.0" customHeight="1">
      <c r="A17" s="177" t="s">
        <v>95</v>
      </c>
      <c r="B17" s="178" t="s">
        <v>300</v>
      </c>
      <c r="C17" s="11"/>
      <c r="D17" s="11"/>
      <c r="E17" s="11"/>
      <c r="F17" s="11"/>
      <c r="G17" s="11"/>
      <c r="H17" s="11"/>
      <c r="I17" s="5"/>
      <c r="K17" s="5"/>
      <c r="L17" s="5"/>
    </row>
    <row r="18" ht="15.0" customHeight="1">
      <c r="A18" s="181" t="s">
        <v>44</v>
      </c>
      <c r="B18" s="178" t="s">
        <v>301</v>
      </c>
      <c r="C18" s="11"/>
      <c r="D18" s="11"/>
      <c r="E18" s="11"/>
      <c r="F18" s="11"/>
      <c r="G18" s="11"/>
      <c r="H18" s="11"/>
      <c r="I18" s="5"/>
      <c r="K18" s="5"/>
      <c r="L18" s="5"/>
    </row>
    <row r="19" ht="15.0" customHeight="1">
      <c r="A19" s="177" t="s">
        <v>52</v>
      </c>
      <c r="B19" s="178" t="s">
        <v>302</v>
      </c>
      <c r="C19" s="11"/>
      <c r="D19" s="11"/>
      <c r="E19" s="11"/>
      <c r="F19" s="11"/>
      <c r="G19" s="11"/>
      <c r="H19" s="11"/>
      <c r="I19" s="5"/>
      <c r="K19" s="5"/>
      <c r="L19" s="5"/>
    </row>
    <row r="20" ht="15.0" customHeight="1">
      <c r="A20" s="181" t="s">
        <v>42</v>
      </c>
      <c r="B20" s="178" t="s">
        <v>303</v>
      </c>
      <c r="C20" s="11"/>
      <c r="D20" s="11"/>
      <c r="E20" s="11"/>
      <c r="F20" s="11"/>
      <c r="G20" s="11"/>
      <c r="H20" s="11"/>
      <c r="I20" s="5"/>
      <c r="K20" s="5"/>
      <c r="L20" s="5"/>
    </row>
    <row r="21" ht="15.0" customHeight="1">
      <c r="A21" s="177" t="s">
        <v>127</v>
      </c>
      <c r="B21" s="178" t="s">
        <v>304</v>
      </c>
      <c r="C21" s="11"/>
      <c r="D21" s="11"/>
      <c r="E21" s="11"/>
      <c r="F21" s="11"/>
      <c r="G21" s="11"/>
      <c r="H21" s="11"/>
      <c r="I21" s="5"/>
      <c r="K21" s="5"/>
      <c r="L21" s="5"/>
    </row>
    <row r="22" ht="15.0" customHeight="1">
      <c r="A22" s="181" t="s">
        <v>69</v>
      </c>
      <c r="B22" s="178" t="s">
        <v>305</v>
      </c>
      <c r="C22" s="11"/>
      <c r="D22" s="11"/>
      <c r="E22" s="11"/>
      <c r="F22" s="11"/>
      <c r="G22" s="11"/>
      <c r="H22" s="11"/>
      <c r="I22" s="5"/>
      <c r="K22" s="5"/>
      <c r="L22" s="5"/>
    </row>
    <row r="23" ht="15.0" customHeight="1">
      <c r="A23" s="177" t="s">
        <v>27</v>
      </c>
      <c r="B23" s="178" t="s">
        <v>307</v>
      </c>
      <c r="C23" s="11"/>
      <c r="D23" s="11"/>
      <c r="E23" s="11"/>
      <c r="F23" s="11"/>
      <c r="G23" s="11"/>
      <c r="H23" s="11"/>
      <c r="I23" s="5"/>
      <c r="K23" s="5"/>
      <c r="L23" s="5"/>
    </row>
    <row r="24" ht="15.0" customHeight="1">
      <c r="A24" s="181" t="s">
        <v>308</v>
      </c>
      <c r="B24" s="178" t="s">
        <v>309</v>
      </c>
      <c r="C24" s="11"/>
      <c r="D24" s="11"/>
      <c r="E24" s="11"/>
      <c r="F24" s="11"/>
      <c r="G24" s="11"/>
      <c r="H24" s="11"/>
      <c r="I24" s="5"/>
      <c r="K24" s="5"/>
      <c r="L24" s="5"/>
    </row>
    <row r="25" ht="15.0" customHeight="1">
      <c r="A25" s="177" t="s">
        <v>98</v>
      </c>
      <c r="B25" s="178" t="s">
        <v>310</v>
      </c>
      <c r="C25" s="11"/>
      <c r="D25" s="11"/>
      <c r="E25" s="11"/>
      <c r="F25" s="11"/>
      <c r="G25" s="11"/>
      <c r="H25" s="11"/>
      <c r="I25" s="5"/>
      <c r="K25" s="5"/>
      <c r="L25" s="5"/>
    </row>
    <row r="26" ht="15.0" customHeight="1">
      <c r="A26" s="181" t="s">
        <v>311</v>
      </c>
      <c r="B26" s="178" t="s">
        <v>312</v>
      </c>
      <c r="C26" s="11"/>
      <c r="D26" s="11"/>
      <c r="E26" s="11"/>
      <c r="F26" s="11"/>
      <c r="G26" s="11"/>
      <c r="H26" s="11"/>
      <c r="I26" s="5"/>
      <c r="K26" s="5"/>
      <c r="L26" s="5"/>
    </row>
    <row r="27" ht="15.0" customHeight="1">
      <c r="A27" s="177" t="s">
        <v>47</v>
      </c>
      <c r="B27" s="178" t="s">
        <v>313</v>
      </c>
      <c r="C27" s="11"/>
      <c r="D27" s="11"/>
      <c r="E27" s="11"/>
      <c r="F27" s="11"/>
      <c r="G27" s="11"/>
      <c r="H27" s="11"/>
      <c r="I27" s="5"/>
      <c r="K27" s="5"/>
      <c r="L27" s="5"/>
    </row>
    <row r="28" ht="15.0" customHeight="1">
      <c r="A28" s="181" t="s">
        <v>104</v>
      </c>
      <c r="B28" s="178" t="s">
        <v>314</v>
      </c>
      <c r="C28" s="11"/>
      <c r="D28" s="11"/>
      <c r="E28" s="11"/>
      <c r="F28" s="11"/>
      <c r="G28" s="11"/>
      <c r="H28" s="11"/>
      <c r="I28" s="5"/>
      <c r="K28" s="5"/>
      <c r="L28" s="5"/>
    </row>
    <row r="29" ht="15.0" customHeight="1">
      <c r="A29" s="177" t="s">
        <v>152</v>
      </c>
      <c r="B29" s="178"/>
      <c r="C29" s="11"/>
      <c r="D29" s="11"/>
      <c r="E29" s="11"/>
      <c r="F29" s="11"/>
      <c r="G29" s="11"/>
      <c r="H29" s="11"/>
      <c r="I29" s="5"/>
      <c r="K29" s="5"/>
      <c r="L29" s="5"/>
    </row>
    <row r="30" ht="15.0" customHeight="1">
      <c r="A30" s="181"/>
      <c r="B30" s="178"/>
      <c r="C30" s="11"/>
      <c r="D30" s="11"/>
      <c r="E30" s="11"/>
      <c r="F30" s="11"/>
      <c r="G30" s="11"/>
      <c r="H30" s="11"/>
      <c r="I30" s="5"/>
      <c r="K30" s="5"/>
      <c r="L30" s="5"/>
    </row>
    <row r="31" ht="15.0" customHeight="1">
      <c r="A31" s="177"/>
      <c r="B31" s="178"/>
      <c r="C31" s="11"/>
      <c r="D31" s="11"/>
      <c r="E31" s="11"/>
      <c r="F31" s="11"/>
      <c r="G31" s="11"/>
      <c r="H31" s="11"/>
      <c r="I31" s="5"/>
      <c r="K31" s="5"/>
      <c r="L31" s="5"/>
    </row>
    <row r="32" ht="15.0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5"/>
      <c r="L32" s="5"/>
    </row>
    <row r="33" ht="15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15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ht="15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15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15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15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15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15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ht="15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15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5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15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15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ht="15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ht="15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15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ht="15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15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ht="15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15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5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ht="15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ht="15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ht="15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ht="15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ht="15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ht="15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15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ht="15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ht="15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ht="15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ht="15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15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ht="15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ht="15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15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ht="15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ht="15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ht="15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ht="15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ht="15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ht="15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ht="15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ht="15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ht="15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ht="15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ht="15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ht="15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ht="15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ht="15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ht="15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ht="15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ht="15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ht="15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ht="15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ht="15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ht="15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ht="15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ht="15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ht="15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ht="15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ht="15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ht="15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ht="15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ht="15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ht="15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ht="15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ht="15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ht="15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ht="15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ht="15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ht="15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ht="15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ht="15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ht="15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ht="15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ht="15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ht="15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5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5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5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5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5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5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5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5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5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5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5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5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5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5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5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5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5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5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5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5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5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5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5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5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5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5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5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5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5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5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5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5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5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5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5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5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5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5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5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5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5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5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5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5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5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5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5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5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5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5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5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5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5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5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5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5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5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5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5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5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5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5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5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5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5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5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5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5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5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5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5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5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5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5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5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5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5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5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5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5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5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5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5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5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5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5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5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5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5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5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5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5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5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5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5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5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5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5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5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5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5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5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5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5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5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5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5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K230" s="5"/>
      <c r="L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K231" s="5"/>
      <c r="L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K232" s="5"/>
      <c r="L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K233" s="5"/>
      <c r="L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K234" s="5"/>
      <c r="L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K235" s="5"/>
      <c r="L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K236" s="5"/>
      <c r="L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K237" s="5"/>
      <c r="L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K238" s="5"/>
      <c r="L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K239" s="5"/>
      <c r="L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K240" s="5"/>
      <c r="L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K241" s="5"/>
      <c r="L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K242" s="5"/>
      <c r="L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K243" s="5"/>
      <c r="L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K244" s="5"/>
      <c r="L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K245" s="5"/>
      <c r="L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K246" s="5"/>
      <c r="L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K247" s="5"/>
      <c r="L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K248" s="5"/>
      <c r="L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K249" s="5"/>
      <c r="L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K250" s="5"/>
      <c r="L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K251" s="5"/>
      <c r="L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K252" s="5"/>
      <c r="L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K253" s="5"/>
      <c r="L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K254" s="5"/>
      <c r="L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K255" s="5"/>
      <c r="L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K256" s="5"/>
      <c r="L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K257" s="5"/>
      <c r="L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K258" s="5"/>
      <c r="L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K259" s="5"/>
      <c r="L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K260" s="5"/>
      <c r="L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K261" s="5"/>
      <c r="L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K262" s="5"/>
      <c r="L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K263" s="5"/>
      <c r="L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K264" s="5"/>
      <c r="L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K265" s="5"/>
      <c r="L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K266" s="5"/>
      <c r="L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K267" s="5"/>
      <c r="L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K268" s="5"/>
      <c r="L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K269" s="5"/>
      <c r="L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K270" s="5"/>
      <c r="L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K271" s="5"/>
      <c r="L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K272" s="5"/>
      <c r="L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K273" s="5"/>
      <c r="L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K274" s="5"/>
      <c r="L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K275" s="5"/>
      <c r="L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K276" s="5"/>
      <c r="L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K277" s="5"/>
      <c r="L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K278" s="5"/>
      <c r="L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K279" s="5"/>
      <c r="L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K280" s="5"/>
      <c r="L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K281" s="5"/>
      <c r="L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K282" s="5"/>
      <c r="L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K283" s="5"/>
      <c r="L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K284" s="5"/>
      <c r="L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K285" s="5"/>
      <c r="L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K286" s="5"/>
      <c r="L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K287" s="5"/>
      <c r="L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K288" s="5"/>
      <c r="L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K289" s="5"/>
      <c r="L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K290" s="5"/>
      <c r="L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K291" s="5"/>
      <c r="L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K292" s="5"/>
      <c r="L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K293" s="5"/>
      <c r="L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K294" s="5"/>
      <c r="L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K295" s="5"/>
      <c r="L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K296" s="5"/>
      <c r="L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K297" s="5"/>
      <c r="L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K298" s="5"/>
      <c r="L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K299" s="5"/>
      <c r="L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K300" s="5"/>
      <c r="L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K301" s="5"/>
      <c r="L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K302" s="5"/>
      <c r="L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K303" s="5"/>
      <c r="L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K304" s="5"/>
      <c r="L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K305" s="5"/>
      <c r="L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K306" s="5"/>
      <c r="L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K307" s="5"/>
      <c r="L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K308" s="5"/>
      <c r="L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K309" s="5"/>
      <c r="L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K310" s="5"/>
      <c r="L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K311" s="5"/>
      <c r="L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K312" s="5"/>
      <c r="L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K313" s="5"/>
      <c r="L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K314" s="5"/>
      <c r="L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K315" s="5"/>
      <c r="L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K316" s="5"/>
      <c r="L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K317" s="5"/>
      <c r="L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K318" s="5"/>
      <c r="L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K319" s="5"/>
      <c r="L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K320" s="5"/>
      <c r="L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K321" s="5"/>
      <c r="L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K322" s="5"/>
      <c r="L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K323" s="5"/>
      <c r="L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K324" s="5"/>
      <c r="L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K325" s="5"/>
      <c r="L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K326" s="5"/>
      <c r="L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K327" s="5"/>
      <c r="L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K328" s="5"/>
      <c r="L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K329" s="5"/>
      <c r="L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K330" s="5"/>
      <c r="L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K331" s="5"/>
      <c r="L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K332" s="5"/>
      <c r="L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K333" s="5"/>
      <c r="L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K334" s="5"/>
      <c r="L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K335" s="5"/>
      <c r="L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K336" s="5"/>
      <c r="L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K337" s="5"/>
      <c r="L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K338" s="5"/>
      <c r="L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K339" s="5"/>
      <c r="L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K340" s="5"/>
      <c r="L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K341" s="5"/>
      <c r="L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K342" s="5"/>
      <c r="L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K343" s="5"/>
      <c r="L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K344" s="5"/>
      <c r="L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K345" s="5"/>
      <c r="L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K346" s="5"/>
      <c r="L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K347" s="5"/>
      <c r="L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K348" s="5"/>
      <c r="L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K349" s="5"/>
      <c r="L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K350" s="5"/>
      <c r="L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K351" s="5"/>
      <c r="L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K352" s="5"/>
      <c r="L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K353" s="5"/>
      <c r="L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K354" s="5"/>
      <c r="L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K355" s="5"/>
      <c r="L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K356" s="5"/>
      <c r="L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K357" s="5"/>
      <c r="L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K358" s="5"/>
      <c r="L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K359" s="5"/>
      <c r="L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K360" s="5"/>
      <c r="L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K361" s="5"/>
      <c r="L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K362" s="5"/>
      <c r="L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K363" s="5"/>
      <c r="L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K364" s="5"/>
      <c r="L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K365" s="5"/>
      <c r="L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K366" s="5"/>
      <c r="L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K367" s="5"/>
      <c r="L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K368" s="5"/>
      <c r="L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K369" s="5"/>
      <c r="L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K370" s="5"/>
      <c r="L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K371" s="5"/>
      <c r="L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K372" s="5"/>
      <c r="L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K373" s="5"/>
      <c r="L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K374" s="5"/>
      <c r="L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K375" s="5"/>
      <c r="L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K376" s="5"/>
      <c r="L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K377" s="5"/>
      <c r="L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K378" s="5"/>
      <c r="L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K379" s="5"/>
      <c r="L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K380" s="5"/>
      <c r="L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K381" s="5"/>
      <c r="L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K382" s="5"/>
      <c r="L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K383" s="5"/>
      <c r="L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K384" s="5"/>
      <c r="L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K385" s="5"/>
      <c r="L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K386" s="5"/>
      <c r="L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K387" s="5"/>
      <c r="L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K388" s="5"/>
      <c r="L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K389" s="5"/>
      <c r="L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K390" s="5"/>
      <c r="L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K391" s="5"/>
      <c r="L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K392" s="5"/>
      <c r="L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K393" s="5"/>
      <c r="L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K394" s="5"/>
      <c r="L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K395" s="5"/>
      <c r="L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K396" s="5"/>
      <c r="L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K397" s="5"/>
      <c r="L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K398" s="5"/>
      <c r="L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K399" s="5"/>
      <c r="L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K400" s="5"/>
      <c r="L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K401" s="5"/>
      <c r="L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K402" s="5"/>
      <c r="L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K403" s="5"/>
      <c r="L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K404" s="5"/>
      <c r="L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K405" s="5"/>
      <c r="L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K406" s="5"/>
      <c r="L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K407" s="5"/>
      <c r="L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K408" s="5"/>
      <c r="L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K409" s="5"/>
      <c r="L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K410" s="5"/>
      <c r="L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K411" s="5"/>
      <c r="L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K412" s="5"/>
      <c r="L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K413" s="5"/>
      <c r="L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K414" s="5"/>
      <c r="L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K415" s="5"/>
      <c r="L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K416" s="5"/>
      <c r="L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K417" s="5"/>
      <c r="L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K418" s="5"/>
      <c r="L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K419" s="5"/>
      <c r="L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K420" s="5"/>
      <c r="L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K421" s="5"/>
      <c r="L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K422" s="5"/>
      <c r="L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K423" s="5"/>
      <c r="L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K424" s="5"/>
      <c r="L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K425" s="5"/>
      <c r="L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K426" s="5"/>
      <c r="L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K427" s="5"/>
      <c r="L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K428" s="5"/>
      <c r="L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K429" s="5"/>
      <c r="L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K430" s="5"/>
      <c r="L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K431" s="5"/>
      <c r="L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K432" s="5"/>
      <c r="L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K433" s="5"/>
      <c r="L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K434" s="5"/>
      <c r="L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K435" s="5"/>
      <c r="L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K436" s="5"/>
      <c r="L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K437" s="5"/>
      <c r="L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K438" s="5"/>
      <c r="L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K439" s="5"/>
      <c r="L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K440" s="5"/>
      <c r="L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K441" s="5"/>
      <c r="L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K442" s="5"/>
      <c r="L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K443" s="5"/>
      <c r="L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K444" s="5"/>
      <c r="L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K445" s="5"/>
      <c r="L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K446" s="5"/>
      <c r="L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K447" s="5"/>
      <c r="L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K448" s="5"/>
      <c r="L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K449" s="5"/>
      <c r="L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K450" s="5"/>
      <c r="L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K451" s="5"/>
      <c r="L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K452" s="5"/>
      <c r="L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K453" s="5"/>
      <c r="L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K454" s="5"/>
      <c r="L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K455" s="5"/>
      <c r="L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K456" s="5"/>
      <c r="L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K457" s="5"/>
      <c r="L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K458" s="5"/>
      <c r="L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K459" s="5"/>
      <c r="L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K460" s="5"/>
      <c r="L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K461" s="5"/>
      <c r="L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K462" s="5"/>
      <c r="L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K463" s="5"/>
      <c r="L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K464" s="5"/>
      <c r="L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K465" s="5"/>
      <c r="L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K466" s="5"/>
      <c r="L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K467" s="5"/>
      <c r="L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K468" s="5"/>
      <c r="L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K469" s="5"/>
      <c r="L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K470" s="5"/>
      <c r="L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K471" s="5"/>
      <c r="L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K472" s="5"/>
      <c r="L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K473" s="5"/>
      <c r="L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K474" s="5"/>
      <c r="L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K475" s="5"/>
      <c r="L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K476" s="5"/>
      <c r="L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K477" s="5"/>
      <c r="L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K478" s="5"/>
      <c r="L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K479" s="5"/>
      <c r="L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K480" s="5"/>
      <c r="L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K481" s="5"/>
      <c r="L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K482" s="5"/>
      <c r="L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K483" s="5"/>
      <c r="L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K484" s="5"/>
      <c r="L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K485" s="5"/>
      <c r="L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K486" s="5"/>
      <c r="L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K487" s="5"/>
      <c r="L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K488" s="5"/>
      <c r="L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K489" s="5"/>
      <c r="L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K490" s="5"/>
      <c r="L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K491" s="5"/>
      <c r="L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K492" s="5"/>
      <c r="L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K493" s="5"/>
      <c r="L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K494" s="5"/>
      <c r="L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K495" s="5"/>
      <c r="L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K496" s="5"/>
      <c r="L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K497" s="5"/>
      <c r="L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K498" s="5"/>
      <c r="L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K499" s="5"/>
      <c r="L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K500" s="5"/>
      <c r="L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K501" s="5"/>
      <c r="L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K502" s="5"/>
      <c r="L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K503" s="5"/>
      <c r="L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K504" s="5"/>
      <c r="L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K505" s="5"/>
      <c r="L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K506" s="5"/>
      <c r="L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K507" s="5"/>
      <c r="L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K508" s="5"/>
      <c r="L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K509" s="5"/>
      <c r="L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K510" s="5"/>
      <c r="L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K511" s="5"/>
      <c r="L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K512" s="5"/>
      <c r="L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K513" s="5"/>
      <c r="L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K514" s="5"/>
      <c r="L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K515" s="5"/>
      <c r="L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K516" s="5"/>
      <c r="L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K517" s="5"/>
      <c r="L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K518" s="5"/>
      <c r="L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K519" s="5"/>
      <c r="L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K520" s="5"/>
      <c r="L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K521" s="5"/>
      <c r="L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K522" s="5"/>
      <c r="L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K523" s="5"/>
      <c r="L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K524" s="5"/>
      <c r="L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K525" s="5"/>
      <c r="L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K526" s="5"/>
      <c r="L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K527" s="5"/>
      <c r="L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K528" s="5"/>
      <c r="L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K529" s="5"/>
      <c r="L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K530" s="5"/>
      <c r="L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K531" s="5"/>
      <c r="L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K532" s="5"/>
      <c r="L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K533" s="5"/>
      <c r="L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K534" s="5"/>
      <c r="L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K535" s="5"/>
      <c r="L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K536" s="5"/>
      <c r="L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K537" s="5"/>
      <c r="L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K538" s="5"/>
      <c r="L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K539" s="5"/>
      <c r="L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K540" s="5"/>
      <c r="L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K541" s="5"/>
      <c r="L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K542" s="5"/>
      <c r="L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K543" s="5"/>
      <c r="L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K544" s="5"/>
      <c r="L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K545" s="5"/>
      <c r="L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K546" s="5"/>
      <c r="L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K547" s="5"/>
      <c r="L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K548" s="5"/>
      <c r="L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K549" s="5"/>
      <c r="L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K550" s="5"/>
      <c r="L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K551" s="5"/>
      <c r="L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K552" s="5"/>
      <c r="L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K553" s="5"/>
      <c r="L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K554" s="5"/>
      <c r="L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K555" s="5"/>
      <c r="L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K556" s="5"/>
      <c r="L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K557" s="5"/>
      <c r="L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K558" s="5"/>
      <c r="L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K559" s="5"/>
      <c r="L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K560" s="5"/>
      <c r="L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K561" s="5"/>
      <c r="L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K562" s="5"/>
      <c r="L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K563" s="5"/>
      <c r="L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K564" s="5"/>
      <c r="L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K565" s="5"/>
      <c r="L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K566" s="5"/>
      <c r="L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K567" s="5"/>
      <c r="L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K568" s="5"/>
      <c r="L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K569" s="5"/>
      <c r="L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K570" s="5"/>
      <c r="L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K571" s="5"/>
      <c r="L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K572" s="5"/>
      <c r="L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K573" s="5"/>
      <c r="L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K574" s="5"/>
      <c r="L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K575" s="5"/>
      <c r="L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K576" s="5"/>
      <c r="L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K577" s="5"/>
      <c r="L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K578" s="5"/>
      <c r="L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K579" s="5"/>
      <c r="L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K580" s="5"/>
      <c r="L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K581" s="5"/>
      <c r="L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K582" s="5"/>
      <c r="L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K583" s="5"/>
      <c r="L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K584" s="5"/>
      <c r="L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K585" s="5"/>
      <c r="L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K586" s="5"/>
      <c r="L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K587" s="5"/>
      <c r="L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K588" s="5"/>
      <c r="L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K589" s="5"/>
      <c r="L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K590" s="5"/>
      <c r="L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K591" s="5"/>
      <c r="L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K592" s="5"/>
      <c r="L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K593" s="5"/>
      <c r="L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K594" s="5"/>
      <c r="L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K595" s="5"/>
      <c r="L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K596" s="5"/>
      <c r="L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K597" s="5"/>
      <c r="L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K598" s="5"/>
      <c r="L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K599" s="5"/>
      <c r="L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K600" s="5"/>
      <c r="L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K601" s="5"/>
      <c r="L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K602" s="5"/>
      <c r="L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K603" s="5"/>
      <c r="L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K604" s="5"/>
      <c r="L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K605" s="5"/>
      <c r="L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K606" s="5"/>
      <c r="L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K607" s="5"/>
      <c r="L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K608" s="5"/>
      <c r="L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K609" s="5"/>
      <c r="L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K610" s="5"/>
      <c r="L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K611" s="5"/>
      <c r="L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K612" s="5"/>
      <c r="L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K613" s="5"/>
      <c r="L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K614" s="5"/>
      <c r="L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K615" s="5"/>
      <c r="L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K616" s="5"/>
      <c r="L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K617" s="5"/>
      <c r="L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K618" s="5"/>
      <c r="L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K619" s="5"/>
      <c r="L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K620" s="5"/>
      <c r="L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K621" s="5"/>
      <c r="L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K622" s="5"/>
      <c r="L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K623" s="5"/>
      <c r="L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K624" s="5"/>
      <c r="L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K625" s="5"/>
      <c r="L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K626" s="5"/>
      <c r="L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K627" s="5"/>
      <c r="L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K628" s="5"/>
      <c r="L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K629" s="5"/>
      <c r="L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K630" s="5"/>
      <c r="L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K631" s="5"/>
      <c r="L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K632" s="5"/>
      <c r="L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K633" s="5"/>
      <c r="L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K634" s="5"/>
      <c r="L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K635" s="5"/>
      <c r="L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K636" s="5"/>
      <c r="L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K637" s="5"/>
      <c r="L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K638" s="5"/>
      <c r="L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K639" s="5"/>
      <c r="L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K640" s="5"/>
      <c r="L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K641" s="5"/>
      <c r="L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K642" s="5"/>
      <c r="L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K643" s="5"/>
      <c r="L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K644" s="5"/>
      <c r="L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K645" s="5"/>
      <c r="L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K646" s="5"/>
      <c r="L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K647" s="5"/>
      <c r="L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K648" s="5"/>
      <c r="L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K649" s="5"/>
      <c r="L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K650" s="5"/>
      <c r="L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K651" s="5"/>
      <c r="L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K652" s="5"/>
      <c r="L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K653" s="5"/>
      <c r="L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K654" s="5"/>
      <c r="L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K655" s="5"/>
      <c r="L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K656" s="5"/>
      <c r="L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K657" s="5"/>
      <c r="L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K658" s="5"/>
      <c r="L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K659" s="5"/>
      <c r="L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K660" s="5"/>
      <c r="L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K661" s="5"/>
      <c r="L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K662" s="5"/>
      <c r="L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K663" s="5"/>
      <c r="L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K664" s="5"/>
      <c r="L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K665" s="5"/>
      <c r="L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K666" s="5"/>
      <c r="L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K667" s="5"/>
      <c r="L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K668" s="5"/>
      <c r="L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K669" s="5"/>
      <c r="L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K670" s="5"/>
      <c r="L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K671" s="5"/>
      <c r="L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K672" s="5"/>
      <c r="L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K673" s="5"/>
      <c r="L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K674" s="5"/>
      <c r="L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K675" s="5"/>
      <c r="L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K676" s="5"/>
      <c r="L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K677" s="5"/>
      <c r="L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K678" s="5"/>
      <c r="L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K679" s="5"/>
      <c r="L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K680" s="5"/>
      <c r="L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K681" s="5"/>
      <c r="L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K682" s="5"/>
      <c r="L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K683" s="5"/>
      <c r="L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K684" s="5"/>
      <c r="L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K685" s="5"/>
      <c r="L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K686" s="5"/>
      <c r="L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K687" s="5"/>
      <c r="L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K688" s="5"/>
      <c r="L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K689" s="5"/>
      <c r="L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K690" s="5"/>
      <c r="L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K691" s="5"/>
      <c r="L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K692" s="5"/>
      <c r="L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K693" s="5"/>
      <c r="L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K694" s="5"/>
      <c r="L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K695" s="5"/>
      <c r="L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K696" s="5"/>
      <c r="L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K697" s="5"/>
      <c r="L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K698" s="5"/>
      <c r="L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K699" s="5"/>
      <c r="L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K700" s="5"/>
      <c r="L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K701" s="5"/>
      <c r="L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K702" s="5"/>
      <c r="L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K703" s="5"/>
      <c r="L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K704" s="5"/>
      <c r="L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K705" s="5"/>
      <c r="L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K706" s="5"/>
      <c r="L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K707" s="5"/>
      <c r="L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K708" s="5"/>
      <c r="L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K709" s="5"/>
      <c r="L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K710" s="5"/>
      <c r="L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K711" s="5"/>
      <c r="L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K712" s="5"/>
      <c r="L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K713" s="5"/>
      <c r="L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K714" s="5"/>
      <c r="L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K715" s="5"/>
      <c r="L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K716" s="5"/>
      <c r="L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K717" s="5"/>
      <c r="L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K718" s="5"/>
      <c r="L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K719" s="5"/>
      <c r="L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K720" s="5"/>
      <c r="L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K721" s="5"/>
      <c r="L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K722" s="5"/>
      <c r="L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K723" s="5"/>
      <c r="L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K724" s="5"/>
      <c r="L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K725" s="5"/>
      <c r="L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K726" s="5"/>
      <c r="L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K727" s="5"/>
      <c r="L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K728" s="5"/>
      <c r="L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K729" s="5"/>
      <c r="L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K730" s="5"/>
      <c r="L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K731" s="5"/>
      <c r="L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K732" s="5"/>
      <c r="L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K733" s="5"/>
      <c r="L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K734" s="5"/>
      <c r="L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K735" s="5"/>
      <c r="L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K736" s="5"/>
      <c r="L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K737" s="5"/>
      <c r="L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K738" s="5"/>
      <c r="L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K739" s="5"/>
      <c r="L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K740" s="5"/>
      <c r="L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K741" s="5"/>
      <c r="L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K742" s="5"/>
      <c r="L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K743" s="5"/>
      <c r="L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K744" s="5"/>
      <c r="L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K745" s="5"/>
      <c r="L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K746" s="5"/>
      <c r="L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K747" s="5"/>
      <c r="L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K748" s="5"/>
      <c r="L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K749" s="5"/>
      <c r="L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K750" s="5"/>
      <c r="L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K751" s="5"/>
      <c r="L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K752" s="5"/>
      <c r="L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K753" s="5"/>
      <c r="L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K754" s="5"/>
      <c r="L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K755" s="5"/>
      <c r="L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K756" s="5"/>
      <c r="L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K757" s="5"/>
      <c r="L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K758" s="5"/>
      <c r="L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K759" s="5"/>
      <c r="L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K760" s="5"/>
      <c r="L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K761" s="5"/>
      <c r="L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K762" s="5"/>
      <c r="L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K763" s="5"/>
      <c r="L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K764" s="5"/>
      <c r="L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K765" s="5"/>
      <c r="L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K766" s="5"/>
      <c r="L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K767" s="5"/>
      <c r="L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K768" s="5"/>
      <c r="L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K769" s="5"/>
      <c r="L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K770" s="5"/>
      <c r="L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K771" s="5"/>
      <c r="L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K772" s="5"/>
      <c r="L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K773" s="5"/>
      <c r="L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K774" s="5"/>
      <c r="L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K775" s="5"/>
      <c r="L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K776" s="5"/>
      <c r="L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K777" s="5"/>
      <c r="L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K778" s="5"/>
      <c r="L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K779" s="5"/>
      <c r="L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K780" s="5"/>
      <c r="L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K781" s="5"/>
      <c r="L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K782" s="5"/>
      <c r="L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K783" s="5"/>
      <c r="L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K784" s="5"/>
      <c r="L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K785" s="5"/>
      <c r="L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K786" s="5"/>
      <c r="L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K787" s="5"/>
      <c r="L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K788" s="5"/>
      <c r="L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K789" s="5"/>
      <c r="L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K790" s="5"/>
      <c r="L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K791" s="5"/>
      <c r="L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K792" s="5"/>
      <c r="L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K793" s="5"/>
      <c r="L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K794" s="5"/>
      <c r="L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K795" s="5"/>
      <c r="L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K796" s="5"/>
      <c r="L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K797" s="5"/>
      <c r="L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K798" s="5"/>
      <c r="L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K799" s="5"/>
      <c r="L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K800" s="5"/>
      <c r="L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K801" s="5"/>
      <c r="L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K802" s="5"/>
      <c r="L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K803" s="5"/>
      <c r="L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K804" s="5"/>
      <c r="L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K805" s="5"/>
      <c r="L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K806" s="5"/>
      <c r="L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K807" s="5"/>
      <c r="L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K808" s="5"/>
      <c r="L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K809" s="5"/>
      <c r="L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K810" s="5"/>
      <c r="L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K811" s="5"/>
      <c r="L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K812" s="5"/>
      <c r="L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K813" s="5"/>
      <c r="L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K814" s="5"/>
      <c r="L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K815" s="5"/>
      <c r="L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K816" s="5"/>
      <c r="L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K817" s="5"/>
      <c r="L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K818" s="5"/>
      <c r="L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K819" s="5"/>
      <c r="L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K820" s="5"/>
      <c r="L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K821" s="5"/>
      <c r="L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K822" s="5"/>
      <c r="L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K823" s="5"/>
      <c r="L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K824" s="5"/>
      <c r="L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K825" s="5"/>
      <c r="L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K826" s="5"/>
      <c r="L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K827" s="5"/>
      <c r="L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K828" s="5"/>
      <c r="L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K829" s="5"/>
      <c r="L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K830" s="5"/>
      <c r="L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K831" s="5"/>
      <c r="L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K832" s="5"/>
      <c r="L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K833" s="5"/>
      <c r="L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K834" s="5"/>
      <c r="L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K835" s="5"/>
      <c r="L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K836" s="5"/>
      <c r="L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K837" s="5"/>
      <c r="L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K838" s="5"/>
      <c r="L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K839" s="5"/>
      <c r="L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K840" s="5"/>
      <c r="L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K841" s="5"/>
      <c r="L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K842" s="5"/>
      <c r="L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K843" s="5"/>
      <c r="L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K844" s="5"/>
      <c r="L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K845" s="5"/>
      <c r="L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K846" s="5"/>
      <c r="L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K847" s="5"/>
      <c r="L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K848" s="5"/>
      <c r="L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K849" s="5"/>
      <c r="L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K850" s="5"/>
      <c r="L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K851" s="5"/>
      <c r="L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K852" s="5"/>
      <c r="L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K853" s="5"/>
      <c r="L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K854" s="5"/>
      <c r="L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K855" s="5"/>
      <c r="L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K856" s="5"/>
      <c r="L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K857" s="5"/>
      <c r="L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K858" s="5"/>
      <c r="L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K859" s="5"/>
      <c r="L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K860" s="5"/>
      <c r="L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K861" s="5"/>
      <c r="L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K862" s="5"/>
      <c r="L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K863" s="5"/>
      <c r="L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K864" s="5"/>
      <c r="L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K865" s="5"/>
      <c r="L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K866" s="5"/>
      <c r="L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K867" s="5"/>
      <c r="L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K868" s="5"/>
      <c r="L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K869" s="5"/>
      <c r="L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K870" s="5"/>
      <c r="L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K871" s="5"/>
      <c r="L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K872" s="5"/>
      <c r="L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K873" s="5"/>
      <c r="L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K874" s="5"/>
      <c r="L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K875" s="5"/>
      <c r="L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K876" s="5"/>
      <c r="L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K877" s="5"/>
      <c r="L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K878" s="5"/>
      <c r="L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K879" s="5"/>
      <c r="L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K880" s="5"/>
      <c r="L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K881" s="5"/>
      <c r="L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K882" s="5"/>
      <c r="L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K883" s="5"/>
      <c r="L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K884" s="5"/>
      <c r="L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K885" s="5"/>
      <c r="L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K886" s="5"/>
      <c r="L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K887" s="5"/>
      <c r="L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K888" s="5"/>
      <c r="L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K889" s="5"/>
      <c r="L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K890" s="5"/>
      <c r="L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K891" s="5"/>
      <c r="L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K892" s="5"/>
      <c r="L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K893" s="5"/>
      <c r="L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K894" s="5"/>
      <c r="L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K895" s="5"/>
      <c r="L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K896" s="5"/>
      <c r="L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K897" s="5"/>
      <c r="L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K898" s="5"/>
      <c r="L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K899" s="5"/>
      <c r="L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K900" s="5"/>
      <c r="L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K901" s="5"/>
      <c r="L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K902" s="5"/>
      <c r="L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K903" s="5"/>
      <c r="L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K904" s="5"/>
      <c r="L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K905" s="5"/>
      <c r="L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K906" s="5"/>
      <c r="L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K907" s="5"/>
      <c r="L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K908" s="5"/>
      <c r="L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K909" s="5"/>
      <c r="L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K910" s="5"/>
      <c r="L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K911" s="5"/>
      <c r="L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K912" s="5"/>
      <c r="L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K913" s="5"/>
      <c r="L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K914" s="5"/>
      <c r="L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K915" s="5"/>
      <c r="L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K916" s="5"/>
      <c r="L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K917" s="5"/>
      <c r="L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K918" s="5"/>
      <c r="L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K919" s="5"/>
      <c r="L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K920" s="5"/>
      <c r="L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K921" s="5"/>
      <c r="L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K922" s="5"/>
      <c r="L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K923" s="5"/>
      <c r="L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K924" s="5"/>
      <c r="L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K925" s="5"/>
      <c r="L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K926" s="5"/>
      <c r="L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K927" s="5"/>
      <c r="L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K928" s="5"/>
      <c r="L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K929" s="5"/>
      <c r="L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K930" s="5"/>
      <c r="L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K931" s="5"/>
      <c r="L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K932" s="5"/>
      <c r="L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K933" s="5"/>
      <c r="L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K934" s="5"/>
      <c r="L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K935" s="5"/>
      <c r="L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K936" s="5"/>
      <c r="L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K937" s="5"/>
      <c r="L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K938" s="5"/>
      <c r="L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K939" s="5"/>
      <c r="L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K940" s="5"/>
      <c r="L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K941" s="5"/>
      <c r="L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K942" s="5"/>
      <c r="L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K943" s="5"/>
      <c r="L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K944" s="5"/>
      <c r="L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K945" s="5"/>
      <c r="L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K946" s="5"/>
      <c r="L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K947" s="5"/>
      <c r="L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K948" s="5"/>
      <c r="L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K949" s="5"/>
      <c r="L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K950" s="5"/>
      <c r="L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K951" s="5"/>
      <c r="L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K952" s="5"/>
      <c r="L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K953" s="5"/>
      <c r="L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K954" s="5"/>
      <c r="L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K955" s="5"/>
      <c r="L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K956" s="5"/>
      <c r="L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K957" s="5"/>
      <c r="L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K958" s="5"/>
      <c r="L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K959" s="5"/>
      <c r="L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K960" s="5"/>
      <c r="L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K961" s="5"/>
      <c r="L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K962" s="5"/>
      <c r="L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K963" s="5"/>
      <c r="L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K964" s="5"/>
      <c r="L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K965" s="5"/>
      <c r="L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K966" s="5"/>
      <c r="L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K967" s="5"/>
      <c r="L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K968" s="5"/>
      <c r="L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K969" s="5"/>
      <c r="L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K970" s="5"/>
      <c r="L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K971" s="5"/>
      <c r="L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K972" s="5"/>
      <c r="L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K973" s="5"/>
      <c r="L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K974" s="5"/>
      <c r="L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K975" s="5"/>
      <c r="L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K976" s="5"/>
      <c r="L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K977" s="5"/>
      <c r="L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K978" s="5"/>
      <c r="L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K979" s="5"/>
      <c r="L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K980" s="5"/>
      <c r="L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K981" s="5"/>
      <c r="L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K982" s="5"/>
      <c r="L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K983" s="5"/>
      <c r="L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K984" s="5"/>
      <c r="L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K985" s="5"/>
      <c r="L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K986" s="5"/>
      <c r="L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K987" s="5"/>
      <c r="L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K988" s="5"/>
      <c r="L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K989" s="5"/>
      <c r="L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K990" s="5"/>
      <c r="L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K991" s="5"/>
      <c r="L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K992" s="5"/>
      <c r="L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K993" s="5"/>
      <c r="L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K994" s="5"/>
      <c r="L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K995" s="5"/>
      <c r="L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K996" s="5"/>
      <c r="L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K997" s="5"/>
      <c r="L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K998" s="5"/>
      <c r="L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K999" s="5"/>
      <c r="L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K1000" s="5"/>
      <c r="L1000" s="5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2026-09-12T10:52:46Z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
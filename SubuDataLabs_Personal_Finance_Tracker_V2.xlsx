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INCOME" sheetId="3" state="visible" r:id="rId3"/>
    <sheet xmlns:r="http://schemas.openxmlformats.org/officeDocument/2006/relationships" name="IN-HAND" sheetId="4" state="visible" r:id="rId4"/>
    <sheet xmlns:r="http://schemas.openxmlformats.org/officeDocument/2006/relationships" name="BUDGET TRACKER" sheetId="5" state="visible" r:id="rId5"/>
    <sheet xmlns:r="http://schemas.openxmlformats.org/officeDocument/2006/relationships" name="MONTHLY" sheetId="6" state="visible" r:id="rId6"/>
    <sheet xmlns:r="http://schemas.openxmlformats.org/officeDocument/2006/relationships" name="PORTFOLIO" sheetId="7" state="visible" r:id="rId7"/>
    <sheet xmlns:r="http://schemas.openxmlformats.org/officeDocument/2006/relationships" name="INVESTMENTS" sheetId="8" state="visible" r:id="rId8"/>
    <sheet xmlns:r="http://schemas.openxmlformats.org/officeDocument/2006/relationships" name="SETTINGS" sheetId="9" state="visible" r:id="rId9"/>
  </sheets>
  <definedNames>
    <definedName name="_xlnm._FilterDatabase" localSheetId="1" hidden="1">'EXPENSES'!$A$3:$G$999</definedName>
    <definedName name="_xlnm._FilterDatabase" localSheetId="2" hidden="1">'INCOME'!$A$3:$E$1001</definedName>
    <definedName name="_xlnm._FilterDatabase" localSheetId="3" hidden="1">'IN-HAND'!$A$3:$E$998</definedName>
    <definedName name="_xlnm._FilterDatabase" localSheetId="7" hidden="1">'INVESTMENTS'!$A$3:$L$277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dd\-mmm\-yy"/>
    <numFmt numFmtId="165" formatCode="\₹#,##0.00"/>
    <numFmt numFmtId="166" formatCode="\₹#,##0"/>
    <numFmt numFmtId="167" formatCode="mmm\-yy"/>
    <numFmt numFmtId="168" formatCode="0.0%"/>
    <numFmt numFmtId="169" formatCode="[$₹]#,##0.00"/>
    <numFmt numFmtId="170" formatCode="0.0%;[RED]\-0.0%"/>
    <numFmt numFmtId="171" formatCode="0.00000000"/>
  </numFmts>
  <fonts count="45">
    <font>
      <name val="Calibri"/>
      <color theme="1"/>
      <sz val="11"/>
      <scheme val="minor"/>
    </font>
    <font>
      <name val="Calibri"/>
      <b val="1"/>
      <color rgb="FFFFFFFF"/>
      <sz val="12"/>
    </font>
    <font/>
    <font>
      <name val="Calibri"/>
      <color theme="1"/>
      <sz val="11"/>
    </font>
    <font>
      <name val="Calibri"/>
      <b val="1"/>
      <color rgb="FF000000"/>
      <sz val="10"/>
    </font>
    <font>
      <name val="Calibri"/>
      <b val="1"/>
      <color rgb="FF000000"/>
      <sz val="9"/>
    </font>
    <font>
      <name val="Calibri"/>
      <b val="1"/>
      <color rgb="FFFFFFFF"/>
      <sz val="10"/>
    </font>
    <font>
      <name val="Calibri"/>
      <color rgb="FF263238"/>
      <sz val="9"/>
    </font>
    <font>
      <name val="Calibri"/>
      <b val="1"/>
      <color rgb="FFFFFFFF"/>
      <sz val="9"/>
    </font>
    <font>
      <name val="Calibri"/>
      <b val="1"/>
      <color rgb="FFFFFFFF"/>
      <sz val="11"/>
    </font>
    <font>
      <name val="Calibri"/>
      <i val="1"/>
      <color rgb="FF546E7A"/>
      <sz val="8"/>
    </font>
    <font>
      <name val="Calibri"/>
      <b val="1"/>
      <color rgb="FFE85D04"/>
      <sz val="15"/>
    </font>
    <font>
      <name val="Calibri"/>
      <b val="1"/>
      <color rgb="FFB0BEC5"/>
      <sz val="9"/>
    </font>
    <font>
      <name val="Calibri"/>
      <color rgb="FF90CAF9"/>
      <sz val="9"/>
    </font>
    <font>
      <name val="Calibri"/>
      <color rgb="FFFFFFFF"/>
      <sz val="9"/>
    </font>
    <font>
      <name val="Calibri"/>
      <b val="1"/>
      <color rgb="FFFFFFFF"/>
      <sz val="16"/>
    </font>
    <font>
      <name val="Calibri"/>
      <color rgb="FFE0E0E0"/>
      <sz val="8"/>
    </font>
    <font>
      <name val="Calibri"/>
      <color theme="1"/>
      <sz val="9"/>
    </font>
    <font>
      <name val="Arial"/>
      <b val="1"/>
      <color theme="1"/>
      <sz val="11"/>
    </font>
    <font>
      <name val="Calibri"/>
      <b val="1"/>
      <color rgb="FFFFFFFF"/>
      <sz val="13"/>
    </font>
    <font>
      <name val="Calibri"/>
      <b val="1"/>
      <color rgb="FF0D47A1"/>
      <sz val="9"/>
    </font>
    <font>
      <name val="Calibri"/>
      <b val="1"/>
      <color rgb="FFE65100"/>
      <sz val="10"/>
    </font>
    <font>
      <name val="Calibri"/>
      <b val="1"/>
      <color rgb="FF90CAF9"/>
      <sz val="9"/>
    </font>
    <font>
      <name val="Calibri"/>
      <b val="1"/>
      <color rgb="FFBBDEFB"/>
      <sz val="9"/>
    </font>
    <font>
      <name val="Calibri"/>
      <b val="1"/>
      <color rgb="FFFFD54F"/>
      <sz val="9"/>
    </font>
    <font>
      <name val="Calibri"/>
      <color rgb="FF546E7A"/>
      <sz val="8"/>
    </font>
    <font>
      <name val="Calibri"/>
      <color rgb="FF1A1A2E"/>
      <sz val="9"/>
    </font>
    <font>
      <name val="Calibri"/>
      <b val="1"/>
      <color rgb="FF0D47A1"/>
      <sz val="10"/>
    </font>
    <font>
      <name val="Calibri"/>
      <color rgb="FF0D47A1"/>
      <sz val="9"/>
    </font>
    <font>
      <name val="Calibri"/>
      <b val="1"/>
      <color rgb="FFE85D04"/>
      <sz val="10"/>
    </font>
    <font>
      <name val="Calibri"/>
      <b val="1"/>
      <color rgb="FFE65100"/>
      <sz val="12"/>
    </font>
    <font>
      <name val="Calibri"/>
      <b val="1"/>
      <color rgb="FF2E7D32"/>
      <sz val="12"/>
    </font>
    <font>
      <name val="Calibri"/>
      <b val="1"/>
      <color rgb="FF1565D8"/>
      <sz val="12"/>
    </font>
    <font>
      <name val="Calibri"/>
      <color rgb="FF000000"/>
      <sz val="11"/>
    </font>
    <font>
      <name val="Calibri"/>
      <color rgb="FF000000"/>
      <sz val="9"/>
    </font>
    <font>
      <name val="Calibri"/>
      <b val="1"/>
      <color rgb="FF263238"/>
      <sz val="9"/>
    </font>
    <font>
      <name val="Calibri"/>
      <b val="1"/>
      <color rgb="FFE65100"/>
      <sz val="9"/>
    </font>
    <font>
      <name val="Calibri"/>
      <color rgb="FFE65100"/>
      <sz val="9"/>
    </font>
    <font>
      <name val="Calibri"/>
      <b val="1"/>
      <color rgb="FFFFCC02"/>
      <sz val="9"/>
    </font>
    <font>
      <name val="Calibri"/>
      <b val="1"/>
      <color rgb="FF1565D8"/>
      <sz val="9"/>
    </font>
    <font>
      <name val="Calibri"/>
      <b val="1"/>
      <color rgb="FF2E7D32"/>
      <sz val="9"/>
    </font>
    <font>
      <name val="Calibri"/>
      <b val="1"/>
      <color rgb="FF90CAF9"/>
      <sz val="10"/>
    </font>
    <font>
      <name val="Calibri"/>
      <b val="1"/>
      <color rgb="FFA5D6A7"/>
      <sz val="10"/>
    </font>
    <font>
      <name val="Calibri"/>
      <b val="1"/>
      <color rgb="FFFFD54F"/>
      <sz val="10"/>
    </font>
    <font>
      <name val="Arial"/>
      <i val="1"/>
      <color rgb="FF666666"/>
      <sz val="8"/>
    </font>
  </fonts>
  <fills count="35">
    <fill>
      <patternFill/>
    </fill>
    <fill>
      <patternFill patternType="lightGray"/>
    </fill>
    <fill>
      <patternFill patternType="solid">
        <fgColor rgb="FF2E7D32"/>
        <bgColor rgb="FF2E7D32"/>
      </patternFill>
    </fill>
    <fill>
      <patternFill patternType="solid">
        <fgColor rgb="FFC62828"/>
        <bgColor rgb="FFC62828"/>
      </patternFill>
    </fill>
    <fill>
      <patternFill patternType="solid">
        <fgColor rgb="FFCCCCCC"/>
        <bgColor rgb="FFCCCCCC"/>
      </patternFill>
    </fill>
    <fill>
      <patternFill patternType="solid">
        <fgColor rgb="FF1565D8"/>
        <bgColor rgb="FF1565D8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F4F6F8"/>
        <bgColor rgb="FFF4F6F8"/>
      </patternFill>
    </fill>
    <fill>
      <patternFill patternType="solid">
        <fgColor rgb="FF263238"/>
        <bgColor rgb="FF263238"/>
      </patternFill>
    </fill>
    <fill>
      <patternFill patternType="solid">
        <fgColor rgb="FFFFFFFF"/>
        <bgColor rgb="FFFFFFFF"/>
      </patternFill>
    </fill>
    <fill>
      <patternFill patternType="solid">
        <fgColor rgb="FF6A1B9A"/>
        <bgColor rgb="FF6A1B9A"/>
      </patternFill>
    </fill>
    <fill>
      <patternFill patternType="solid">
        <fgColor rgb="FF00695C"/>
        <bgColor rgb="FF00695C"/>
      </patternFill>
    </fill>
    <fill>
      <patternFill patternType="solid">
        <fgColor rgb="FFF57F17"/>
        <bgColor rgb="FFF57F17"/>
      </patternFill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FF8F00"/>
        <bgColor rgb="FFFF8F00"/>
      </patternFill>
    </fill>
    <fill>
      <patternFill patternType="solid">
        <fgColor rgb="FF0F3460"/>
        <bgColor rgb="FF0F3460"/>
      </patternFill>
    </fill>
    <fill>
      <patternFill patternType="solid">
        <fgColor rgb="FFE85D04"/>
        <bgColor rgb="FFE85D04"/>
      </patternFill>
    </fill>
    <fill>
      <patternFill patternType="solid">
        <fgColor rgb="FFC9C9C9"/>
        <bgColor rgb="FFC9C9C9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BDBDBD"/>
        <bgColor rgb="FFBDBDBD"/>
      </patternFill>
    </fill>
    <fill>
      <patternFill patternType="solid">
        <fgColor rgb="FFB7B7B7"/>
        <bgColor rgb="FFB7B7B7"/>
      </patternFill>
    </fill>
    <fill>
      <patternFill patternType="solid">
        <fgColor rgb="FFFFF9C4"/>
        <bgColor rgb="FFFFF9C4"/>
      </patternFill>
    </fill>
    <fill>
      <patternFill patternType="solid">
        <fgColor rgb="FF000000"/>
        <bgColor rgb="FF000000"/>
      </patternFill>
    </fill>
    <fill>
      <patternFill patternType="solid">
        <fgColor rgb="FFE3F2FD"/>
        <bgColor rgb="FFE3F2FD"/>
      </patternFill>
    </fill>
    <fill>
      <patternFill patternType="solid">
        <fgColor rgb="FFFFECB3"/>
        <bgColor rgb="FFFFECB3"/>
      </patternFill>
    </fill>
    <fill>
      <patternFill patternType="solid">
        <fgColor rgb="FFE8F5E9"/>
        <bgColor rgb="FFE8F5E9"/>
      </patternFill>
    </fill>
    <fill>
      <patternFill patternType="solid">
        <fgColor rgb="FFD9D9D9"/>
        <bgColor rgb="FFD9D9D9"/>
      </patternFill>
    </fill>
    <fill>
      <patternFill patternType="solid">
        <fgColor rgb="FFB3E5FC"/>
        <bgColor rgb="FFB3E5FC"/>
      </patternFill>
    </fill>
    <fill>
      <patternFill patternType="solid">
        <fgColor rgb="FFFFCCBC"/>
        <bgColor rgb="FFFFCCBC"/>
      </patternFill>
    </fill>
    <fill>
      <patternFill patternType="solid">
        <fgColor rgb="FF546E7A"/>
        <bgColor rgb="FF546E7A"/>
      </patternFill>
    </fill>
    <fill>
      <patternFill patternType="solid">
        <fgColor rgb="FFECEFF1"/>
        <bgColor rgb="FFECEFF1"/>
      </patternFill>
    </fill>
  </fills>
  <borders count="3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0BEC5"/>
      </left>
      <right/>
      <top/>
      <bottom/>
    </border>
    <border>
      <left style="thin">
        <color rgb="FFB0BEC5"/>
      </left>
      <right style="thin">
        <color rgb="FFB0BEC5"/>
      </right>
      <top/>
      <bottom style="thin">
        <color rgb="FFB0BEC5"/>
      </bottom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 style="thin">
        <color rgb="FFB0BEC5"/>
      </left>
      <top style="thin">
        <color rgb="FFB0BEC5"/>
      </top>
      <bottom style="thin">
        <color rgb="FFB0BEC5"/>
      </bottom>
    </border>
    <border>
      <top style="thin">
        <color rgb="FFB0BEC5"/>
      </top>
      <bottom style="thin">
        <color rgb="FFB0BEC5"/>
      </bottom>
    </border>
    <border>
      <right/>
      <top style="thin">
        <color rgb="FFB0BEC5"/>
      </top>
      <bottom style="thin">
        <color rgb="FFB0BEC5"/>
      </bottom>
    </border>
    <border>
      <left style="thin">
        <color rgb="FFB0BEC5"/>
      </left>
      <right/>
      <top style="thin">
        <color rgb="FFB0BEC5"/>
      </top>
      <bottom style="thin">
        <color rgb="FFB0BEC5"/>
      </bottom>
    </border>
    <border>
      <left/>
      <right style="thin">
        <color rgb="FFB0BEC5"/>
      </right>
      <top style="thin">
        <color rgb="FFB0BEC5"/>
      </top>
      <bottom style="thin">
        <color rgb="FFB0BEC5"/>
      </bottom>
    </border>
    <border>
      <left style="medium">
        <color rgb="FFFFAB40"/>
      </left>
      <top style="medium">
        <color rgb="FFFFAB40"/>
      </top>
      <bottom style="medium">
        <color rgb="FFFFAB40"/>
      </bottom>
    </border>
    <border>
      <top style="medium">
        <color rgb="FFFFAB40"/>
      </top>
      <bottom style="medium">
        <color rgb="FFFFAB40"/>
      </bottom>
    </border>
    <border>
      <right/>
      <top style="medium">
        <color rgb="FFFFAB40"/>
      </top>
      <bottom style="medium">
        <color rgb="FFFFAB40"/>
      </bottom>
    </border>
    <border>
      <left style="medium">
        <color rgb="FF8DC471"/>
      </left>
      <top style="medium">
        <color rgb="FF8DC471"/>
      </top>
      <bottom style="medium">
        <color rgb="FF8DC471"/>
      </bottom>
    </border>
    <border>
      <top style="medium">
        <color rgb="FF8DC471"/>
      </top>
      <bottom style="medium">
        <color rgb="FF8DC471"/>
      </bottom>
    </border>
    <border>
      <right/>
      <top style="medium">
        <color rgb="FF8DC471"/>
      </top>
      <bottom style="medium">
        <color rgb="FF8DC471"/>
      </bottom>
    </border>
    <border>
      <left style="medium">
        <color rgb="FF64B5F6"/>
      </left>
      <top style="medium">
        <color rgb="FF64B5F6"/>
      </top>
      <bottom style="medium">
        <color rgb="FF64B5F6"/>
      </bottom>
    </border>
    <border>
      <top style="medium">
        <color rgb="FF64B5F6"/>
      </top>
      <bottom style="medium">
        <color rgb="FF64B5F6"/>
      </bottom>
    </border>
    <border>
      <right/>
      <top style="medium">
        <color rgb="FF64B5F6"/>
      </top>
      <bottom style="medium">
        <color rgb="FF64B5F6"/>
      </bottom>
    </border>
    <border>
      <left style="thin">
        <color rgb="FFB0BEC5"/>
      </left>
      <right style="thin">
        <color rgb="FFB0BEC5"/>
      </right>
      <top style="thin">
        <color rgb="FFB0BEC5"/>
      </top>
      <bottom/>
    </border>
    <border>
      <left/>
      <right/>
      <top/>
      <bottom style="thin">
        <color rgb="FF000000"/>
      </bottom>
    </border>
    <border>
      <left style="medium">
        <color rgb="FFFFAB40"/>
      </left>
      <right style="medium">
        <color rgb="FFFFAB40"/>
      </right>
      <top style="medium">
        <color rgb="FFFFAB40"/>
      </top>
      <bottom style="medium">
        <color rgb="FFFFAB40"/>
      </bottom>
    </border>
    <border>
      <left/>
      <right/>
      <top style="thin">
        <color rgb="FFB0BEC5"/>
      </top>
      <bottom style="thin">
        <color rgb="FFB0BEC5"/>
      </bottom>
    </border>
    <border>
      <left style="thin">
        <color rgb="FFB0BEC5"/>
      </left>
      <top style="thin">
        <color rgb="FFB0BEC5"/>
      </top>
      <bottom/>
    </border>
    <border>
      <top style="thin">
        <color rgb="FFB0BEC5"/>
      </top>
      <bottom/>
    </border>
    <border>
      <right/>
      <top style="thin">
        <color rgb="FFB0BEC5"/>
      </top>
      <bottom/>
    </border>
    <border>
      <top style="thin">
        <color rgb="FFB0BEC5"/>
      </top>
    </border>
    <border>
      <left style="medium">
        <color rgb="FFFFAB40"/>
      </left>
      <right/>
      <top style="medium">
        <color rgb="FFFFAB40"/>
      </top>
      <bottom style="medium">
        <color rgb="FFFFAB40"/>
      </bottom>
    </border>
    <border>
      <top style="medium">
        <color rgb="FFFFAB40"/>
      </top>
    </border>
    <border>
      <left style="medium">
        <color rgb="FF8DC471"/>
      </left>
      <right/>
      <top style="medium">
        <color rgb="FF8DC471"/>
      </top>
      <bottom style="medium">
        <color rgb="FF8DC471"/>
      </bottom>
    </border>
    <border>
      <top style="medium">
        <color rgb="FF8DC471"/>
      </top>
    </border>
    <border>
      <left style="medium">
        <color rgb="FF64B5F6"/>
      </left>
      <right/>
      <top style="medium">
        <color rgb="FF64B5F6"/>
      </top>
      <bottom style="medium">
        <color rgb="FF64B5F6"/>
      </bottom>
    </border>
    <border>
      <top style="medium">
        <color rgb="FF64B5F6"/>
      </top>
    </border>
    <border>
      <left style="thin">
        <color rgb="FFB0BEC5"/>
      </left>
      <right/>
      <top style="thin">
        <color rgb="FFB0BEC5"/>
      </top>
      <bottom/>
    </border>
  </borders>
  <cellStyleXfs count="1">
    <xf numFmtId="0" fontId="0" fillId="0" borderId="0"/>
  </cellStyleXfs>
  <cellXfs count="23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bottom"/>
    </xf>
    <xf numFmtId="0" fontId="4" fillId="4" borderId="4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5" fillId="7" borderId="5" applyAlignment="1" pivotButton="0" quotePrefix="0" xfId="0">
      <alignment horizontal="center" vertical="center" wrapText="1"/>
    </xf>
    <xf numFmtId="0" fontId="3" fillId="8" borderId="4" applyAlignment="1" pivotButton="0" quotePrefix="0" xfId="0">
      <alignment vertical="bottom"/>
    </xf>
    <xf numFmtId="0" fontId="4" fillId="4" borderId="6" applyAlignment="1" pivotButton="0" quotePrefix="0" xfId="0">
      <alignment horizontal="center" vertical="center"/>
    </xf>
    <xf numFmtId="0" fontId="6" fillId="9" borderId="4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 vertical="center"/>
    </xf>
    <xf numFmtId="164" fontId="7" fillId="10" borderId="7" applyAlignment="1" pivotButton="0" quotePrefix="0" xfId="0">
      <alignment horizontal="center" vertical="center"/>
    </xf>
    <xf numFmtId="0" fontId="7" fillId="10" borderId="7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165" fontId="7" fillId="10" borderId="7" applyAlignment="1" pivotButton="0" quotePrefix="0" xfId="0">
      <alignment horizontal="center" vertical="center"/>
    </xf>
    <xf numFmtId="164" fontId="7" fillId="0" borderId="7" applyAlignment="1" pivotButton="0" quotePrefix="0" xfId="0">
      <alignment horizontal="center" vertical="center"/>
    </xf>
    <xf numFmtId="0" fontId="8" fillId="5" borderId="4" applyAlignment="1" pivotButton="0" quotePrefix="0" xfId="0">
      <alignment horizontal="right" vertical="center"/>
    </xf>
    <xf numFmtId="0" fontId="7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/>
    </xf>
    <xf numFmtId="165" fontId="7" fillId="0" borderId="7" applyAlignment="1" pivotButton="0" quotePrefix="0" xfId="0">
      <alignment horizontal="center" vertical="center"/>
    </xf>
    <xf numFmtId="165" fontId="9" fillId="5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left" vertical="center" wrapText="1"/>
    </xf>
    <xf numFmtId="0" fontId="8" fillId="11" borderId="4" applyAlignment="1" pivotButton="0" quotePrefix="0" xfId="0">
      <alignment horizontal="right" vertical="center"/>
    </xf>
    <xf numFmtId="165" fontId="9" fillId="11" borderId="4" applyAlignment="1" pivotButton="0" quotePrefix="0" xfId="0">
      <alignment horizontal="center" vertical="center"/>
    </xf>
    <xf numFmtId="0" fontId="8" fillId="12" borderId="4" applyAlignment="1" pivotButton="0" quotePrefix="0" xfId="0">
      <alignment horizontal="right" vertical="center"/>
    </xf>
    <xf numFmtId="165" fontId="9" fillId="12" borderId="4" applyAlignment="1" pivotButton="0" quotePrefix="0" xfId="0">
      <alignment horizontal="center" vertical="center"/>
    </xf>
    <xf numFmtId="0" fontId="8" fillId="13" borderId="4" applyAlignment="1" pivotButton="0" quotePrefix="0" xfId="0">
      <alignment horizontal="right" vertical="center"/>
    </xf>
    <xf numFmtId="165" fontId="9" fillId="13" borderId="4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right" vertical="center"/>
    </xf>
    <xf numFmtId="0" fontId="6" fillId="16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center" vertical="center"/>
    </xf>
    <xf numFmtId="164" fontId="3" fillId="8" borderId="4" applyAlignment="1" pivotButton="0" quotePrefix="0" xfId="0">
      <alignment vertical="bottom"/>
    </xf>
    <xf numFmtId="0" fontId="14" fillId="17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166" fontId="15" fillId="17" borderId="1" applyAlignment="1" pivotButton="0" quotePrefix="0" xfId="0">
      <alignment horizontal="center" vertical="center"/>
    </xf>
    <xf numFmtId="166" fontId="15" fillId="12" borderId="1" applyAlignment="1" pivotButton="0" quotePrefix="0" xfId="0">
      <alignment horizontal="center" vertical="center"/>
    </xf>
    <xf numFmtId="166" fontId="15" fillId="3" borderId="1" applyAlignment="1" pivotButton="0" quotePrefix="0" xfId="0">
      <alignment horizontal="center" vertical="center"/>
    </xf>
    <xf numFmtId="166" fontId="15" fillId="2" borderId="1" applyAlignment="1" pivotButton="0" quotePrefix="0" xfId="0">
      <alignment horizontal="center" vertical="center"/>
    </xf>
    <xf numFmtId="0" fontId="16" fillId="17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166" fontId="15" fillId="5" borderId="1" applyAlignment="1" pivotButton="0" quotePrefix="0" xfId="0">
      <alignment horizontal="center" vertical="center"/>
    </xf>
    <xf numFmtId="166" fontId="15" fillId="11" borderId="1" applyAlignment="1" pivotButton="0" quotePrefix="0" xfId="0">
      <alignment horizontal="center" vertical="center"/>
    </xf>
    <xf numFmtId="166" fontId="15" fillId="18" borderId="1" applyAlignment="1" pivotButton="0" quotePrefix="0" xfId="0">
      <alignment horizontal="center" vertical="center"/>
    </xf>
    <xf numFmtId="166" fontId="15" fillId="13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17" fillId="8" borderId="4" applyAlignment="1" pivotButton="0" quotePrefix="0" xfId="0">
      <alignment vertical="bottom"/>
    </xf>
    <xf numFmtId="0" fontId="17" fillId="8" borderId="4" applyAlignment="1" pivotButton="0" quotePrefix="0" xfId="0">
      <alignment horizontal="center" vertical="center"/>
    </xf>
    <xf numFmtId="167" fontId="17" fillId="8" borderId="4" applyAlignment="1" pivotButton="0" quotePrefix="0" xfId="0">
      <alignment horizontal="center" vertical="center"/>
    </xf>
    <xf numFmtId="166" fontId="17" fillId="8" borderId="4" applyAlignment="1" pivotButton="0" quotePrefix="0" xfId="0">
      <alignment horizontal="center" vertical="center"/>
    </xf>
    <xf numFmtId="168" fontId="17" fillId="8" borderId="4" applyAlignment="1" pivotButton="0" quotePrefix="0" xfId="0">
      <alignment horizontal="center" vertical="center"/>
    </xf>
    <xf numFmtId="4" fontId="17" fillId="8" borderId="4" applyAlignment="1" pivotButton="0" quotePrefix="0" xfId="0">
      <alignment vertical="bottom"/>
    </xf>
    <xf numFmtId="166" fontId="18" fillId="19" borderId="1" applyAlignment="1" pivotButton="0" quotePrefix="0" xfId="0">
      <alignment horizontal="center" vertical="bottom"/>
    </xf>
    <xf numFmtId="166" fontId="18" fillId="20" borderId="4" applyAlignment="1" pivotButton="0" quotePrefix="0" xfId="0">
      <alignment vertical="bottom"/>
    </xf>
    <xf numFmtId="169" fontId="18" fillId="20" borderId="4" applyAlignment="1" pivotButton="0" quotePrefix="0" xfId="0">
      <alignment horizontal="center" vertical="bottom"/>
    </xf>
    <xf numFmtId="10" fontId="18" fillId="20" borderId="4" applyAlignment="1" pivotButton="0" quotePrefix="0" xfId="0">
      <alignment horizontal="center" vertical="bottom"/>
    </xf>
    <xf numFmtId="166" fontId="18" fillId="21" borderId="4" applyAlignment="1" pivotButton="0" quotePrefix="0" xfId="0">
      <alignment vertical="bottom"/>
    </xf>
    <xf numFmtId="169" fontId="18" fillId="21" borderId="4" applyAlignment="1" pivotButton="0" quotePrefix="0" xfId="0">
      <alignment horizontal="center" vertical="bottom"/>
    </xf>
    <xf numFmtId="10" fontId="18" fillId="21" borderId="4" applyAlignment="1" pivotButton="0" quotePrefix="0" xfId="0">
      <alignment horizontal="center" vertical="bottom"/>
    </xf>
    <xf numFmtId="166" fontId="18" fillId="22" borderId="4" applyAlignment="1" pivotButton="0" quotePrefix="0" xfId="0">
      <alignment vertical="bottom"/>
    </xf>
    <xf numFmtId="169" fontId="18" fillId="22" borderId="4" applyAlignment="1" pivotButton="0" quotePrefix="0" xfId="0">
      <alignment horizontal="center" vertical="bottom"/>
    </xf>
    <xf numFmtId="10" fontId="18" fillId="22" borderId="4" applyAlignment="1" pivotButton="0" quotePrefix="0" xfId="0">
      <alignment horizontal="center" vertical="bottom"/>
    </xf>
    <xf numFmtId="0" fontId="18" fillId="23" borderId="4" applyAlignment="1" pivotButton="0" quotePrefix="0" xfId="0">
      <alignment vertical="bottom"/>
    </xf>
    <xf numFmtId="169" fontId="18" fillId="23" borderId="4" applyAlignment="1" pivotButton="0" quotePrefix="0" xfId="0">
      <alignment horizontal="center" vertical="bottom"/>
    </xf>
    <xf numFmtId="10" fontId="18" fillId="23" borderId="4" applyAlignment="1" pivotButton="0" quotePrefix="0" xfId="0">
      <alignment horizontal="center" vertical="bottom"/>
    </xf>
    <xf numFmtId="0" fontId="18" fillId="0" borderId="0" applyAlignment="1" pivotButton="0" quotePrefix="0" xfId="0">
      <alignment vertical="bottom"/>
    </xf>
    <xf numFmtId="169" fontId="18" fillId="0" borderId="0" applyAlignment="1" pivotButton="0" quotePrefix="0" xfId="0">
      <alignment horizontal="center" vertical="bottom"/>
    </xf>
    <xf numFmtId="10" fontId="18" fillId="0" borderId="0" applyAlignment="1" pivotButton="0" quotePrefix="0" xfId="0">
      <alignment horizontal="center" vertical="bottom"/>
    </xf>
    <xf numFmtId="0" fontId="19" fillId="5" borderId="8" applyAlignment="1" pivotButton="0" quotePrefix="0" xfId="0">
      <alignment horizontal="center" vertical="center"/>
    </xf>
    <xf numFmtId="0" fontId="2" fillId="0" borderId="9" pivotButton="0" quotePrefix="0" xfId="0"/>
    <xf numFmtId="0" fontId="2" fillId="0" borderId="10" pivotButton="0" quotePrefix="0" xfId="0"/>
    <xf numFmtId="0" fontId="4" fillId="24" borderId="8" applyAlignment="1" pivotButton="0" quotePrefix="0" xfId="0">
      <alignment horizontal="center" vertical="center"/>
    </xf>
    <xf numFmtId="0" fontId="3" fillId="8" borderId="1" applyAlignment="1" pivotButton="0" quotePrefix="0" xfId="0">
      <alignment vertical="bottom"/>
    </xf>
    <xf numFmtId="0" fontId="20" fillId="0" borderId="8" applyAlignment="1" pivotButton="0" quotePrefix="0" xfId="0">
      <alignment horizontal="right" vertical="center"/>
    </xf>
    <xf numFmtId="164" fontId="21" fillId="25" borderId="11" applyAlignment="1" pivotButton="0" quotePrefix="0" xfId="0">
      <alignment horizontal="center" vertical="center"/>
    </xf>
    <xf numFmtId="164" fontId="21" fillId="25" borderId="12" applyAlignment="1" pivotButton="0" quotePrefix="0" xfId="0">
      <alignment horizontal="center" vertical="center"/>
    </xf>
    <xf numFmtId="0" fontId="12" fillId="26" borderId="7" applyAlignment="1" pivotButton="0" quotePrefix="0" xfId="0">
      <alignment horizontal="center" vertical="center" wrapText="1"/>
    </xf>
    <xf numFmtId="165" fontId="7" fillId="10" borderId="7" applyAlignment="1" pivotButton="0" quotePrefix="0" xfId="0">
      <alignment horizontal="center" vertical="bottom"/>
    </xf>
    <xf numFmtId="0" fontId="22" fillId="26" borderId="7" applyAlignment="1" pivotButton="0" quotePrefix="0" xfId="0">
      <alignment horizontal="center" vertical="center" wrapText="1"/>
    </xf>
    <xf numFmtId="0" fontId="23" fillId="26" borderId="7" applyAlignment="1" pivotButton="0" quotePrefix="0" xfId="0">
      <alignment horizontal="center" vertical="center" wrapText="1"/>
    </xf>
    <xf numFmtId="0" fontId="24" fillId="26" borderId="7" applyAlignment="1" pivotButton="0" quotePrefix="0" xfId="0">
      <alignment horizontal="center" vertical="center" wrapText="1"/>
    </xf>
    <xf numFmtId="0" fontId="25" fillId="10" borderId="7" applyAlignment="1" pivotButton="0" quotePrefix="0" xfId="0">
      <alignment horizontal="center" vertical="center"/>
    </xf>
    <xf numFmtId="0" fontId="26" fillId="10" borderId="7" applyAlignment="1" pivotButton="0" quotePrefix="0" xfId="0">
      <alignment horizontal="left" vertical="center"/>
    </xf>
    <xf numFmtId="165" fontId="26" fillId="10" borderId="7" applyAlignment="1" pivotButton="0" quotePrefix="0" xfId="0">
      <alignment horizontal="center" vertical="center"/>
    </xf>
    <xf numFmtId="10" fontId="7" fillId="10" borderId="7" applyAlignment="1" pivotButton="0" quotePrefix="0" xfId="0">
      <alignment horizontal="center" vertical="center"/>
    </xf>
    <xf numFmtId="165" fontId="27" fillId="27" borderId="7" applyAlignment="1" pivotButton="0" quotePrefix="0" xfId="0">
      <alignment horizontal="center" vertical="center"/>
    </xf>
    <xf numFmtId="165" fontId="28" fillId="27" borderId="7" applyAlignment="1" pivotButton="0" quotePrefix="0" xfId="0">
      <alignment horizontal="center" vertical="center"/>
    </xf>
    <xf numFmtId="165" fontId="28" fillId="10" borderId="7" applyAlignment="1" pivotButton="0" quotePrefix="0" xfId="0">
      <alignment horizontal="center" vertical="center"/>
    </xf>
    <xf numFmtId="168" fontId="26" fillId="10" borderId="7" applyAlignment="1" pivotButton="0" quotePrefix="0" xfId="0">
      <alignment horizontal="center" vertical="center"/>
    </xf>
    <xf numFmtId="0" fontId="29" fillId="14" borderId="8" applyAlignment="1" pivotButton="0" quotePrefix="0" xfId="0">
      <alignment horizontal="right" vertical="center"/>
    </xf>
    <xf numFmtId="165" fontId="8" fillId="14" borderId="7" applyAlignment="1" pivotButton="0" quotePrefix="0" xfId="0">
      <alignment horizontal="center" vertical="center"/>
    </xf>
    <xf numFmtId="10" fontId="8" fillId="14" borderId="7" applyAlignment="1" pivotButton="0" quotePrefix="0" xfId="0">
      <alignment horizontal="center" vertical="center"/>
    </xf>
    <xf numFmtId="0" fontId="30" fillId="28" borderId="13" applyAlignment="1" pivotButton="0" quotePrefix="0" xfId="0">
      <alignment horizontal="center" vertical="center"/>
    </xf>
    <xf numFmtId="0" fontId="2" fillId="0" borderId="14" pivotButton="0" quotePrefix="0" xfId="0"/>
    <xf numFmtId="0" fontId="2" fillId="0" borderId="15" pivotButton="0" quotePrefix="0" xfId="0"/>
    <xf numFmtId="165" fontId="8" fillId="12" borderId="7" applyAlignment="1" pivotButton="0" quotePrefix="0" xfId="0">
      <alignment horizontal="center" vertical="center"/>
    </xf>
    <xf numFmtId="0" fontId="31" fillId="29" borderId="16" applyAlignment="1" pivotButton="0" quotePrefix="0" xfId="0">
      <alignment horizontal="center" vertical="center"/>
    </xf>
    <xf numFmtId="0" fontId="2" fillId="0" borderId="17" pivotButton="0" quotePrefix="0" xfId="0"/>
    <xf numFmtId="0" fontId="2" fillId="0" borderId="18" pivotButton="0" quotePrefix="0" xfId="0"/>
    <xf numFmtId="0" fontId="32" fillId="27" borderId="19" applyAlignment="1" pivotButton="0" quotePrefix="0" xfId="0">
      <alignment horizontal="center" vertical="center"/>
    </xf>
    <xf numFmtId="0" fontId="2" fillId="0" borderId="20" pivotButton="0" quotePrefix="0" xfId="0"/>
    <xf numFmtId="0" fontId="2" fillId="0" borderId="21" pivotButton="0" quotePrefix="0" xfId="0"/>
    <xf numFmtId="0" fontId="3" fillId="8" borderId="4" applyAlignment="1" pivotButton="0" quotePrefix="0" xfId="0">
      <alignment horizontal="left" vertical="bottom"/>
    </xf>
    <xf numFmtId="0" fontId="33" fillId="30" borderId="4" applyAlignment="1" pivotButton="0" quotePrefix="0" xfId="0">
      <alignment vertical="bottom"/>
    </xf>
    <xf numFmtId="0" fontId="5" fillId="30" borderId="8" applyAlignment="1" pivotButton="0" quotePrefix="0" xfId="0">
      <alignment horizontal="center" vertical="center"/>
    </xf>
    <xf numFmtId="0" fontId="5" fillId="30" borderId="22" applyAlignment="1" pivotButton="0" quotePrefix="0" xfId="0">
      <alignment horizontal="left" vertical="center"/>
    </xf>
    <xf numFmtId="0" fontId="5" fillId="30" borderId="22" applyAlignment="1" pivotButton="0" quotePrefix="0" xfId="0">
      <alignment horizontal="center" vertical="center"/>
    </xf>
    <xf numFmtId="0" fontId="12" fillId="9" borderId="23" applyAlignment="1" pivotButton="0" quotePrefix="0" xfId="0">
      <alignment horizontal="center" vertical="center"/>
    </xf>
    <xf numFmtId="164" fontId="34" fillId="10" borderId="23" applyAlignment="1" pivotButton="0" quotePrefix="0" xfId="0">
      <alignment horizontal="center" vertical="center"/>
    </xf>
    <xf numFmtId="165" fontId="5" fillId="10" borderId="23" applyAlignment="1" pivotButton="0" quotePrefix="0" xfId="0">
      <alignment horizontal="center" vertical="center"/>
    </xf>
    <xf numFmtId="170" fontId="34" fillId="10" borderId="23" applyAlignment="1" pivotButton="0" quotePrefix="0" xfId="0">
      <alignment horizontal="center" vertical="center"/>
    </xf>
    <xf numFmtId="165" fontId="34" fillId="10" borderId="23" applyAlignment="1" pivotButton="0" quotePrefix="0" xfId="0">
      <alignment horizontal="center" vertical="center"/>
    </xf>
    <xf numFmtId="165" fontId="34" fillId="10" borderId="23" applyAlignment="1" pivotButton="0" quotePrefix="0" xfId="0">
      <alignment horizontal="left" vertical="center"/>
    </xf>
    <xf numFmtId="0" fontId="1" fillId="12" borderId="1" applyAlignment="1" pivotButton="0" quotePrefix="0" xfId="0">
      <alignment horizontal="center" vertical="center"/>
    </xf>
    <xf numFmtId="0" fontId="24" fillId="9" borderId="6" applyAlignment="1" pivotButton="0" quotePrefix="0" xfId="0">
      <alignment horizontal="center" vertical="center" wrapText="1"/>
    </xf>
    <xf numFmtId="0" fontId="6" fillId="5" borderId="7" applyAlignment="1" pivotButton="0" quotePrefix="0" xfId="0">
      <alignment horizontal="center" vertical="center"/>
    </xf>
    <xf numFmtId="165" fontId="35" fillId="31" borderId="7" applyAlignment="1" pivotButton="0" quotePrefix="0" xfId="0">
      <alignment horizontal="center" vertical="center"/>
    </xf>
    <xf numFmtId="165" fontId="35" fillId="32" borderId="7" applyAlignment="1" pivotButton="0" quotePrefix="0" xfId="0">
      <alignment horizontal="center" vertical="center"/>
    </xf>
    <xf numFmtId="165" fontId="35" fillId="27" borderId="7" applyAlignment="1" pivotButton="0" quotePrefix="0" xfId="0">
      <alignment horizontal="center" vertical="center"/>
    </xf>
    <xf numFmtId="165" fontId="36" fillId="25" borderId="24" applyAlignment="1" pivotButton="0" quotePrefix="0" xfId="0">
      <alignment horizontal="center" vertical="center"/>
    </xf>
    <xf numFmtId="10" fontId="35" fillId="27" borderId="7" applyAlignment="1" pivotButton="0" quotePrefix="0" xfId="0">
      <alignment horizontal="center" vertical="center"/>
    </xf>
    <xf numFmtId="0" fontId="35" fillId="27" borderId="7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165" fontId="35" fillId="29" borderId="7" applyAlignment="1" pivotButton="0" quotePrefix="0" xfId="0">
      <alignment horizontal="center" vertical="center"/>
    </xf>
    <xf numFmtId="10" fontId="35" fillId="29" borderId="7" applyAlignment="1" pivotButton="0" quotePrefix="0" xfId="0">
      <alignment horizontal="center" vertical="center"/>
    </xf>
    <xf numFmtId="0" fontId="35" fillId="29" borderId="7" applyAlignment="1" pivotButton="0" quotePrefix="0" xfId="0">
      <alignment horizontal="center" vertical="center"/>
    </xf>
    <xf numFmtId="0" fontId="8" fillId="14" borderId="7" applyAlignment="1" pivotButton="0" quotePrefix="0" xfId="0">
      <alignment horizontal="center" vertical="center"/>
    </xf>
    <xf numFmtId="0" fontId="37" fillId="25" borderId="8" applyAlignment="1" pivotButton="0" quotePrefix="0" xfId="0">
      <alignment horizontal="center" vertical="center"/>
    </xf>
    <xf numFmtId="0" fontId="12" fillId="9" borderId="4" applyAlignment="1" pivotButton="0" quotePrefix="0" xfId="0">
      <alignment horizontal="center" vertical="center"/>
    </xf>
    <xf numFmtId="0" fontId="12" fillId="9" borderId="6" applyAlignment="1" pivotButton="0" quotePrefix="0" xfId="0">
      <alignment horizontal="center" vertical="center"/>
    </xf>
    <xf numFmtId="0" fontId="38" fillId="9" borderId="6" applyAlignment="1" pivotButton="0" quotePrefix="0" xfId="0">
      <alignment horizontal="center" vertical="center"/>
    </xf>
    <xf numFmtId="0" fontId="7" fillId="8" borderId="7" applyAlignment="1" pivotButton="0" quotePrefix="0" xfId="0">
      <alignment horizontal="left" vertical="center"/>
    </xf>
    <xf numFmtId="171" fontId="7" fillId="8" borderId="7" applyAlignment="1" pivotButton="0" quotePrefix="0" xfId="0">
      <alignment horizontal="center" vertical="center"/>
    </xf>
    <xf numFmtId="165" fontId="7" fillId="8" borderId="7" applyAlignment="1" pivotButton="0" quotePrefix="0" xfId="0">
      <alignment horizontal="center" vertical="center"/>
    </xf>
    <xf numFmtId="10" fontId="7" fillId="8" borderId="7" applyAlignment="1" pivotButton="0" quotePrefix="0" xfId="0">
      <alignment horizontal="center" vertical="center"/>
    </xf>
    <xf numFmtId="0" fontId="7" fillId="8" borderId="7" applyAlignment="1" pivotButton="0" quotePrefix="0" xfId="0">
      <alignment horizontal="center" vertical="center"/>
    </xf>
    <xf numFmtId="0" fontId="9" fillId="14" borderId="4" applyAlignment="1" pivotButton="0" quotePrefix="0" xfId="0">
      <alignment horizontal="center" vertical="center"/>
    </xf>
    <xf numFmtId="0" fontId="9" fillId="14" borderId="11" applyAlignment="1" pivotButton="0" quotePrefix="0" xfId="0">
      <alignment horizontal="center" vertical="center"/>
    </xf>
    <xf numFmtId="0" fontId="9" fillId="14" borderId="25" applyAlignment="1" pivotButton="0" quotePrefix="0" xfId="0">
      <alignment horizontal="center" vertical="center"/>
    </xf>
    <xf numFmtId="0" fontId="9" fillId="14" borderId="12" applyAlignment="1" pivotButton="0" quotePrefix="0" xfId="0">
      <alignment horizontal="center" vertical="center"/>
    </xf>
    <xf numFmtId="165" fontId="9" fillId="14" borderId="7" applyAlignment="1" pivotButton="0" quotePrefix="0" xfId="0">
      <alignment horizontal="center" vertical="center"/>
    </xf>
    <xf numFmtId="10" fontId="9" fillId="14" borderId="7" applyAlignment="1" pivotButton="0" quotePrefix="0" xfId="0">
      <alignment horizontal="center" vertical="center"/>
    </xf>
    <xf numFmtId="0" fontId="9" fillId="14" borderId="7" applyAlignment="1" pivotButton="0" quotePrefix="0" xfId="0">
      <alignment horizontal="center" vertical="center"/>
    </xf>
    <xf numFmtId="0" fontId="4" fillId="4" borderId="26" applyAlignment="1" pivotButton="0" quotePrefix="0" xfId="0">
      <alignment horizontal="center" vertical="center"/>
    </xf>
    <xf numFmtId="0" fontId="2" fillId="0" borderId="27" pivotButton="0" quotePrefix="0" xfId="0"/>
    <xf numFmtId="0" fontId="2" fillId="0" borderId="28" pivotButton="0" quotePrefix="0" xfId="0"/>
    <xf numFmtId="165" fontId="3" fillId="8" borderId="4" applyAlignment="1" pivotButton="0" quotePrefix="0" xfId="0">
      <alignment vertical="bottom"/>
    </xf>
    <xf numFmtId="0" fontId="5" fillId="4" borderId="5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0" fontId="39" fillId="10" borderId="7" applyAlignment="1" pivotButton="0" quotePrefix="0" xfId="0">
      <alignment horizontal="center" vertical="center"/>
    </xf>
    <xf numFmtId="0" fontId="35" fillId="10" borderId="7" applyAlignment="1" pivotButton="0" quotePrefix="0" xfId="0">
      <alignment horizontal="left" vertical="center"/>
    </xf>
    <xf numFmtId="0" fontId="40" fillId="10" borderId="7" applyAlignment="1" pivotButton="0" quotePrefix="0" xfId="0">
      <alignment horizontal="center" vertical="center"/>
    </xf>
    <xf numFmtId="171" fontId="7" fillId="10" borderId="7" applyAlignment="1" pivotButton="0" quotePrefix="0" xfId="0">
      <alignment horizontal="center" vertical="center"/>
    </xf>
    <xf numFmtId="165" fontId="35" fillId="10" borderId="7" applyAlignment="1" pivotButton="0" quotePrefix="0" xfId="0">
      <alignment horizontal="center" vertical="center"/>
    </xf>
    <xf numFmtId="0" fontId="1" fillId="33" borderId="1" applyAlignment="1" pivotButton="0" quotePrefix="0" xfId="0">
      <alignment horizontal="center" vertical="center"/>
    </xf>
    <xf numFmtId="0" fontId="1" fillId="33" borderId="4" applyAlignment="1" pivotButton="0" quotePrefix="0" xfId="0">
      <alignment horizontal="center" vertical="center"/>
    </xf>
    <xf numFmtId="0" fontId="41" fillId="9" borderId="4" applyAlignment="1" pivotButton="0" quotePrefix="0" xfId="0">
      <alignment horizontal="left" vertical="center"/>
    </xf>
    <xf numFmtId="0" fontId="6" fillId="11" borderId="6" applyAlignment="1" pivotButton="0" quotePrefix="0" xfId="0">
      <alignment horizontal="center" vertical="center" wrapText="1"/>
    </xf>
    <xf numFmtId="0" fontId="42" fillId="9" borderId="4" applyAlignment="1" pivotButton="0" quotePrefix="0" xfId="0">
      <alignment horizontal="left" vertical="center"/>
    </xf>
    <xf numFmtId="0" fontId="43" fillId="9" borderId="4" applyAlignment="1" pivotButton="0" quotePrefix="0" xfId="0">
      <alignment horizontal="left" vertical="center"/>
    </xf>
    <xf numFmtId="0" fontId="6" fillId="12" borderId="6" applyAlignment="1" pivotButton="0" quotePrefix="0" xfId="0">
      <alignment horizontal="center" vertical="center"/>
    </xf>
    <xf numFmtId="0" fontId="8" fillId="26" borderId="6" applyAlignment="1" pivotButton="0" quotePrefix="0" xfId="0">
      <alignment horizontal="center" vertical="center" wrapText="1"/>
    </xf>
    <xf numFmtId="0" fontId="7" fillId="10" borderId="4" applyAlignment="1" pivotButton="0" quotePrefix="0" xfId="0">
      <alignment vertical="bottom"/>
    </xf>
    <xf numFmtId="0" fontId="44" fillId="0" borderId="0" applyAlignment="1" pivotButton="0" quotePrefix="0" xfId="0">
      <alignment vertical="bottom"/>
    </xf>
    <xf numFmtId="0" fontId="26" fillId="10" borderId="7" applyAlignment="1" pivotButton="0" quotePrefix="0" xfId="0">
      <alignment vertical="bottom"/>
    </xf>
    <xf numFmtId="165" fontId="36" fillId="25" borderId="7" applyAlignment="1" pivotButton="0" quotePrefix="0" xfId="0">
      <alignment horizontal="center" vertical="center"/>
    </xf>
    <xf numFmtId="0" fontId="7" fillId="34" borderId="4" applyAlignment="1" pivotButton="0" quotePrefix="0" xfId="0">
      <alignment vertical="bottom"/>
    </xf>
    <xf numFmtId="0" fontId="26" fillId="34" borderId="7" applyAlignment="1" pivotButton="0" quotePrefix="0" xfId="0">
      <alignment vertical="bottom"/>
    </xf>
    <xf numFmtId="0" fontId="26" fillId="34" borderId="7" applyAlignment="1" pivotButton="0" quotePrefix="0" xfId="0">
      <alignment vertical="bottom" wrapText="1"/>
    </xf>
    <xf numFmtId="0" fontId="0" fillId="0" borderId="0" pivotButton="0" quotePrefix="0" xfId="0"/>
    <xf numFmtId="0" fontId="11" fillId="14" borderId="4" applyAlignment="1" pivotButton="0" quotePrefix="0" xfId="0">
      <alignment horizontal="center" vertical="center"/>
    </xf>
    <xf numFmtId="0" fontId="12" fillId="15" borderId="4" applyAlignment="1" pivotButton="0" quotePrefix="0" xfId="0">
      <alignment horizontal="right" vertical="center"/>
    </xf>
    <xf numFmtId="0" fontId="6" fillId="16" borderId="4" applyAlignment="1" pivotButton="0" quotePrefix="0" xfId="0">
      <alignment horizontal="center" vertical="center"/>
    </xf>
    <xf numFmtId="0" fontId="13" fillId="15" borderId="4" applyAlignment="1" pivotButton="0" quotePrefix="0" xfId="0">
      <alignment horizontal="center" vertical="center"/>
    </xf>
    <xf numFmtId="0" fontId="14" fillId="17" borderId="4" applyAlignment="1" pivotButton="0" quotePrefix="0" xfId="0">
      <alignment horizontal="center" vertical="center"/>
    </xf>
    <xf numFmtId="0" fontId="14" fillId="12" borderId="4" applyAlignment="1" pivotButton="0" quotePrefix="0" xfId="0">
      <alignment horizontal="center" vertical="center"/>
    </xf>
    <xf numFmtId="0" fontId="14" fillId="3" borderId="4" applyAlignment="1" pivotButton="0" quotePrefix="0" xfId="0">
      <alignment horizontal="center" vertical="center"/>
    </xf>
    <xf numFmtId="0" fontId="14" fillId="2" borderId="4" applyAlignment="1" pivotButton="0" quotePrefix="0" xfId="0">
      <alignment horizontal="center" vertical="center"/>
    </xf>
    <xf numFmtId="166" fontId="15" fillId="17" borderId="4" applyAlignment="1" pivotButton="0" quotePrefix="0" xfId="0">
      <alignment horizontal="center" vertical="center"/>
    </xf>
    <xf numFmtId="166" fontId="15" fillId="12" borderId="4" applyAlignment="1" pivotButton="0" quotePrefix="0" xfId="0">
      <alignment horizontal="center" vertical="center"/>
    </xf>
    <xf numFmtId="166" fontId="15" fillId="3" borderId="4" applyAlignment="1" pivotButton="0" quotePrefix="0" xfId="0">
      <alignment horizontal="center" vertical="center"/>
    </xf>
    <xf numFmtId="166" fontId="15" fillId="2" borderId="4" applyAlignment="1" pivotButton="0" quotePrefix="0" xfId="0">
      <alignment horizontal="center" vertical="center"/>
    </xf>
    <xf numFmtId="0" fontId="16" fillId="17" borderId="4" applyAlignment="1" pivotButton="0" quotePrefix="0" xfId="0">
      <alignment horizontal="center" vertical="center"/>
    </xf>
    <xf numFmtId="0" fontId="16" fillId="12" borderId="4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0" fontId="16" fillId="2" borderId="4" applyAlignment="1" pivotButton="0" quotePrefix="0" xfId="0">
      <alignment horizontal="center" vertical="center"/>
    </xf>
    <xf numFmtId="0" fontId="14" fillId="5" borderId="4" applyAlignment="1" pivotButton="0" quotePrefix="0" xfId="0">
      <alignment horizontal="center" vertical="center"/>
    </xf>
    <xf numFmtId="0" fontId="14" fillId="11" borderId="4" applyAlignment="1" pivotButton="0" quotePrefix="0" xfId="0">
      <alignment horizontal="center" vertical="center"/>
    </xf>
    <xf numFmtId="0" fontId="14" fillId="18" borderId="4" applyAlignment="1" pivotButton="0" quotePrefix="0" xfId="0">
      <alignment horizontal="center" vertical="center"/>
    </xf>
    <xf numFmtId="0" fontId="14" fillId="13" borderId="4" applyAlignment="1" pivotButton="0" quotePrefix="0" xfId="0">
      <alignment horizontal="center" vertical="center"/>
    </xf>
    <xf numFmtId="166" fontId="15" fillId="5" borderId="4" applyAlignment="1" pivotButton="0" quotePrefix="0" xfId="0">
      <alignment horizontal="center" vertical="center"/>
    </xf>
    <xf numFmtId="166" fontId="15" fillId="11" borderId="4" applyAlignment="1" pivotButton="0" quotePrefix="0" xfId="0">
      <alignment horizontal="center" vertical="center"/>
    </xf>
    <xf numFmtId="166" fontId="15" fillId="18" borderId="4" applyAlignment="1" pivotButton="0" quotePrefix="0" xfId="0">
      <alignment horizontal="center" vertical="center"/>
    </xf>
    <xf numFmtId="166" fontId="15" fillId="13" borderId="4" applyAlignment="1" pivotButton="0" quotePrefix="0" xfId="0">
      <alignment horizontal="center" vertical="center"/>
    </xf>
    <xf numFmtId="0" fontId="16" fillId="5" borderId="4" applyAlignment="1" pivotButton="0" quotePrefix="0" xfId="0">
      <alignment horizontal="center" vertical="center"/>
    </xf>
    <xf numFmtId="0" fontId="16" fillId="11" borderId="4" applyAlignment="1" pivotButton="0" quotePrefix="0" xfId="0">
      <alignment horizontal="center" vertical="center"/>
    </xf>
    <xf numFmtId="0" fontId="16" fillId="18" borderId="4" applyAlignment="1" pivotButton="0" quotePrefix="0" xfId="0">
      <alignment horizontal="center" vertical="center"/>
    </xf>
    <xf numFmtId="0" fontId="16" fillId="13" borderId="4" applyAlignment="1" pivotButton="0" quotePrefix="0" xfId="0">
      <alignment horizontal="center" vertical="center"/>
    </xf>
    <xf numFmtId="166" fontId="18" fillId="19" borderId="4" applyAlignment="1" pivotButton="0" quotePrefix="0" xfId="0">
      <alignment horizontal="center" vertical="bottom"/>
    </xf>
    <xf numFmtId="0" fontId="1" fillId="3" borderId="4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5" borderId="4" applyAlignment="1" pivotButton="0" quotePrefix="0" xfId="0">
      <alignment horizontal="center" vertical="center"/>
    </xf>
    <xf numFmtId="0" fontId="19" fillId="5" borderId="11" applyAlignment="1" pivotButton="0" quotePrefix="0" xfId="0">
      <alignment horizontal="center" vertical="center"/>
    </xf>
    <xf numFmtId="0" fontId="0" fillId="0" borderId="9" pivotButton="0" quotePrefix="0" xfId="0"/>
    <xf numFmtId="0" fontId="4" fillId="24" borderId="11" applyAlignment="1" pivotButton="0" quotePrefix="0" xfId="0">
      <alignment horizontal="center" vertical="center"/>
    </xf>
    <xf numFmtId="0" fontId="29" fillId="14" borderId="11" applyAlignment="1" pivotButton="0" quotePrefix="0" xfId="0">
      <alignment horizontal="right" vertical="center"/>
    </xf>
    <xf numFmtId="0" fontId="30" fillId="28" borderId="30" applyAlignment="1" pivotButton="0" quotePrefix="0" xfId="0">
      <alignment horizontal="center" vertical="center"/>
    </xf>
    <xf numFmtId="0" fontId="0" fillId="0" borderId="14" pivotButton="0" quotePrefix="0" xfId="0"/>
    <xf numFmtId="0" fontId="31" fillId="29" borderId="32" applyAlignment="1" pivotButton="0" quotePrefix="0" xfId="0">
      <alignment horizontal="center" vertical="center"/>
    </xf>
    <xf numFmtId="0" fontId="0" fillId="0" borderId="17" pivotButton="0" quotePrefix="0" xfId="0"/>
    <xf numFmtId="0" fontId="32" fillId="27" borderId="34" applyAlignment="1" pivotButton="0" quotePrefix="0" xfId="0">
      <alignment horizontal="center" vertical="center"/>
    </xf>
    <xf numFmtId="0" fontId="0" fillId="0" borderId="20" pivotButton="0" quotePrefix="0" xfId="0"/>
    <xf numFmtId="0" fontId="5" fillId="30" borderId="11" applyAlignment="1" pivotButton="0" quotePrefix="0" xfId="0">
      <alignment horizontal="center" vertical="center"/>
    </xf>
    <xf numFmtId="0" fontId="1" fillId="12" borderId="4" applyAlignment="1" pivotButton="0" quotePrefix="0" xfId="0">
      <alignment horizontal="center" vertical="center"/>
    </xf>
    <xf numFmtId="0" fontId="37" fillId="25" borderId="11" applyAlignment="1" pivotButton="0" quotePrefix="0" xfId="0">
      <alignment horizontal="center" vertical="center"/>
    </xf>
    <xf numFmtId="0" fontId="4" fillId="4" borderId="36" applyAlignment="1" pivotButton="0" quotePrefix="0" xfId="0">
      <alignment horizontal="center" vertical="center"/>
    </xf>
    <xf numFmtId="0" fontId="0" fillId="0" borderId="29" pivotButton="0" quotePrefix="0" xfId="0"/>
  </cellXfs>
  <cellStyles count="1">
    <cellStyle name="Normal" xfId="0" builtinId="0"/>
  </cellStyles>
  <dxfs count="8">
    <dxf>
      <font>
        <color rgb="FF3D85C6"/>
      </font>
      <fill>
        <patternFill/>
      </fill>
      <border/>
    </dxf>
    <dxf>
      <font>
        <color rgb="FFB45F06"/>
      </font>
      <fill>
        <patternFill/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/>
      </fill>
      <border/>
    </dxf>
    <dxf>
      <font>
        <color rgb="FF38761D"/>
      </font>
      <fill>
        <patternFill/>
      </fill>
      <border/>
    </dxf>
    <dxf>
      <font>
        <b val="1"/>
        <color rgb="FFC62828"/>
      </font>
      <fill>
        <patternFill patternType="solid">
          <fgColor rgb="FFFFCDD2"/>
          <bgColor rgb="FFFFCDD2"/>
        </patternFill>
      </fill>
      <border/>
    </dxf>
    <dxf>
      <font/>
      <fill>
        <patternFill patternType="solid">
          <fgColor rgb="FFFFCDD2"/>
          <bgColor rgb="FFFFCDD2"/>
        </patternFill>
      </fill>
      <border/>
    </dxf>
    <dxf>
      <font>
        <b val="1"/>
        <color rgb="FFE65100"/>
      </font>
      <fill>
        <patternFill patternType="solid">
          <fgColor rgb="FFFFE0B2"/>
          <bgColor rgb="FFFFE0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ser>
          <idx val="0"/>
          <order val="0"/>
          <tx>
            <strRef>
              <f>DASHBOARD!$C$15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noFill/>
              <a:prstDash val="solid"/>
            </a:ln>
          </spPr>
          <cat>
            <strRef>
              <f>DASHBOARD!$B$16:$B$19</f>
            </strRef>
          </cat>
          <val>
            <numRef>
              <f>DASHBOARD!$C$16:$C$19</f>
              <numCache/>
            </numRef>
          </val>
        </ser>
        <gapWidth val="150"/>
        <axId val="172794904"/>
        <axId val="1549315124"/>
      </barChart>
      <catAx>
        <axId val="172794904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Your Actual Data of Income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549315124"/>
        <lblOffset val="100"/>
      </catAx>
      <valAx>
        <axId val="154931512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72794904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266700</colOff>
      <row>12</row>
      <rowOff>19050</rowOff>
    </from>
    <ext cx="5876925" cy="3429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97316"/>
    <outlinePr summaryBelow="1" summaryRight="1"/>
    <pageSetUpPr/>
  </sheetPr>
  <dimension ref="A1:T1000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1" customWidth="1" style="184" min="1" max="1"/>
    <col width="33.57" customWidth="1" style="184" min="2" max="2"/>
    <col width="14.29" customWidth="1" style="184" min="3" max="3"/>
    <col width="10.43" customWidth="1" style="184" min="4" max="4"/>
    <col width="12.43" customWidth="1" style="184" min="5" max="7"/>
    <col width="2" customWidth="1" style="184" min="8" max="8"/>
    <col width="12.43" customWidth="1" style="184" min="9" max="15"/>
    <col hidden="1" width="12.43" customWidth="1" style="184" min="16" max="16"/>
    <col hidden="1" width="13" customWidth="1" style="184" min="17" max="19"/>
    <col width="6.86" customWidth="1" style="184" min="20" max="20"/>
  </cols>
  <sheetData>
    <row r="1" ht="33" customHeight="1" s="184">
      <c r="A1" s="185" t="inlineStr">
        <is>
          <t>SUBU PERSONAL FINANCE &amp; PORTFOLIO — MASTER DASHBOARD</t>
        </is>
      </c>
      <c r="S1" s="11" t="n"/>
      <c r="T1" s="11" t="n"/>
    </row>
    <row r="2" ht="27.75" customHeight="1" s="184">
      <c r="A2" s="186" t="inlineStr">
        <is>
          <t>📅 SELECT PERIOD:</t>
        </is>
      </c>
      <c r="D2" s="187" t="inlineStr">
        <is>
          <t>All Time</t>
        </is>
      </c>
      <c r="H2" s="188">
        <f>IF(D2="Last Month","Period: "&amp; TEXT(EOMONTH(TODAY(),-2)+1,"MMM-YY")&amp;" to "&amp;TEXT(EOMONTH(TODAY(),-1),"MMM-YY"),IF(D2="Last 3 Months","Period: "&amp;TEXT(EOMONTH(TODAY(),-3)+1,"MMM-YY")&amp;" to "&amp;TEXT(TODAY(),"MMM-YY"),IF(D2="Last 6 Months","Period: "&amp;TEXT(EOMONTH(TODAY(),-6)+1,"MMM-YY")&amp;" to "&amp;TEXT(TODAY(),"MMM-YY"),IF(D2="Last 12 Months","Period: "&amp;TEXT(EOMONTH(TODAY(),-12)+1,"MMM-YY")&amp;" to "&amp;TEXT(TODAY(),"MMM-YY"),IF(D2="Year to Date","Period: Jan-"&amp;YEAR(TODAY())&amp;" to "&amp;TEXT(TODAY(),"MMM-YY"),"All Time: Feb-2025 to Today")))))</f>
        <v/>
      </c>
      <c r="N2" s="11" t="n"/>
      <c r="O2" s="11" t="n"/>
      <c r="P2" s="36">
        <f>IF(D2="Last Month",EOMONTH(TODAY(),-2)+1,IF(D2="Last 3 Months",EOMONTH(TODAY(),-3)+1,IF(D2="Last 6 Months",EOMONTH(TODAY(),-6)+1,IF(D2="Last 12 Months",EOMONTH(TODAY(),-12)+1,IF(D2="Year to Date",DATE(YEAR(TODAY()),1,1),DATE(2025,2,1))))))</f>
        <v/>
      </c>
      <c r="Q2" s="36">
        <f>IF(D2="Last Month",EOMONTH(TODAY(),-1),TODAY())</f>
        <v/>
      </c>
      <c r="R2" s="11" t="n"/>
      <c r="S2" s="11" t="n"/>
      <c r="T2" s="11" t="n"/>
    </row>
    <row r="3" ht="15" customHeight="1" s="184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</row>
    <row r="4" ht="15" customHeight="1" s="184">
      <c r="A4" s="189" t="inlineStr">
        <is>
          <t>💰 TOTAL WEALTH</t>
        </is>
      </c>
      <c r="C4" s="11" t="n"/>
      <c r="D4" s="11" t="n"/>
      <c r="E4" s="190" t="inlineStr">
        <is>
          <t>📥 PERIOD INCOME</t>
        </is>
      </c>
      <c r="G4" s="11" t="n"/>
      <c r="H4" s="11" t="n"/>
      <c r="I4" s="191" t="inlineStr">
        <is>
          <t>📤 PERIOD EXPENSES</t>
        </is>
      </c>
      <c r="K4" s="11" t="n"/>
      <c r="L4" s="11" t="n"/>
      <c r="M4" s="192" t="inlineStr">
        <is>
          <t>💸 NET SAVINGS</t>
        </is>
      </c>
      <c r="O4" s="11" t="n"/>
      <c r="P4" s="11" t="n"/>
      <c r="Q4" s="11" t="n"/>
      <c r="R4" s="11" t="n"/>
      <c r="S4" s="11" t="n"/>
      <c r="T4" s="11" t="n"/>
    </row>
    <row r="5" ht="39.75" customHeight="1" s="184">
      <c r="A5" s="193">
        <f>SUMIF('IN-HAND'!D:D,"Personal SBI (Saving)",'IN-HAND'!C:C)+SUMIF('IN-HAND'!D:D,"SBI FD",'IN-HAND'!C:C)+SUMIF('IN-HAND'!D:D,"EPFO",'IN-HAND'!C:C)+PORTFOLIO!E5</f>
        <v/>
      </c>
      <c r="C5" s="11" t="n"/>
      <c r="D5" s="11" t="n"/>
      <c r="E5" s="194">
        <f>IFERROR(SUMPRODUCT((INCOME!A$4:A$501&gt;=$P$2)*(INCOME!A$4:A$501&lt;=$Q$2)*(INCOME!C$4:C$501&gt;0)*(INCOME!D$4:D$501&lt;&gt;"Expense Money")*INCOME!C$4:C$501),0)</f>
        <v/>
      </c>
      <c r="G5" s="11" t="n"/>
      <c r="H5" s="11" t="n"/>
      <c r="I5" s="195">
        <f>IFERROR(SUMPRODUCT((EXPENSES!A$4:A$1999&gt;=$P$2)*(EXPENSES!A$4:A$1999&lt;=$Q$2)*EXPENSES!D$4:D$1999),0)</f>
        <v/>
      </c>
      <c r="K5" s="11" t="n"/>
      <c r="L5" s="11" t="n"/>
      <c r="M5" s="196">
        <f>IFERROR(SUMPRODUCT((INCOME!A$4:A$501&gt;=$P$2)*(INCOME!A$4:A$501&lt;=$Q$2)*(INCOME!C$4:C$501&gt;0)*(INCOME!D$4:D$501&lt;&gt;"Expense Money")*INCOME!C$4:C$501)-SUMPRODUCT((EXPENSES!A$4:A$1999&gt;=$P$2)*(EXPENSES!A$4:A$1999&lt;=$Q$2)*EXPENSES!D$4:D$1999),0)</f>
        <v/>
      </c>
      <c r="O5" s="11" t="n"/>
      <c r="P5" s="11" t="n"/>
      <c r="Q5" s="11" t="n"/>
      <c r="R5" s="11" t="n"/>
      <c r="S5" s="11" t="n"/>
      <c r="T5" s="11" t="n"/>
    </row>
    <row r="6" ht="19.5" customHeight="1" s="184">
      <c r="A6" s="197" t="inlineStr">
        <is>
          <t>Total across all assets</t>
        </is>
      </c>
      <c r="C6" s="11" t="n"/>
      <c r="D6" s="11" t="n"/>
      <c r="E6" s="198" t="inlineStr">
        <is>
          <t>Real income (excl. transfers)</t>
        </is>
      </c>
      <c r="G6" s="11" t="n"/>
      <c r="H6" s="11" t="n"/>
      <c r="I6" s="199" t="inlineStr">
        <is>
          <t>Total spending in period</t>
        </is>
      </c>
      <c r="K6" s="11" t="n"/>
      <c r="L6" s="11" t="n"/>
      <c r="M6" s="200" t="inlineStr">
        <is>
          <t>Income minus Expenses</t>
        </is>
      </c>
      <c r="O6" s="11" t="n"/>
      <c r="P6" s="11" t="n"/>
      <c r="Q6" s="11" t="n"/>
      <c r="R6" s="11" t="n"/>
      <c r="S6" s="11" t="n"/>
      <c r="T6" s="11" t="n"/>
    </row>
    <row r="7" ht="7.5" customHeight="1" s="184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</row>
    <row r="8" ht="19.5" customHeight="1" s="184">
      <c r="A8" s="201" t="inlineStr">
        <is>
          <t>🏦 BANK BALANCE</t>
        </is>
      </c>
      <c r="C8" s="11" t="n"/>
      <c r="D8" s="11" t="n"/>
      <c r="E8" s="202" t="inlineStr">
        <is>
          <t>🔒 FD</t>
        </is>
      </c>
      <c r="G8" s="11" t="n"/>
      <c r="H8" s="11" t="n"/>
      <c r="I8" s="203" t="inlineStr">
        <is>
          <t>🪙 CRYPTO VALUE</t>
        </is>
      </c>
      <c r="K8" s="11" t="n"/>
      <c r="L8" s="11" t="n"/>
      <c r="M8" s="204" t="inlineStr">
        <is>
          <t>📊 SHARES VALUE</t>
        </is>
      </c>
      <c r="O8" s="11" t="n"/>
      <c r="P8" s="11" t="n"/>
      <c r="Q8" s="11" t="n"/>
      <c r="R8" s="11" t="n"/>
      <c r="S8" s="11" t="n"/>
      <c r="T8" s="11" t="n"/>
    </row>
    <row r="9" ht="39.75" customHeight="1" s="184">
      <c r="A9" s="205">
        <f>SUMIF('IN-HAND'!D:D,"Personal SBI (Saving)",'IN-HAND'!C:C)</f>
        <v/>
      </c>
      <c r="C9" s="11" t="n"/>
      <c r="D9" s="11" t="n"/>
      <c r="E9" s="206">
        <f>SUMIF('IN-HAND'!D:D,"SBI FD",'IN-HAND'!C:C)+SUMIF('IN-HAND'!D:D,"EPFO",'IN-HAND'!C:C)</f>
        <v/>
      </c>
      <c r="G9" s="11" t="n"/>
      <c r="H9" s="11" t="n"/>
      <c r="I9" s="207">
        <f>PORTFOLIO!E3</f>
        <v/>
      </c>
      <c r="K9" s="11" t="n"/>
      <c r="L9" s="11" t="n"/>
      <c r="M9" s="208">
        <f>PORTFOLIO!E4</f>
        <v/>
      </c>
      <c r="O9" s="11" t="n"/>
      <c r="P9" s="11" t="n"/>
      <c r="Q9" s="11" t="n"/>
      <c r="R9" s="11" t="n"/>
      <c r="S9" s="11" t="n"/>
      <c r="T9" s="11" t="n"/>
    </row>
    <row r="10" ht="19.5" customHeight="1" s="184">
      <c r="A10" s="209" t="inlineStr">
        <is>
          <t>Personal SBI Savings Account</t>
        </is>
      </c>
      <c r="C10" s="11" t="n"/>
      <c r="D10" s="11" t="n"/>
      <c r="E10" s="210" t="inlineStr">
        <is>
          <t>Fixed Deposits &amp; Provident Fund</t>
        </is>
      </c>
      <c r="G10" s="11" t="n"/>
      <c r="H10" s="11" t="n"/>
      <c r="I10" s="211" t="inlineStr">
        <is>
          <t>Live crypto holdings value</t>
        </is>
      </c>
      <c r="K10" s="11" t="n"/>
      <c r="L10" s="11" t="n"/>
      <c r="M10" s="212" t="inlineStr">
        <is>
          <t>Mutual funds &amp; ETF value</t>
        </is>
      </c>
      <c r="O10" s="11" t="n"/>
      <c r="P10" s="11" t="n"/>
      <c r="Q10" s="11" t="n"/>
      <c r="R10" s="11" t="n"/>
      <c r="S10" s="11" t="n"/>
      <c r="T10" s="11" t="n"/>
    </row>
    <row r="11" ht="9.75" customHeight="1" s="184">
      <c r="A11" s="61" t="n"/>
      <c r="B11" s="61" t="n"/>
      <c r="C11" s="61" t="n"/>
      <c r="D11" s="61" t="n"/>
      <c r="E11" s="61" t="n"/>
      <c r="F11" s="61" t="n"/>
      <c r="G11" s="61" t="n"/>
      <c r="H11" s="61" t="n"/>
      <c r="I11" s="61" t="n"/>
      <c r="J11" s="61" t="n"/>
      <c r="K11" s="61" t="n"/>
      <c r="L11" s="61" t="n"/>
      <c r="M11" s="61" t="n"/>
      <c r="N11" s="61" t="n"/>
      <c r="O11" s="61" t="n"/>
      <c r="P11" s="61" t="n"/>
      <c r="Q11" s="61" t="n"/>
      <c r="R11" s="61" t="n"/>
      <c r="S11" s="61" t="n"/>
      <c r="T11" s="61" t="n"/>
    </row>
    <row r="12" ht="24" customHeight="1" s="184">
      <c r="A12" s="13" t="inlineStr">
        <is>
          <t>📊 EXPENSE BREAKDOWN BY CATEGORY — Period selected above</t>
        </is>
      </c>
      <c r="S12" s="61" t="n"/>
      <c r="T12" s="61" t="n"/>
    </row>
    <row r="13" ht="15" customHeight="1" s="184">
      <c r="A13" s="62" t="n"/>
      <c r="B13" s="62" t="n"/>
      <c r="C13" s="62" t="n"/>
      <c r="D13" s="62" t="n"/>
      <c r="E13" s="62" t="n"/>
      <c r="F13" s="62" t="n"/>
      <c r="G13" s="62" t="n"/>
      <c r="H13" s="61" t="n"/>
      <c r="I13" s="62" t="n"/>
      <c r="J13" s="62" t="n"/>
      <c r="K13" s="62" t="n"/>
      <c r="L13" s="62" t="n"/>
      <c r="M13" s="62" t="n"/>
      <c r="N13" s="62" t="n"/>
      <c r="O13" s="62" t="n"/>
      <c r="P13" s="61" t="n"/>
      <c r="Q13" s="61" t="n"/>
      <c r="R13" s="61" t="inlineStr">
        <is>
          <t>Category</t>
        </is>
      </c>
      <c r="S13" s="61" t="inlineStr">
        <is>
          <t>Amount</t>
        </is>
      </c>
      <c r="T13" s="61" t="n"/>
    </row>
    <row r="14" ht="15" customHeight="1" s="184">
      <c r="A14" s="63" t="n"/>
      <c r="B14" s="64" t="n"/>
      <c r="C14" s="64" t="n"/>
      <c r="D14" s="64" t="n"/>
      <c r="E14" s="65" t="n"/>
      <c r="F14" s="62" t="n"/>
      <c r="G14" s="62" t="n"/>
      <c r="H14" s="61" t="n"/>
      <c r="I14" s="63" t="n"/>
      <c r="J14" s="64" t="n"/>
      <c r="K14" s="64" t="n"/>
      <c r="L14" s="64" t="n"/>
      <c r="M14" s="65" t="n"/>
      <c r="N14" s="62" t="n"/>
      <c r="O14" s="62" t="n"/>
      <c r="P14" s="61" t="n"/>
      <c r="Q14" s="61" t="n"/>
      <c r="R14" s="61" t="inlineStr">
        <is>
          <t>Bills &amp; Utilities</t>
        </is>
      </c>
      <c r="S14" s="66">
        <f>IFERROR(SUMPRODUCT((EXPENSES!A$4:A$1999&gt;=$P$2)*(EXPENSES!A$4:A$1999&lt;=$Q$2)*(EXPENSES!E$4:E$1999="Bills &amp; Utilities")*EXPENSES!D$4:D$1999),0)</f>
        <v/>
      </c>
      <c r="T14" s="61" t="n"/>
    </row>
    <row r="15" ht="15" customHeight="1" s="184">
      <c r="A15" s="63" t="n"/>
      <c r="B15" s="213" t="inlineStr">
        <is>
          <t>Your Actual Data of Income</t>
        </is>
      </c>
      <c r="E15" s="65" t="n"/>
      <c r="F15" s="62" t="n"/>
      <c r="G15" s="62" t="n"/>
      <c r="H15" s="61" t="n"/>
      <c r="I15" s="63" t="n"/>
      <c r="J15" s="64" t="n"/>
      <c r="K15" s="64" t="n"/>
      <c r="L15" s="64" t="n"/>
      <c r="M15" s="65" t="n"/>
      <c r="N15" s="62" t="n"/>
      <c r="O15" s="62" t="n"/>
      <c r="P15" s="61" t="n"/>
      <c r="Q15" s="61" t="n"/>
      <c r="R15" s="61" t="inlineStr">
        <is>
          <t>Childcare &amp; Baby Needs</t>
        </is>
      </c>
      <c r="S15" s="66">
        <f>IFERROR(SUMPRODUCT((EXPENSES!A$4:A$1999&gt;=$P$2)*(EXPENSES!A$4:A$1999&lt;=$Q$2)*(EXPENSES!E$4:E$1999="Childcare &amp; Baby Needs")*EXPENSES!D$4:D$1999),0)</f>
        <v/>
      </c>
      <c r="T15" s="61" t="n"/>
    </row>
    <row r="16" ht="15" customHeight="1" s="184">
      <c r="A16" s="63" t="n"/>
      <c r="B16" s="68" t="inlineStr">
        <is>
          <t>🏦 BANK BALANCE</t>
        </is>
      </c>
      <c r="C16" s="69">
        <f>A9</f>
        <v/>
      </c>
      <c r="D16" s="70">
        <f>C16/$C$20</f>
        <v/>
      </c>
      <c r="E16" s="65" t="n"/>
      <c r="F16" s="62" t="n"/>
      <c r="G16" s="62" t="n"/>
      <c r="H16" s="61" t="n"/>
      <c r="I16" s="63" t="n"/>
      <c r="J16" s="64" t="n"/>
      <c r="K16" s="64" t="n"/>
      <c r="L16" s="64" t="n"/>
      <c r="M16" s="65" t="n"/>
      <c r="N16" s="62" t="n"/>
      <c r="O16" s="62" t="n"/>
      <c r="P16" s="61" t="n"/>
      <c r="Q16" s="61" t="n"/>
      <c r="R16" s="61" t="inlineStr">
        <is>
          <t>Education</t>
        </is>
      </c>
      <c r="S16" s="66">
        <f>IFERROR(SUMPRODUCT((EXPENSES!A$4:A$1999&gt;=$P$2)*(EXPENSES!A$4:A$1999&lt;=$Q$2)*(EXPENSES!E$4:E$1999="Education")*EXPENSES!D$4:D$1999),0)</f>
        <v/>
      </c>
      <c r="T16" s="61" t="n"/>
    </row>
    <row r="17" ht="15" customHeight="1" s="184">
      <c r="A17" s="63" t="n"/>
      <c r="B17" s="71" t="inlineStr">
        <is>
          <t xml:space="preserve">🔒 FD </t>
        </is>
      </c>
      <c r="C17" s="72">
        <f>E9</f>
        <v/>
      </c>
      <c r="D17" s="73">
        <f>C17/$C$20</f>
        <v/>
      </c>
      <c r="E17" s="65" t="n"/>
      <c r="F17" s="62" t="n"/>
      <c r="G17" s="62" t="n"/>
      <c r="H17" s="61" t="n"/>
      <c r="I17" s="63" t="n"/>
      <c r="J17" s="64" t="n"/>
      <c r="K17" s="64" t="n"/>
      <c r="L17" s="64" t="n"/>
      <c r="M17" s="65" t="n"/>
      <c r="N17" s="62" t="n"/>
      <c r="O17" s="62" t="n"/>
      <c r="P17" s="61" t="n"/>
      <c r="Q17" s="61" t="n"/>
      <c r="R17" s="61" t="inlineStr">
        <is>
          <t>Electronics &amp; Gadgets</t>
        </is>
      </c>
      <c r="S17" s="66">
        <f>IFERROR(SUMPRODUCT((EXPENSES!A$4:A$1999&gt;=$P$2)*(EXPENSES!A$4:A$1999&lt;=$Q$2)*(EXPENSES!E$4:E$1999="Electronics &amp; Gadgets")*EXPENSES!D$4:D$1999),0)</f>
        <v/>
      </c>
      <c r="T17" s="61" t="n"/>
    </row>
    <row r="18" ht="15" customHeight="1" s="184">
      <c r="A18" s="63" t="n"/>
      <c r="B18" s="74" t="inlineStr">
        <is>
          <t>🪙 CRYPTO VALUE</t>
        </is>
      </c>
      <c r="C18" s="75">
        <f>I9</f>
        <v/>
      </c>
      <c r="D18" s="76">
        <f>C18/$C$20</f>
        <v/>
      </c>
      <c r="E18" s="65" t="n"/>
      <c r="F18" s="62" t="n"/>
      <c r="G18" s="62" t="n"/>
      <c r="H18" s="61" t="n"/>
      <c r="I18" s="63" t="n"/>
      <c r="J18" s="64" t="n"/>
      <c r="K18" s="64" t="n"/>
      <c r="L18" s="64" t="n"/>
      <c r="M18" s="65" t="n"/>
      <c r="N18" s="62" t="n"/>
      <c r="O18" s="62" t="n"/>
      <c r="P18" s="61" t="n"/>
      <c r="Q18" s="61" t="n"/>
      <c r="R18" s="61" t="inlineStr">
        <is>
          <t>Entertainment</t>
        </is>
      </c>
      <c r="S18" s="66">
        <f>IFERROR(SUMPRODUCT((EXPENSES!A$4:A$1999&gt;=$P$2)*(EXPENSES!A$4:A$1999&lt;=$Q$2)*(EXPENSES!E$4:E$1999="Entertainment")*EXPENSES!D$4:D$1999),0)</f>
        <v/>
      </c>
      <c r="T18" s="61" t="n"/>
    </row>
    <row r="19" ht="15" customHeight="1" s="184">
      <c r="A19" s="61" t="n"/>
      <c r="B19" s="77" t="inlineStr">
        <is>
          <t>📊 Shares &amp; Commodities</t>
        </is>
      </c>
      <c r="C19" s="78">
        <f>M9</f>
        <v/>
      </c>
      <c r="D19" s="79">
        <f>C19/$C$20</f>
        <v/>
      </c>
      <c r="E19" s="61" t="n"/>
      <c r="F19" s="61" t="n"/>
      <c r="G19" s="61" t="n"/>
      <c r="H19" s="61" t="n"/>
      <c r="I19" s="61" t="n"/>
      <c r="J19" s="61" t="n"/>
      <c r="K19" s="61" t="n"/>
      <c r="L19" s="61" t="n"/>
      <c r="M19" s="61" t="n"/>
      <c r="N19" s="61" t="n"/>
      <c r="O19" s="61" t="n"/>
      <c r="P19" s="61" t="n"/>
      <c r="Q19" s="61" t="n"/>
      <c r="R19" s="61" t="inlineStr">
        <is>
          <t>Familly</t>
        </is>
      </c>
      <c r="S19" s="66">
        <f>IFERROR(SUMPRODUCT((EXPENSES!A$4:A$1999&gt;=$P$2)*(EXPENSES!A$4:A$1999&lt;=$Q$2)*(EXPENSES!E$4:E$1999="Familly")*EXPENSES!D$4:D$1999),0)</f>
        <v/>
      </c>
      <c r="T19" s="61" t="n"/>
    </row>
    <row r="20" ht="15" customHeight="1" s="184">
      <c r="A20" s="61" t="n"/>
      <c r="B20" s="80" t="inlineStr">
        <is>
          <t>💰 TOTAL WEALTH</t>
        </is>
      </c>
      <c r="C20" s="81">
        <f>SUM(C16:C19)</f>
        <v/>
      </c>
      <c r="D20" s="82">
        <f>C20/$C$20</f>
        <v/>
      </c>
      <c r="E20" s="61" t="n"/>
      <c r="F20" s="61" t="n"/>
      <c r="G20" s="61" t="n"/>
      <c r="H20" s="61" t="n"/>
      <c r="I20" s="61" t="n"/>
      <c r="J20" s="61" t="n"/>
      <c r="K20" s="61" t="n"/>
      <c r="L20" s="61" t="n"/>
      <c r="M20" s="61" t="n"/>
      <c r="N20" s="61" t="n"/>
      <c r="O20" s="61" t="n"/>
      <c r="P20" s="61" t="n"/>
      <c r="Q20" s="61" t="n"/>
      <c r="R20" s="61" t="inlineStr">
        <is>
          <t>Fitness</t>
        </is>
      </c>
      <c r="S20" s="66">
        <f>IFERROR(SUMPRODUCT((EXPENSES!A$4:A$1999&gt;=$P$2)*(EXPENSES!A$4:A$1999&lt;=$Q$2)*(EXPENSES!E$4:E$1999="Fitness")*EXPENSES!D$4:D$1999),0)</f>
        <v/>
      </c>
      <c r="T20" s="61" t="n"/>
    </row>
    <row r="21" ht="15" customHeight="1" s="184">
      <c r="A21" s="62" t="n"/>
      <c r="B21" s="61" t="n"/>
      <c r="C21" s="61" t="n"/>
      <c r="D21" s="61" t="n"/>
      <c r="E21" s="61" t="n"/>
      <c r="F21" s="61" t="n"/>
      <c r="G21" s="61" t="n"/>
      <c r="H21" s="61" t="n"/>
      <c r="I21" s="61" t="n"/>
      <c r="J21" s="61" t="n"/>
      <c r="K21" s="61" t="n"/>
      <c r="L21" s="61" t="n"/>
      <c r="M21" s="61" t="n"/>
      <c r="N21" s="61" t="n"/>
      <c r="O21" s="61" t="n"/>
      <c r="P21" s="61" t="n"/>
      <c r="Q21" s="61" t="n"/>
      <c r="R21" s="61" t="inlineStr">
        <is>
          <t>Snacks &amp; Quick Bites</t>
        </is>
      </c>
      <c r="S21" s="66">
        <f>IFERROR(SUMPRODUCT((EXPENSES!A$4:A$1999&gt;=$P$2)*(EXPENSES!A$4:A$1999&lt;=$Q$2)*(EXPENSES!E$4:E$1999="Snacks &amp; Quick Bites")*EXPENSES!D$4:D$1999),0)</f>
        <v/>
      </c>
      <c r="T21" s="61" t="n"/>
    </row>
    <row r="22" ht="15" customHeight="1" s="184">
      <c r="A22" s="62" t="n"/>
      <c r="B22" s="61" t="n"/>
      <c r="C22" s="62" t="n"/>
      <c r="D22" s="61" t="n"/>
      <c r="E22" s="62" t="n"/>
      <c r="F22" s="61" t="n"/>
      <c r="G22" s="62" t="n"/>
      <c r="H22" s="61" t="n"/>
      <c r="I22" s="61" t="n"/>
      <c r="J22" s="61" t="n"/>
      <c r="K22" s="61" t="n"/>
      <c r="L22" s="61" t="n"/>
      <c r="M22" s="61" t="n"/>
      <c r="N22" s="61" t="n"/>
      <c r="O22" s="61" t="n"/>
      <c r="P22" s="61" t="n"/>
      <c r="Q22" s="61" t="n"/>
      <c r="R22" s="61" t="inlineStr">
        <is>
          <t>Fuel</t>
        </is>
      </c>
      <c r="S22" s="66">
        <f>IFERROR(SUMPRODUCT((EXPENSES!A$4:A$1999&gt;=$P$2)*(EXPENSES!A$4:A$1999&lt;=$Q$2)*(EXPENSES!E$4:E$1999="Fuel")*EXPENSES!D$4:D$1999),0)</f>
        <v/>
      </c>
      <c r="T22" s="61" t="n"/>
    </row>
    <row r="23" ht="15" customHeight="1" s="184">
      <c r="A23" s="64" t="n"/>
      <c r="B23" s="61" t="n"/>
      <c r="C23" s="64" t="n"/>
      <c r="D23" s="61" t="n"/>
      <c r="E23" s="64" t="n"/>
      <c r="F23" s="61" t="n"/>
      <c r="G23" s="64" t="n"/>
      <c r="H23" s="61" t="n"/>
      <c r="I23" s="61" t="n"/>
      <c r="J23" s="61" t="n"/>
      <c r="K23" s="61" t="n"/>
      <c r="L23" s="61" t="n"/>
      <c r="M23" s="61" t="n"/>
      <c r="N23" s="61" t="n"/>
      <c r="O23" s="61" t="n"/>
      <c r="P23" s="61" t="n"/>
      <c r="Q23" s="61" t="n"/>
      <c r="R23" s="61" t="inlineStr">
        <is>
          <t>Gifts</t>
        </is>
      </c>
      <c r="S23" s="66">
        <f>IFERROR(SUMPRODUCT((EXPENSES!A$4:A$1999&gt;=$P$2)*(EXPENSES!A$4:A$1999&lt;=$Q$2)*(EXPENSES!E$4:E$1999="Gifts")*EXPENSES!D$4:D$1999),0)</f>
        <v/>
      </c>
      <c r="T23" s="61" t="n"/>
    </row>
    <row r="24" ht="15" customHeight="1" s="184">
      <c r="A24" s="62" t="n"/>
      <c r="B24" s="61" t="n"/>
      <c r="C24" s="62" t="n"/>
      <c r="D24" s="61" t="n"/>
      <c r="E24" s="62" t="n"/>
      <c r="F24" s="61" t="n"/>
      <c r="G24" s="62" t="n"/>
      <c r="H24" s="61" t="n"/>
      <c r="I24" s="61" t="n"/>
      <c r="J24" s="61" t="n"/>
      <c r="K24" s="61" t="n"/>
      <c r="L24" s="61" t="n"/>
      <c r="M24" s="61" t="n"/>
      <c r="N24" s="61" t="n"/>
      <c r="O24" s="61" t="n"/>
      <c r="P24" s="61" t="n"/>
      <c r="Q24" s="61" t="n"/>
      <c r="R24" s="61" t="inlineStr">
        <is>
          <t>Groceries</t>
        </is>
      </c>
      <c r="S24" s="66">
        <f>IFERROR(SUMPRODUCT((EXPENSES!A$4:A$1999&gt;=$P$2)*(EXPENSES!A$4:A$1999&lt;=$Q$2)*(EXPENSES!E$4:E$1999="Groceries")*EXPENSES!D$4:D$1999),0)</f>
        <v/>
      </c>
      <c r="T24" s="61" t="n"/>
    </row>
    <row r="25" ht="15" customHeight="1" s="184">
      <c r="A25" s="61" t="n"/>
      <c r="B25" s="61" t="n"/>
      <c r="C25" s="61" t="n"/>
      <c r="D25" s="61" t="n"/>
      <c r="E25" s="61" t="n"/>
      <c r="F25" s="61" t="n"/>
      <c r="G25" s="61" t="n"/>
      <c r="H25" s="61" t="n"/>
      <c r="I25" s="61" t="n"/>
      <c r="J25" s="61" t="n"/>
      <c r="K25" s="61" t="n"/>
      <c r="L25" s="61" t="n"/>
      <c r="M25" s="61" t="n"/>
      <c r="N25" s="61" t="n"/>
      <c r="O25" s="61" t="n"/>
      <c r="P25" s="61" t="n"/>
      <c r="Q25" s="61" t="n"/>
      <c r="R25" s="61" t="inlineStr">
        <is>
          <t>HouseHold</t>
        </is>
      </c>
      <c r="S25" s="66">
        <f>IFERROR(SUMPRODUCT((EXPENSES!A$4:A$1999&gt;=$P$2)*(EXPENSES!A$4:A$1999&lt;=$Q$2)*(EXPENSES!E$4:E$1999="HouseHold")*EXPENSES!D$4:D$1999),0)</f>
        <v/>
      </c>
      <c r="T25" s="61" t="n"/>
    </row>
    <row r="26" ht="15" customHeight="1" s="184">
      <c r="A26" s="61" t="n"/>
      <c r="B26" s="61" t="n"/>
      <c r="C26" s="61" t="n"/>
      <c r="D26" s="61" t="n"/>
      <c r="E26" s="61" t="n"/>
      <c r="F26" s="61" t="n"/>
      <c r="G26" s="61" t="n"/>
      <c r="H26" s="61" t="n"/>
      <c r="I26" s="61" t="n"/>
      <c r="J26" s="61" t="n"/>
      <c r="K26" s="61" t="n"/>
      <c r="L26" s="61" t="n"/>
      <c r="M26" s="61" t="n"/>
      <c r="N26" s="61" t="n"/>
      <c r="O26" s="61" t="n"/>
      <c r="P26" s="61" t="n"/>
      <c r="Q26" s="61" t="n"/>
      <c r="R26" s="61" t="inlineStr">
        <is>
          <t>Insurance</t>
        </is>
      </c>
      <c r="S26" s="66">
        <f>IFERROR(SUMPRODUCT((EXPENSES!A$4:A$1999&gt;=$P$2)*(EXPENSES!A$4:A$1999&lt;=$Q$2)*(EXPENSES!E$4:E$1999="Insurance")*EXPENSES!D$4:D$1999),0)</f>
        <v/>
      </c>
      <c r="T26" s="61" t="n"/>
    </row>
    <row r="27" ht="15" customHeight="1" s="184">
      <c r="A27" s="61" t="n"/>
      <c r="B27" s="61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inlineStr">
        <is>
          <t>Investments</t>
        </is>
      </c>
      <c r="S27" s="66">
        <f>IFERROR(SUMPRODUCT((EXPENSES!A$4:A$1999&gt;=$P$2)*(EXPENSES!A$4:A$1999&lt;=$Q$2)*(EXPENSES!E$4:E$1999="Investments")*EXPENSES!D$4:D$1999),0)</f>
        <v/>
      </c>
      <c r="T27" s="61" t="n"/>
    </row>
    <row r="28" ht="15" customHeight="1" s="184">
      <c r="A28" s="61" t="n"/>
      <c r="B28" s="61" t="n"/>
      <c r="C28" s="61" t="n"/>
      <c r="D28" s="61" t="n"/>
      <c r="E28" s="61" t="n"/>
      <c r="F28" s="61" t="n"/>
      <c r="G28" s="61" t="n"/>
      <c r="H28" s="61" t="n"/>
      <c r="I28" s="61" t="n"/>
      <c r="J28" s="61" t="n"/>
      <c r="K28" s="61" t="n"/>
      <c r="L28" s="61" t="n"/>
      <c r="M28" s="61" t="n"/>
      <c r="N28" s="61" t="n"/>
      <c r="O28" s="61" t="n"/>
      <c r="P28" s="61" t="n"/>
      <c r="Q28" s="61" t="n"/>
      <c r="R28" s="61" t="inlineStr">
        <is>
          <t>Loans Given &amp; Taken</t>
        </is>
      </c>
      <c r="S28" s="66">
        <f>IFERROR(SUMPRODUCT((EXPENSES!A$4:A$1999&gt;=$P$2)*(EXPENSES!A$4:A$1999&lt;=$Q$2)*(EXPENSES!E$4:E$1999="Loans Given &amp; Taken")*EXPENSES!D$4:D$1999),0)</f>
        <v/>
      </c>
      <c r="T28" s="61" t="n"/>
    </row>
    <row r="29" ht="15" customHeight="1" s="184">
      <c r="A29" s="61" t="n"/>
      <c r="B29" s="61" t="n"/>
      <c r="C29" s="61" t="n"/>
      <c r="D29" s="61" t="n"/>
      <c r="E29" s="61" t="n"/>
      <c r="F29" s="61" t="n"/>
      <c r="G29" s="61" t="n"/>
      <c r="H29" s="61" t="n"/>
      <c r="I29" s="61" t="n"/>
      <c r="J29" s="61" t="n"/>
      <c r="K29" s="61" t="n"/>
      <c r="L29" s="61" t="n"/>
      <c r="M29" s="61" t="n"/>
      <c r="N29" s="61" t="n"/>
      <c r="O29" s="61" t="n"/>
      <c r="P29" s="61" t="n"/>
      <c r="Q29" s="61" t="n"/>
      <c r="R29" s="61" t="inlineStr">
        <is>
          <t>Medical</t>
        </is>
      </c>
      <c r="S29" s="66">
        <f>IFERROR(SUMPRODUCT((EXPENSES!A$4:A$1999&gt;=$P$2)*(EXPENSES!A$4:A$1999&lt;=$Q$2)*(EXPENSES!E$4:E$1999="Medical")*EXPENSES!D$4:D$1999),0)</f>
        <v/>
      </c>
      <c r="T29" s="61" t="n"/>
    </row>
    <row r="30" ht="15" customHeight="1" s="184">
      <c r="A30" s="61" t="n"/>
      <c r="B30" s="61" t="n"/>
      <c r="C30" s="61" t="n"/>
      <c r="D30" s="61" t="n"/>
      <c r="E30" s="61" t="n"/>
      <c r="F30" s="61" t="n"/>
      <c r="G30" s="61" t="n"/>
      <c r="H30" s="61" t="n"/>
      <c r="I30" s="61" t="n"/>
      <c r="J30" s="61" t="n"/>
      <c r="K30" s="61" t="n"/>
      <c r="L30" s="61" t="n"/>
      <c r="M30" s="61" t="n"/>
      <c r="N30" s="61" t="n"/>
      <c r="O30" s="61" t="n"/>
      <c r="P30" s="61" t="n"/>
      <c r="Q30" s="61" t="n"/>
      <c r="R30" s="61" t="inlineStr">
        <is>
          <t>Personal Care</t>
        </is>
      </c>
      <c r="S30" s="66">
        <f>IFERROR(SUMPRODUCT((EXPENSES!A$4:A$1999&gt;=$P$2)*(EXPENSES!A$4:A$1999&lt;=$Q$2)*(EXPENSES!E$4:E$1999="Personal Care")*EXPENSES!D$4:D$1999),0)</f>
        <v/>
      </c>
      <c r="T30" s="61" t="n"/>
    </row>
    <row r="31" ht="15" customHeight="1" s="184">
      <c r="A31" s="61" t="n"/>
      <c r="B31" s="61" t="n"/>
      <c r="C31" s="61" t="n"/>
      <c r="D31" s="61" t="n"/>
      <c r="E31" s="61" t="n"/>
      <c r="F31" s="61" t="n"/>
      <c r="G31" s="61" t="n"/>
      <c r="H31" s="61" t="n"/>
      <c r="I31" s="61" t="n"/>
      <c r="J31" s="61" t="n"/>
      <c r="K31" s="61" t="n"/>
      <c r="L31" s="61" t="n"/>
      <c r="M31" s="61" t="n"/>
      <c r="N31" s="61" t="n"/>
      <c r="O31" s="61" t="n"/>
      <c r="P31" s="61" t="n"/>
      <c r="Q31" s="61" t="n"/>
      <c r="R31" s="61" t="inlineStr">
        <is>
          <t>Rent</t>
        </is>
      </c>
      <c r="S31" s="66">
        <f>IFERROR(SUMPRODUCT((EXPENSES!A$4:A$1999&gt;=$P$2)*(EXPENSES!A$4:A$1999&lt;=$Q$2)*(EXPENSES!E$4:E$1999="Rent")*EXPENSES!D$4:D$1999),0)</f>
        <v/>
      </c>
      <c r="T31" s="61" t="n"/>
    </row>
    <row r="32" ht="15.75" customHeight="1" s="184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</row>
    <row r="33" ht="15.75" customHeight="1" s="184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</row>
    <row r="34" ht="15.75" customHeight="1" s="18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</row>
    <row r="35" ht="15.75" customHeight="1" s="184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</row>
    <row r="36" ht="15.75" customHeight="1" s="184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</row>
    <row r="37" ht="15.75" customHeight="1" s="184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</row>
    <row r="38" ht="15.75" customHeight="1" s="184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</row>
    <row r="39" ht="15.75" customHeight="1" s="184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</row>
    <row r="40" ht="15.75" customHeight="1" s="184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</row>
    <row r="41" ht="15.75" customHeight="1" s="184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</row>
    <row r="42" ht="15.75" customHeight="1" s="184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  <row r="43" ht="15.75" customHeight="1" s="184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</row>
    <row r="44" ht="15.75" customHeight="1" s="18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</row>
    <row r="45" ht="15.75" customHeight="1" s="184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</row>
    <row r="46" ht="15.75" customHeight="1" s="184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</row>
    <row r="47" ht="15.75" customHeight="1" s="184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</row>
    <row r="48" ht="15.75" customHeight="1" s="184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</row>
    <row r="49" ht="15.75" customHeight="1" s="184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</row>
    <row r="50" ht="15.75" customHeight="1" s="184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</row>
    <row r="51" ht="15.75" customHeight="1" s="184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</row>
    <row r="52" ht="15.75" customHeight="1" s="184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</row>
    <row r="53" ht="15.75" customHeight="1" s="184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</row>
    <row r="54" ht="15.75" customHeight="1" s="18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</row>
    <row r="55" ht="15.75" customHeight="1" s="184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</row>
    <row r="56" ht="15.75" customHeight="1" s="184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</row>
    <row r="57" ht="15.75" customHeight="1" s="184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</row>
    <row r="58" ht="15.75" customHeight="1" s="184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</row>
    <row r="59" ht="15.75" customHeight="1" s="184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</row>
    <row r="60" ht="15.75" customHeight="1" s="184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</row>
    <row r="61" ht="15.75" customHeight="1" s="184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</row>
    <row r="62" ht="15.75" customHeight="1" s="184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</row>
    <row r="63" ht="15.75" customHeight="1" s="184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</row>
    <row r="64" ht="15.75" customHeight="1" s="18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</row>
    <row r="65" ht="15.75" customHeight="1" s="184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</row>
    <row r="66" ht="15.75" customHeight="1" s="184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</row>
    <row r="67" ht="15.75" customHeight="1" s="184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</row>
    <row r="68" ht="15.75" customHeight="1" s="184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</row>
    <row r="69" ht="15.75" customHeight="1" s="184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</row>
    <row r="70" ht="15.75" customHeight="1" s="184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</row>
    <row r="71" ht="15.75" customHeight="1" s="184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</row>
    <row r="72" ht="15.75" customHeight="1" s="184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</row>
    <row r="73" ht="15.75" customHeight="1" s="184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</row>
    <row r="74" ht="15.75" customHeight="1" s="18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</row>
    <row r="75" ht="15.75" customHeight="1" s="184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</row>
    <row r="76" ht="15.75" customHeight="1" s="184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</row>
    <row r="77" ht="15.75" customHeight="1" s="184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</row>
    <row r="78" ht="15.75" customHeight="1" s="184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</row>
    <row r="79" ht="15.75" customHeight="1" s="184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</row>
    <row r="80" ht="15.75" customHeight="1" s="184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</row>
    <row r="81" ht="15.75" customHeight="1" s="184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</row>
    <row r="82" ht="15.75" customHeight="1" s="184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</row>
    <row r="83" ht="15.75" customHeight="1" s="184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</row>
    <row r="84" ht="15.75" customHeight="1" s="1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</row>
    <row r="85" ht="15.75" customHeight="1" s="184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</row>
    <row r="86" ht="15.75" customHeight="1" s="184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</row>
    <row r="87" ht="15.75" customHeight="1" s="184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</row>
    <row r="88" ht="15.75" customHeight="1" s="184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</row>
    <row r="89" ht="15.75" customHeight="1" s="184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</row>
    <row r="90" ht="15.75" customHeight="1" s="184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</row>
    <row r="91" ht="15.75" customHeight="1" s="184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</row>
    <row r="92" ht="15.75" customHeight="1" s="184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</row>
    <row r="93" ht="15.75" customHeight="1" s="184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</row>
    <row r="94" ht="15.75" customHeight="1" s="18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</row>
    <row r="95" ht="15.75" customHeight="1" s="184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</row>
    <row r="96" ht="15.75" customHeight="1" s="184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</row>
    <row r="97" ht="15.75" customHeight="1" s="184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</row>
    <row r="98" ht="15.75" customHeight="1" s="184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</row>
    <row r="99" ht="15.75" customHeight="1" s="184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</row>
    <row r="100" ht="15.75" customHeight="1" s="184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</row>
    <row r="101" ht="15.75" customHeight="1" s="184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</row>
    <row r="102" ht="15.75" customHeight="1" s="184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</row>
    <row r="103" ht="15.75" customHeight="1" s="184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</row>
    <row r="104" ht="15.75" customHeight="1" s="18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</row>
    <row r="105" ht="15.75" customHeight="1" s="184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</row>
    <row r="106" ht="15.75" customHeight="1" s="184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</row>
    <row r="107" ht="15.75" customHeight="1" s="184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</row>
    <row r="108" ht="15.75" customHeight="1" s="184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</row>
    <row r="109" ht="15.75" customHeight="1" s="184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</row>
    <row r="110" ht="15.75" customHeight="1" s="184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</row>
    <row r="111" ht="15.75" customHeight="1" s="184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</row>
    <row r="112" ht="15.75" customHeight="1" s="184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</row>
    <row r="113" ht="15.75" customHeight="1" s="184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</row>
    <row r="114" ht="15.75" customHeight="1" s="18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</row>
    <row r="115" ht="15.75" customHeight="1" s="184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</row>
    <row r="116" ht="15.75" customHeight="1" s="184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</row>
    <row r="117" ht="15.75" customHeight="1" s="184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</row>
    <row r="118" ht="15.75" customHeight="1" s="184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</row>
    <row r="119" ht="15.75" customHeight="1" s="184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</row>
    <row r="120" ht="15.75" customHeight="1" s="184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</row>
    <row r="121" ht="15.75" customHeight="1" s="184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</row>
    <row r="122" ht="15.75" customHeight="1" s="184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</row>
    <row r="123" ht="15.75" customHeight="1" s="184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</row>
    <row r="124" ht="15.75" customHeight="1" s="18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</row>
    <row r="125" ht="15.75" customHeight="1" s="184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</row>
    <row r="126" ht="15.75" customHeight="1" s="184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</row>
    <row r="127" ht="15.75" customHeight="1" s="184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</row>
    <row r="128" ht="15.75" customHeight="1" s="184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</row>
    <row r="129" ht="15.75" customHeight="1" s="184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</row>
    <row r="130" ht="15.75" customHeight="1" s="184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</row>
    <row r="131" ht="15.75" customHeight="1" s="184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</row>
    <row r="132" ht="15.75" customHeight="1" s="184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</row>
    <row r="133" ht="15.75" customHeight="1" s="184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</row>
    <row r="134" ht="15.75" customHeight="1" s="18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</row>
    <row r="135" ht="15.75" customHeight="1" s="184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</row>
    <row r="136" ht="15.75" customHeight="1" s="184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</row>
    <row r="137" ht="15.75" customHeight="1" s="184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</row>
    <row r="138" ht="15.75" customHeight="1" s="184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</row>
    <row r="139" ht="15.75" customHeight="1" s="184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</row>
    <row r="140" ht="15.75" customHeight="1" s="184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</row>
    <row r="141" ht="15.75" customHeight="1" s="184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</row>
    <row r="142" ht="15.75" customHeight="1" s="184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</row>
    <row r="143" ht="15.75" customHeight="1" s="184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</row>
    <row r="144" ht="15.75" customHeight="1" s="18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</row>
    <row r="145" ht="15.75" customHeight="1" s="184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</row>
    <row r="146" ht="15.75" customHeight="1" s="184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</row>
    <row r="147" ht="15.75" customHeight="1" s="184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</row>
    <row r="148" ht="15.75" customHeight="1" s="184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</row>
    <row r="149" ht="15.75" customHeight="1" s="184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</row>
    <row r="150" ht="15.75" customHeight="1" s="184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</row>
    <row r="151" ht="15.75" customHeight="1" s="184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</row>
    <row r="152" ht="15.75" customHeight="1" s="184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</row>
    <row r="153" ht="15.75" customHeight="1" s="184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</row>
    <row r="154" ht="15.75" customHeight="1" s="18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</row>
    <row r="155" ht="15.75" customHeight="1" s="184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</row>
    <row r="156" ht="15.75" customHeight="1" s="184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</row>
    <row r="157" ht="15.75" customHeight="1" s="184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</row>
    <row r="158" ht="15.75" customHeight="1" s="184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</row>
    <row r="159" ht="15.75" customHeight="1" s="184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</row>
    <row r="160" ht="15.75" customHeight="1" s="184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</row>
    <row r="161" ht="15.75" customHeight="1" s="184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</row>
    <row r="162" ht="15.75" customHeight="1" s="184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</row>
    <row r="163" ht="15.75" customHeight="1" s="184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</row>
    <row r="164" ht="15.75" customHeight="1" s="18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</row>
    <row r="165" ht="15.75" customHeight="1" s="184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</row>
    <row r="166" ht="15.75" customHeight="1" s="184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</row>
    <row r="167" ht="15.75" customHeight="1" s="184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</row>
    <row r="168" ht="15.75" customHeight="1" s="184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</row>
    <row r="169" ht="15.75" customHeight="1" s="184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</row>
    <row r="170" ht="15.75" customHeight="1" s="184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</row>
    <row r="171" ht="15.75" customHeight="1" s="184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</row>
    <row r="172" ht="15.75" customHeight="1" s="184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</row>
    <row r="173" ht="15.75" customHeight="1" s="184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</row>
    <row r="174" ht="15.75" customHeight="1" s="18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</row>
    <row r="175" ht="15.75" customHeight="1" s="184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</row>
    <row r="176" ht="15.75" customHeight="1" s="184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</row>
    <row r="177" ht="15.75" customHeight="1" s="184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</row>
    <row r="178" ht="15.75" customHeight="1" s="184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</row>
    <row r="179" ht="15.75" customHeight="1" s="184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</row>
    <row r="180" ht="15.75" customHeight="1" s="184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</row>
    <row r="181" ht="15.75" customHeight="1" s="184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</row>
    <row r="182" ht="15.75" customHeight="1" s="184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</row>
    <row r="183" ht="15.75" customHeight="1" s="184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</row>
    <row r="184" ht="15.75" customHeight="1" s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</row>
    <row r="185" ht="15.75" customHeight="1" s="184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</row>
    <row r="186" ht="15.75" customHeight="1" s="184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</row>
    <row r="187" ht="15.75" customHeight="1" s="184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</row>
    <row r="188" ht="15.75" customHeight="1" s="184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</row>
    <row r="189" ht="15.75" customHeight="1" s="184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</row>
    <row r="190" ht="15.75" customHeight="1" s="184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</row>
    <row r="191" ht="15.75" customHeight="1" s="184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</row>
    <row r="192" ht="15.75" customHeight="1" s="184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</row>
    <row r="193" ht="15.75" customHeight="1" s="184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</row>
    <row r="194" ht="15.75" customHeight="1" s="18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</row>
    <row r="195" ht="15.75" customHeight="1" s="184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</row>
    <row r="196" ht="15.75" customHeight="1" s="184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</row>
    <row r="197" ht="15.75" customHeight="1" s="184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</row>
    <row r="198" ht="15.75" customHeight="1" s="184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</row>
    <row r="199" ht="15.75" customHeight="1" s="184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</row>
    <row r="200" ht="15.75" customHeight="1" s="184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</row>
    <row r="201" ht="15.75" customHeight="1" s="184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</row>
    <row r="202" ht="15.75" customHeight="1" s="184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</row>
    <row r="203" ht="15.75" customHeight="1" s="184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</row>
    <row r="204" ht="15.75" customHeight="1" s="18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</row>
    <row r="205" ht="15.75" customHeight="1" s="184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</row>
    <row r="206" ht="15.75" customHeight="1" s="184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</row>
    <row r="207" ht="15.75" customHeight="1" s="184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</row>
    <row r="208" ht="15.75" customHeight="1" s="184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</row>
    <row r="209" ht="15.75" customHeight="1" s="184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</row>
    <row r="210" ht="15.75" customHeight="1" s="184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</row>
    <row r="211" ht="15.75" customHeight="1" s="184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</row>
    <row r="212" ht="15.75" customHeight="1" s="184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</row>
    <row r="213" ht="15.75" customHeight="1" s="184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</row>
    <row r="214" ht="15.75" customHeight="1" s="18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</row>
    <row r="215" ht="15.75" customHeight="1" s="184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</row>
    <row r="216" ht="15.75" customHeight="1" s="184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</row>
    <row r="217" ht="15.75" customHeight="1" s="184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</row>
    <row r="218" ht="15.75" customHeight="1" s="184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</row>
    <row r="219" ht="15.75" customHeight="1" s="184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</row>
    <row r="220" ht="15.75" customHeight="1" s="184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</row>
    <row r="221" ht="15.75" customHeight="1" s="184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</row>
    <row r="222" ht="15.75" customHeight="1" s="184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</row>
    <row r="223" ht="15.75" customHeight="1" s="18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</row>
    <row r="224" ht="15.75" customHeight="1" s="18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</row>
    <row r="225" ht="15.75" customHeight="1" s="18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</row>
    <row r="226" ht="15.75" customHeight="1" s="18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</row>
    <row r="227" ht="15.75" customHeight="1" s="18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</row>
    <row r="228" ht="15.75" customHeight="1" s="18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</row>
    <row r="229" ht="15.75" customHeight="1" s="184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</row>
    <row r="230" ht="15.75" customHeight="1" s="184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</row>
    <row r="231" ht="15.75" customHeight="1" s="184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</row>
    <row r="232" ht="15.75" customHeight="1" s="184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</row>
    <row r="233" ht="15.75" customHeight="1" s="184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</row>
    <row r="234" ht="15.75" customHeight="1" s="18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</row>
    <row r="235" ht="15.75" customHeight="1" s="184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</row>
    <row r="236" ht="15.75" customHeight="1" s="184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</row>
    <row r="237" ht="15.75" customHeight="1" s="184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</row>
    <row r="238" ht="15.75" customHeight="1" s="184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</row>
    <row r="239" ht="15.75" customHeight="1" s="184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</row>
    <row r="240" ht="15.75" customHeight="1" s="184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</row>
    <row r="241" ht="15.75" customHeight="1" s="184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</row>
    <row r="242" ht="15.75" customHeight="1" s="18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</row>
    <row r="243" ht="15.75" customHeight="1" s="18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</row>
    <row r="244" ht="15.75" customHeight="1" s="18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</row>
    <row r="245" ht="15.75" customHeight="1" s="184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</row>
    <row r="246" ht="15.75" customHeight="1" s="184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</row>
    <row r="247" ht="15.75" customHeight="1" s="184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</row>
    <row r="248" ht="15.75" customHeight="1" s="184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</row>
    <row r="249" ht="15.75" customHeight="1" s="184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</row>
    <row r="250" ht="15.75" customHeight="1" s="184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</row>
    <row r="251" ht="15.75" customHeight="1" s="184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</row>
    <row r="252" ht="15.75" customHeight="1" s="184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</row>
    <row r="253" ht="15.75" customHeight="1" s="184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</row>
    <row r="254" ht="15.75" customHeight="1" s="18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</row>
    <row r="255" ht="15.75" customHeight="1" s="184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</row>
    <row r="256" ht="15.75" customHeight="1" s="184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</row>
    <row r="257" ht="15.75" customHeight="1" s="184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</row>
    <row r="258" ht="15.75" customHeight="1" s="184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</row>
    <row r="259" ht="15.75" customHeight="1" s="184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</row>
    <row r="260" ht="15.75" customHeight="1" s="184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</row>
    <row r="261" ht="15.75" customHeight="1" s="184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</row>
    <row r="262" ht="15.75" customHeight="1" s="184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</row>
    <row r="263" ht="15.75" customHeight="1" s="184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</row>
    <row r="264" ht="15.75" customHeight="1" s="18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</row>
    <row r="265" ht="15.75" customHeight="1" s="184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</row>
    <row r="266" ht="15.75" customHeight="1" s="184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</row>
    <row r="267" ht="15.75" customHeight="1" s="184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</row>
    <row r="268" ht="15.75" customHeight="1" s="184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</row>
    <row r="269" ht="15.75" customHeight="1" s="184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</row>
    <row r="270" ht="15.75" customHeight="1" s="184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</row>
    <row r="271" ht="15.75" customHeight="1" s="184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</row>
    <row r="272" ht="15.75" customHeight="1" s="184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</row>
    <row r="273" ht="15.75" customHeight="1" s="184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</row>
    <row r="274" ht="15.75" customHeight="1" s="18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</row>
    <row r="275" ht="15.75" customHeight="1" s="184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</row>
    <row r="276" ht="15.75" customHeight="1" s="184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</row>
    <row r="277" ht="15.75" customHeight="1" s="184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</row>
    <row r="278" ht="15.75" customHeight="1" s="184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</row>
    <row r="279" ht="15.75" customHeight="1" s="184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</row>
    <row r="280" ht="15.75" customHeight="1" s="184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</row>
    <row r="281" ht="15.75" customHeight="1" s="184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</row>
    <row r="282" ht="15.75" customHeight="1" s="184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</row>
    <row r="283" ht="15.75" customHeight="1" s="184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</row>
    <row r="284" ht="15.75" customHeight="1" s="1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</row>
    <row r="285" ht="15.75" customHeight="1" s="184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</row>
    <row r="286" ht="15.75" customHeight="1" s="184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</row>
    <row r="287" ht="15.75" customHeight="1" s="184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</row>
    <row r="288" ht="15.75" customHeight="1" s="184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</row>
    <row r="289" ht="15.75" customHeight="1" s="184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</row>
    <row r="290" ht="15.75" customHeight="1" s="184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</row>
    <row r="291" ht="15.75" customHeight="1" s="184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</row>
    <row r="292" ht="15.75" customHeight="1" s="184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</row>
    <row r="293" ht="15.75" customHeight="1" s="184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</row>
    <row r="294" ht="15.75" customHeight="1" s="18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</row>
    <row r="295" ht="15.75" customHeight="1" s="184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</row>
    <row r="296" ht="15.75" customHeight="1" s="184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</row>
    <row r="297" ht="15.75" customHeight="1" s="184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</row>
    <row r="298" ht="15.75" customHeight="1" s="184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</row>
    <row r="299" ht="15.75" customHeight="1" s="184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</row>
    <row r="300" ht="15.75" customHeight="1" s="184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</row>
    <row r="301" ht="15.75" customHeight="1" s="184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</row>
    <row r="302" ht="15.75" customHeight="1" s="184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</row>
    <row r="303" ht="15.75" customHeight="1" s="184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</row>
    <row r="304" ht="15.75" customHeight="1" s="18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</row>
    <row r="305" ht="15.75" customHeight="1" s="184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</row>
    <row r="306" ht="15.75" customHeight="1" s="184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</row>
    <row r="307" ht="15.75" customHeight="1" s="184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</row>
    <row r="308" ht="15.75" customHeight="1" s="184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</row>
    <row r="309" ht="15.75" customHeight="1" s="184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</row>
    <row r="310" ht="15.75" customHeight="1" s="184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</row>
    <row r="311" ht="15.75" customHeight="1" s="184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</row>
    <row r="312" ht="15.75" customHeight="1" s="184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</row>
    <row r="313" ht="15.75" customHeight="1" s="184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</row>
    <row r="314" ht="15.75" customHeight="1" s="18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</row>
    <row r="315" ht="15.75" customHeight="1" s="184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</row>
    <row r="316" ht="15.75" customHeight="1" s="184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</row>
    <row r="317" ht="15.75" customHeight="1" s="184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</row>
    <row r="318" ht="15.75" customHeight="1" s="184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</row>
    <row r="319" ht="15.75" customHeight="1" s="184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</row>
    <row r="320" ht="15.75" customHeight="1" s="184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</row>
    <row r="321" ht="15.75" customHeight="1" s="184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</row>
    <row r="322" ht="15.75" customHeight="1" s="184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</row>
    <row r="323" ht="15.75" customHeight="1" s="184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</row>
    <row r="324" ht="15.75" customHeight="1" s="18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</row>
    <row r="325" ht="15.75" customHeight="1" s="184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</row>
    <row r="326" ht="15.75" customHeight="1" s="184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</row>
    <row r="327" ht="15.75" customHeight="1" s="184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</row>
    <row r="328" ht="15.75" customHeight="1" s="184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</row>
    <row r="329" ht="15.75" customHeight="1" s="184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</row>
    <row r="330" ht="15.75" customHeight="1" s="184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</row>
    <row r="331" ht="15.75" customHeight="1" s="184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</row>
    <row r="332" ht="15.75" customHeight="1" s="184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</row>
    <row r="333" ht="15.75" customHeight="1" s="184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</row>
    <row r="334" ht="15.75" customHeight="1" s="18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</row>
    <row r="335" ht="15.75" customHeight="1" s="184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</row>
    <row r="336" ht="15.75" customHeight="1" s="184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</row>
    <row r="337" ht="15.75" customHeight="1" s="184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</row>
    <row r="338" ht="15.75" customHeight="1" s="184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</row>
    <row r="339" ht="15.75" customHeight="1" s="184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</row>
    <row r="340" ht="15.75" customHeight="1" s="184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</row>
    <row r="341" ht="15.75" customHeight="1" s="184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</row>
    <row r="342" ht="15.75" customHeight="1" s="184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</row>
    <row r="343" ht="15.75" customHeight="1" s="184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</row>
    <row r="344" ht="15.75" customHeight="1" s="18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</row>
    <row r="345" ht="15.75" customHeight="1" s="184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</row>
    <row r="346" ht="15.75" customHeight="1" s="184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</row>
    <row r="347" ht="15.75" customHeight="1" s="184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</row>
    <row r="348" ht="15.75" customHeight="1" s="184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</row>
    <row r="349" ht="15.75" customHeight="1" s="184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</row>
    <row r="350" ht="15.75" customHeight="1" s="184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</row>
    <row r="351" ht="15.75" customHeight="1" s="184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</row>
    <row r="352" ht="15.75" customHeight="1" s="184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</row>
    <row r="353" ht="15.75" customHeight="1" s="184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</row>
    <row r="354" ht="15.75" customHeight="1" s="18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</row>
    <row r="355" ht="15.75" customHeight="1" s="184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</row>
    <row r="356" ht="15.75" customHeight="1" s="184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</row>
    <row r="357" ht="15.75" customHeight="1" s="184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</row>
    <row r="358" ht="15.75" customHeight="1" s="184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</row>
    <row r="359" ht="15.75" customHeight="1" s="184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</row>
    <row r="360" ht="15.75" customHeight="1" s="184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</row>
    <row r="361" ht="15.75" customHeight="1" s="184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</row>
    <row r="362" ht="15.75" customHeight="1" s="184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</row>
    <row r="363" ht="15.75" customHeight="1" s="184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</row>
    <row r="364" ht="15.75" customHeight="1" s="18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</row>
    <row r="365" ht="15.75" customHeight="1" s="184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</row>
    <row r="366" ht="15.75" customHeight="1" s="184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</row>
    <row r="367" ht="15.75" customHeight="1" s="184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</row>
    <row r="368" ht="15.75" customHeight="1" s="184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</row>
    <row r="369" ht="15.75" customHeight="1" s="184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</row>
    <row r="370" ht="15.75" customHeight="1" s="184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</row>
    <row r="371" ht="15.75" customHeight="1" s="184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</row>
    <row r="372" ht="15.75" customHeight="1" s="184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</row>
    <row r="373" ht="15.75" customHeight="1" s="184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</row>
    <row r="374" ht="15.75" customHeight="1" s="18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</row>
    <row r="375" ht="15.75" customHeight="1" s="184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</row>
    <row r="376" ht="15.75" customHeight="1" s="184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</row>
    <row r="377" ht="15.75" customHeight="1" s="184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</row>
    <row r="378" ht="15.75" customHeight="1" s="184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</row>
    <row r="379" ht="15.75" customHeight="1" s="184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</row>
    <row r="380" ht="15.75" customHeight="1" s="184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</row>
    <row r="381" ht="15.75" customHeight="1" s="184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</row>
    <row r="382" ht="15.75" customHeight="1" s="184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</row>
    <row r="383" ht="15.75" customHeight="1" s="184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</row>
    <row r="384" ht="15.75" customHeight="1" s="1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</row>
    <row r="385" ht="15.75" customHeight="1" s="184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</row>
    <row r="386" ht="15.75" customHeight="1" s="184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</row>
    <row r="387" ht="15.75" customHeight="1" s="184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</row>
    <row r="388" ht="15.75" customHeight="1" s="184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</row>
    <row r="389" ht="15.75" customHeight="1" s="184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</row>
    <row r="390" ht="15.75" customHeight="1" s="184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</row>
    <row r="391" ht="15.75" customHeight="1" s="184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</row>
    <row r="392" ht="15.75" customHeight="1" s="184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</row>
    <row r="393" ht="15.75" customHeight="1" s="184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</row>
    <row r="394" ht="15.75" customHeight="1" s="18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</row>
    <row r="395" ht="15.75" customHeight="1" s="184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</row>
    <row r="396" ht="15.75" customHeight="1" s="184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</row>
    <row r="397" ht="15.75" customHeight="1" s="184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</row>
    <row r="398" ht="15.75" customHeight="1" s="184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</row>
    <row r="399" ht="15.75" customHeight="1" s="184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</row>
    <row r="400" ht="15.75" customHeight="1" s="184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</row>
    <row r="401" ht="15.75" customHeight="1" s="184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</row>
    <row r="402" ht="15.75" customHeight="1" s="184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</row>
    <row r="403" ht="15.75" customHeight="1" s="184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</row>
    <row r="404" ht="15.75" customHeight="1" s="18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</row>
    <row r="405" ht="15.75" customHeight="1" s="184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</row>
    <row r="406" ht="15.75" customHeight="1" s="184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</row>
    <row r="407" ht="15.75" customHeight="1" s="184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</row>
    <row r="408" ht="15.75" customHeight="1" s="184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</row>
    <row r="409" ht="15.75" customHeight="1" s="184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</row>
    <row r="410" ht="15.75" customHeight="1" s="184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</row>
    <row r="411" ht="15.75" customHeight="1" s="184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</row>
    <row r="412" ht="15.75" customHeight="1" s="184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</row>
    <row r="413" ht="15.75" customHeight="1" s="184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</row>
    <row r="414" ht="15.75" customHeight="1" s="18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</row>
    <row r="415" ht="15.75" customHeight="1" s="184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</row>
    <row r="416" ht="15.75" customHeight="1" s="184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</row>
    <row r="417" ht="15.75" customHeight="1" s="184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</row>
    <row r="418" ht="15.75" customHeight="1" s="184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</row>
    <row r="419" ht="15.75" customHeight="1" s="184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</row>
    <row r="420" ht="15.75" customHeight="1" s="184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</row>
    <row r="421" ht="15.75" customHeight="1" s="184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</row>
    <row r="422" ht="15.75" customHeight="1" s="184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</row>
    <row r="423" ht="15.75" customHeight="1" s="184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</row>
    <row r="424" ht="15.75" customHeight="1" s="18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</row>
    <row r="425" ht="15.75" customHeight="1" s="184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</row>
    <row r="426" ht="15.75" customHeight="1" s="184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</row>
    <row r="427" ht="15.75" customHeight="1" s="184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</row>
    <row r="428" ht="15.75" customHeight="1" s="184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</row>
    <row r="429" ht="15.75" customHeight="1" s="184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</row>
    <row r="430" ht="15.75" customHeight="1" s="184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</row>
    <row r="431" ht="15.75" customHeight="1" s="184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</row>
    <row r="432" ht="15.75" customHeight="1" s="184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</row>
    <row r="433" ht="15.75" customHeight="1" s="184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</row>
    <row r="434" ht="15.75" customHeight="1" s="18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</row>
    <row r="435" ht="15.75" customHeight="1" s="184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</row>
    <row r="436" ht="15.75" customHeight="1" s="184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</row>
    <row r="437" ht="15.75" customHeight="1" s="184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</row>
    <row r="438" ht="15.75" customHeight="1" s="184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</row>
    <row r="439" ht="15.75" customHeight="1" s="184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</row>
    <row r="440" ht="15.75" customHeight="1" s="184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</row>
    <row r="441" ht="15.75" customHeight="1" s="184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</row>
    <row r="442" ht="15.75" customHeight="1" s="184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</row>
    <row r="443" ht="15.75" customHeight="1" s="184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</row>
    <row r="444" ht="15.75" customHeight="1" s="18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</row>
    <row r="445" ht="15.75" customHeight="1" s="184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</row>
    <row r="446" ht="15.75" customHeight="1" s="184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</row>
    <row r="447" ht="15.75" customHeight="1" s="184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</row>
    <row r="448" ht="15.75" customHeight="1" s="184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</row>
    <row r="449" ht="15.75" customHeight="1" s="184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</row>
    <row r="450" ht="15.75" customHeight="1" s="184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</row>
    <row r="451" ht="15.75" customHeight="1" s="184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</row>
    <row r="452" ht="15.75" customHeight="1" s="184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</row>
    <row r="453" ht="15.75" customHeight="1" s="184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</row>
    <row r="454" ht="15.75" customHeight="1" s="18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</row>
    <row r="455" ht="15.75" customHeight="1" s="184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</row>
    <row r="456" ht="15.75" customHeight="1" s="184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</row>
    <row r="457" ht="15.75" customHeight="1" s="184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</row>
    <row r="458" ht="15.75" customHeight="1" s="184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</row>
    <row r="459" ht="15.75" customHeight="1" s="184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</row>
    <row r="460" ht="15.75" customHeight="1" s="184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</row>
    <row r="461" ht="15.75" customHeight="1" s="184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</row>
    <row r="462" ht="15.75" customHeight="1" s="184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</row>
    <row r="463" ht="15.75" customHeight="1" s="184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</row>
    <row r="464" ht="15.75" customHeight="1" s="18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</row>
    <row r="465" ht="15.75" customHeight="1" s="184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</row>
    <row r="466" ht="15.75" customHeight="1" s="184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</row>
    <row r="467" ht="15.75" customHeight="1" s="184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</row>
    <row r="468" ht="15.75" customHeight="1" s="184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</row>
    <row r="469" ht="15.75" customHeight="1" s="184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</row>
    <row r="470" ht="15.75" customHeight="1" s="184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</row>
    <row r="471" ht="15.75" customHeight="1" s="184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</row>
    <row r="472" ht="15.75" customHeight="1" s="184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</row>
    <row r="473" ht="15.75" customHeight="1" s="184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</row>
    <row r="474" ht="15.75" customHeight="1" s="18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</row>
    <row r="475" ht="15.75" customHeight="1" s="184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</row>
    <row r="476" ht="15.75" customHeight="1" s="184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</row>
    <row r="477" ht="15.75" customHeight="1" s="184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</row>
    <row r="478" ht="15.75" customHeight="1" s="184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</row>
    <row r="479" ht="15.75" customHeight="1" s="184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</row>
    <row r="480" ht="15.75" customHeight="1" s="184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</row>
    <row r="481" ht="15.75" customHeight="1" s="184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</row>
    <row r="482" ht="15.75" customHeight="1" s="184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</row>
    <row r="483" ht="15.75" customHeight="1" s="184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</row>
    <row r="484" ht="15.75" customHeight="1" s="1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</row>
    <row r="485" ht="15.75" customHeight="1" s="184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</row>
    <row r="486" ht="15.75" customHeight="1" s="184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</row>
    <row r="487" ht="15.75" customHeight="1" s="184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</row>
    <row r="488" ht="15.75" customHeight="1" s="184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</row>
    <row r="489" ht="15.75" customHeight="1" s="184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</row>
    <row r="490" ht="15.75" customHeight="1" s="184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</row>
    <row r="491" ht="15.75" customHeight="1" s="184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</row>
    <row r="492" ht="15.75" customHeight="1" s="184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</row>
    <row r="493" ht="15.75" customHeight="1" s="184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</row>
    <row r="494" ht="15.75" customHeight="1" s="18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</row>
    <row r="495" ht="15.75" customHeight="1" s="184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</row>
    <row r="496" ht="15.75" customHeight="1" s="184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</row>
    <row r="497" ht="15.75" customHeight="1" s="184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</row>
    <row r="498" ht="15.75" customHeight="1" s="184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</row>
    <row r="499" ht="15.75" customHeight="1" s="184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</row>
    <row r="500" ht="15.75" customHeight="1" s="184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</row>
    <row r="501" ht="15.75" customHeight="1" s="184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</row>
    <row r="502" ht="15.75" customHeight="1" s="184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</row>
    <row r="503" ht="15.75" customHeight="1" s="184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</row>
    <row r="504" ht="15.75" customHeight="1" s="18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</row>
    <row r="505" ht="15.75" customHeight="1" s="184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</row>
    <row r="506" ht="15.75" customHeight="1" s="184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</row>
    <row r="507" ht="15.75" customHeight="1" s="184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</row>
    <row r="508" ht="15.75" customHeight="1" s="184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</row>
    <row r="509" ht="15.75" customHeight="1" s="184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</row>
    <row r="510" ht="15.75" customHeight="1" s="184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</row>
    <row r="511" ht="15.75" customHeight="1" s="184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</row>
    <row r="512" ht="15.75" customHeight="1" s="184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</row>
    <row r="513" ht="15.75" customHeight="1" s="184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</row>
    <row r="514" ht="15.75" customHeight="1" s="18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</row>
    <row r="515" ht="15.75" customHeight="1" s="184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</row>
    <row r="516" ht="15.75" customHeight="1" s="184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</row>
    <row r="517" ht="15.75" customHeight="1" s="184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</row>
    <row r="518" ht="15.75" customHeight="1" s="184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</row>
    <row r="519" ht="15.75" customHeight="1" s="184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</row>
    <row r="520" ht="15.75" customHeight="1" s="184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</row>
    <row r="521" ht="15.75" customHeight="1" s="184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</row>
    <row r="522" ht="15.75" customHeight="1" s="184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</row>
    <row r="523" ht="15.75" customHeight="1" s="184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</row>
    <row r="524" ht="15.75" customHeight="1" s="18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</row>
    <row r="525" ht="15.75" customHeight="1" s="184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</row>
    <row r="526" ht="15.75" customHeight="1" s="184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</row>
    <row r="527" ht="15.75" customHeight="1" s="184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</row>
    <row r="528" ht="15.75" customHeight="1" s="184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</row>
    <row r="529" ht="15.75" customHeight="1" s="184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</row>
    <row r="530" ht="15.75" customHeight="1" s="184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</row>
    <row r="531" ht="15.75" customHeight="1" s="184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</row>
    <row r="532" ht="15.75" customHeight="1" s="184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</row>
    <row r="533" ht="15.75" customHeight="1" s="184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</row>
    <row r="534" ht="15.75" customHeight="1" s="18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</row>
    <row r="535" ht="15.75" customHeight="1" s="184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</row>
    <row r="536" ht="15.75" customHeight="1" s="184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</row>
    <row r="537" ht="15.75" customHeight="1" s="184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</row>
    <row r="538" ht="15.75" customHeight="1" s="184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</row>
    <row r="539" ht="15.75" customHeight="1" s="184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</row>
    <row r="540" ht="15.75" customHeight="1" s="184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</row>
    <row r="541" ht="15.75" customHeight="1" s="184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</row>
    <row r="542" ht="15.75" customHeight="1" s="184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</row>
    <row r="543" ht="15.75" customHeight="1" s="184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</row>
    <row r="544" ht="15.75" customHeight="1" s="18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</row>
    <row r="545" ht="15.75" customHeight="1" s="184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</row>
    <row r="546" ht="15.75" customHeight="1" s="184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</row>
    <row r="547" ht="15.75" customHeight="1" s="184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</row>
    <row r="548" ht="15.75" customHeight="1" s="184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</row>
    <row r="549" ht="15.75" customHeight="1" s="184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</row>
    <row r="550" ht="15.75" customHeight="1" s="184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</row>
    <row r="551" ht="15.75" customHeight="1" s="184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</row>
    <row r="552" ht="15.75" customHeight="1" s="184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</row>
    <row r="553" ht="15.75" customHeight="1" s="184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</row>
    <row r="554" ht="15.75" customHeight="1" s="18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</row>
    <row r="555" ht="15.75" customHeight="1" s="184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</row>
    <row r="556" ht="15.75" customHeight="1" s="184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</row>
    <row r="557" ht="15.75" customHeight="1" s="184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</row>
    <row r="558" ht="15.75" customHeight="1" s="184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</row>
    <row r="559" ht="15.75" customHeight="1" s="184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</row>
    <row r="560" ht="15.75" customHeight="1" s="184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</row>
    <row r="561" ht="15.75" customHeight="1" s="184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</row>
    <row r="562" ht="15.75" customHeight="1" s="184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</row>
    <row r="563" ht="15.75" customHeight="1" s="184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</row>
    <row r="564" ht="15.75" customHeight="1" s="18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</row>
    <row r="565" ht="15.75" customHeight="1" s="184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</row>
    <row r="566" ht="15.75" customHeight="1" s="184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</row>
    <row r="567" ht="15.75" customHeight="1" s="184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</row>
    <row r="568" ht="15.75" customHeight="1" s="184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</row>
    <row r="569" ht="15.75" customHeight="1" s="184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</row>
    <row r="570" ht="15.75" customHeight="1" s="184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</row>
    <row r="571" ht="15.75" customHeight="1" s="184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</row>
    <row r="572" ht="15.75" customHeight="1" s="184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</row>
    <row r="573" ht="15.75" customHeight="1" s="184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</row>
    <row r="574" ht="15.75" customHeight="1" s="18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</row>
    <row r="575" ht="15.75" customHeight="1" s="184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</row>
    <row r="576" ht="15.75" customHeight="1" s="184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</row>
    <row r="577" ht="15.75" customHeight="1" s="184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</row>
    <row r="578" ht="15.75" customHeight="1" s="184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</row>
    <row r="579" ht="15.75" customHeight="1" s="184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</row>
    <row r="580" ht="15.75" customHeight="1" s="184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</row>
    <row r="581" ht="15.75" customHeight="1" s="184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</row>
    <row r="582" ht="15.75" customHeight="1" s="184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</row>
    <row r="583" ht="15.75" customHeight="1" s="184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</row>
    <row r="584" ht="15.75" customHeight="1" s="1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</row>
    <row r="585" ht="15.75" customHeight="1" s="184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</row>
    <row r="586" ht="15.75" customHeight="1" s="184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</row>
    <row r="587" ht="15.75" customHeight="1" s="184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</row>
    <row r="588" ht="15.75" customHeight="1" s="184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</row>
    <row r="589" ht="15.75" customHeight="1" s="184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</row>
    <row r="590" ht="15.75" customHeight="1" s="184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</row>
    <row r="591" ht="15.75" customHeight="1" s="184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</row>
    <row r="592" ht="15.75" customHeight="1" s="184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</row>
    <row r="593" ht="15.75" customHeight="1" s="184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</row>
    <row r="594" ht="15.75" customHeight="1" s="18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</row>
    <row r="595" ht="15.75" customHeight="1" s="184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</row>
    <row r="596" ht="15.75" customHeight="1" s="184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</row>
    <row r="597" ht="15.75" customHeight="1" s="184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</row>
    <row r="598" ht="15.75" customHeight="1" s="184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</row>
    <row r="599" ht="15.75" customHeight="1" s="184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</row>
    <row r="600" ht="15.75" customHeight="1" s="184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</row>
    <row r="601" ht="15.75" customHeight="1" s="184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</row>
    <row r="602" ht="15.75" customHeight="1" s="184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</row>
    <row r="603" ht="15.75" customHeight="1" s="184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</row>
    <row r="604" ht="15.75" customHeight="1" s="18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</row>
    <row r="605" ht="15.75" customHeight="1" s="184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</row>
    <row r="606" ht="15.75" customHeight="1" s="184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</row>
    <row r="607" ht="15.75" customHeight="1" s="184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</row>
    <row r="608" ht="15.75" customHeight="1" s="184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</row>
    <row r="609" ht="15.75" customHeight="1" s="184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</row>
    <row r="610" ht="15.75" customHeight="1" s="184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</row>
    <row r="611" ht="15.75" customHeight="1" s="184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</row>
    <row r="612" ht="15.75" customHeight="1" s="184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</row>
    <row r="613" ht="15.75" customHeight="1" s="184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</row>
    <row r="614" ht="15.75" customHeight="1" s="18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</row>
    <row r="615" ht="15.75" customHeight="1" s="184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</row>
    <row r="616" ht="15.75" customHeight="1" s="184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</row>
    <row r="617" ht="15.75" customHeight="1" s="184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</row>
    <row r="618" ht="15.75" customHeight="1" s="184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</row>
    <row r="619" ht="15.75" customHeight="1" s="184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</row>
    <row r="620" ht="15.75" customHeight="1" s="184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</row>
    <row r="621" ht="15.75" customHeight="1" s="184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</row>
    <row r="622" ht="15.75" customHeight="1" s="184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</row>
    <row r="623" ht="15.75" customHeight="1" s="184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</row>
    <row r="624" ht="15.75" customHeight="1" s="18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</row>
    <row r="625" ht="15.75" customHeight="1" s="184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</row>
    <row r="626" ht="15.75" customHeight="1" s="184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</row>
    <row r="627" ht="15.75" customHeight="1" s="184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</row>
    <row r="628" ht="15.75" customHeight="1" s="184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</row>
    <row r="629" ht="15.75" customHeight="1" s="184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</row>
    <row r="630" ht="15.75" customHeight="1" s="184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</row>
    <row r="631" ht="15.75" customHeight="1" s="184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</row>
    <row r="632" ht="15.75" customHeight="1" s="184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</row>
    <row r="633" ht="15.75" customHeight="1" s="184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</row>
    <row r="634" ht="15.75" customHeight="1" s="18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</row>
    <row r="635" ht="15.75" customHeight="1" s="184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</row>
    <row r="636" ht="15.75" customHeight="1" s="184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</row>
    <row r="637" ht="15.75" customHeight="1" s="184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</row>
    <row r="638" ht="15.75" customHeight="1" s="184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</row>
    <row r="639" ht="15.75" customHeight="1" s="184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</row>
    <row r="640" ht="15.75" customHeight="1" s="184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</row>
    <row r="641" ht="15.75" customHeight="1" s="184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</row>
    <row r="642" ht="15.75" customHeight="1" s="184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</row>
    <row r="643" ht="15.75" customHeight="1" s="184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</row>
    <row r="644" ht="15.75" customHeight="1" s="18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</row>
    <row r="645" ht="15.75" customHeight="1" s="184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</row>
    <row r="646" ht="15.75" customHeight="1" s="184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</row>
    <row r="647" ht="15.75" customHeight="1" s="184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</row>
    <row r="648" ht="15.75" customHeight="1" s="184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</row>
    <row r="649" ht="15.75" customHeight="1" s="184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</row>
    <row r="650" ht="15.75" customHeight="1" s="184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</row>
    <row r="651" ht="15.75" customHeight="1" s="184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</row>
    <row r="652" ht="15.75" customHeight="1" s="184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</row>
    <row r="653" ht="15.75" customHeight="1" s="184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</row>
    <row r="654" ht="15.75" customHeight="1" s="18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</row>
    <row r="655" ht="15.75" customHeight="1" s="184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</row>
    <row r="656" ht="15.75" customHeight="1" s="184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</row>
    <row r="657" ht="15.75" customHeight="1" s="184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</row>
    <row r="658" ht="15.75" customHeight="1" s="184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</row>
    <row r="659" ht="15.75" customHeight="1" s="184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</row>
    <row r="660" ht="15.75" customHeight="1" s="184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</row>
    <row r="661" ht="15.75" customHeight="1" s="184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</row>
    <row r="662" ht="15.75" customHeight="1" s="184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</row>
    <row r="663" ht="15.75" customHeight="1" s="184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</row>
    <row r="664" ht="15.75" customHeight="1" s="18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</row>
    <row r="665" ht="15.75" customHeight="1" s="184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</row>
    <row r="666" ht="15.75" customHeight="1" s="184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</row>
    <row r="667" ht="15.75" customHeight="1" s="184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</row>
    <row r="668" ht="15.75" customHeight="1" s="184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</row>
    <row r="669" ht="15.75" customHeight="1" s="184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</row>
    <row r="670" ht="15.75" customHeight="1" s="184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</row>
    <row r="671" ht="15.75" customHeight="1" s="184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</row>
    <row r="672" ht="15.75" customHeight="1" s="184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</row>
    <row r="673" ht="15.75" customHeight="1" s="184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</row>
    <row r="674" ht="15.75" customHeight="1" s="18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</row>
    <row r="675" ht="15.75" customHeight="1" s="184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</row>
    <row r="676" ht="15.75" customHeight="1" s="184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</row>
    <row r="677" ht="15.75" customHeight="1" s="184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</row>
    <row r="678" ht="15.75" customHeight="1" s="184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</row>
    <row r="679" ht="15.75" customHeight="1" s="184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</row>
    <row r="680" ht="15.75" customHeight="1" s="184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</row>
    <row r="681" ht="15.75" customHeight="1" s="184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</row>
    <row r="682" ht="15.75" customHeight="1" s="184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</row>
    <row r="683" ht="15.75" customHeight="1" s="184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</row>
    <row r="684" ht="15.75" customHeight="1" s="1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</row>
    <row r="685" ht="15.75" customHeight="1" s="184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</row>
    <row r="686" ht="15.75" customHeight="1" s="184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</row>
    <row r="687" ht="15.75" customHeight="1" s="184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</row>
    <row r="688" ht="15.75" customHeight="1" s="184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</row>
    <row r="689" ht="15.75" customHeight="1" s="184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</row>
    <row r="690" ht="15.75" customHeight="1" s="184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</row>
    <row r="691" ht="15.75" customHeight="1" s="184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</row>
    <row r="692" ht="15.75" customHeight="1" s="184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</row>
    <row r="693" ht="15.75" customHeight="1" s="184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</row>
    <row r="694" ht="15.75" customHeight="1" s="18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</row>
    <row r="695" ht="15.75" customHeight="1" s="184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</row>
    <row r="696" ht="15.75" customHeight="1" s="184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</row>
    <row r="697" ht="15.75" customHeight="1" s="184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</row>
    <row r="698" ht="15.75" customHeight="1" s="184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</row>
    <row r="699" ht="15.75" customHeight="1" s="184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</row>
    <row r="700" ht="15.75" customHeight="1" s="184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</row>
    <row r="701" ht="15.75" customHeight="1" s="184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</row>
    <row r="702" ht="15.75" customHeight="1" s="184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</row>
    <row r="703" ht="15.75" customHeight="1" s="184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</row>
    <row r="704" ht="15.75" customHeight="1" s="18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</row>
    <row r="705" ht="15.75" customHeight="1" s="184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</row>
    <row r="706" ht="15.75" customHeight="1" s="184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</row>
    <row r="707" ht="15.75" customHeight="1" s="184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</row>
    <row r="708" ht="15.75" customHeight="1" s="184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</row>
    <row r="709" ht="15.75" customHeight="1" s="184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</row>
    <row r="710" ht="15.75" customHeight="1" s="184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</row>
    <row r="711" ht="15.75" customHeight="1" s="184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</row>
    <row r="712" ht="15.75" customHeight="1" s="184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</row>
    <row r="713" ht="15.75" customHeight="1" s="184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</row>
    <row r="714" ht="15.75" customHeight="1" s="18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</row>
    <row r="715" ht="15.75" customHeight="1" s="184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</row>
    <row r="716" ht="15.75" customHeight="1" s="184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</row>
    <row r="717" ht="15.75" customHeight="1" s="184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</row>
    <row r="718" ht="15.75" customHeight="1" s="184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</row>
    <row r="719" ht="15.75" customHeight="1" s="184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</row>
    <row r="720" ht="15.75" customHeight="1" s="184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</row>
    <row r="721" ht="15.75" customHeight="1" s="184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</row>
    <row r="722" ht="15.75" customHeight="1" s="184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</row>
    <row r="723" ht="15.75" customHeight="1" s="184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</row>
    <row r="724" ht="15.75" customHeight="1" s="18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</row>
    <row r="725" ht="15.75" customHeight="1" s="184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</row>
    <row r="726" ht="15.75" customHeight="1" s="184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</row>
    <row r="727" ht="15.75" customHeight="1" s="184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</row>
    <row r="728" ht="15.75" customHeight="1" s="184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</row>
    <row r="729" ht="15.75" customHeight="1" s="184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</row>
    <row r="730" ht="15.75" customHeight="1" s="184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</row>
    <row r="731" ht="15.75" customHeight="1" s="184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</row>
    <row r="732" ht="15.75" customHeight="1" s="184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</row>
    <row r="733" ht="15.75" customHeight="1" s="184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</row>
    <row r="734" ht="15.75" customHeight="1" s="18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</row>
    <row r="735" ht="15.75" customHeight="1" s="184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</row>
    <row r="736" ht="15.75" customHeight="1" s="184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</row>
    <row r="737" ht="15.75" customHeight="1" s="184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</row>
    <row r="738" ht="15.75" customHeight="1" s="184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</row>
    <row r="739" ht="15.75" customHeight="1" s="184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</row>
    <row r="740" ht="15.75" customHeight="1" s="184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</row>
    <row r="741" ht="15.75" customHeight="1" s="184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</row>
    <row r="742" ht="15.75" customHeight="1" s="184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</row>
    <row r="743" ht="15.75" customHeight="1" s="184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</row>
    <row r="744" ht="15.75" customHeight="1" s="18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</row>
    <row r="745" ht="15.75" customHeight="1" s="184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</row>
    <row r="746" ht="15.75" customHeight="1" s="184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</row>
    <row r="747" ht="15.75" customHeight="1" s="184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</row>
    <row r="748" ht="15.75" customHeight="1" s="184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</row>
    <row r="749" ht="15.75" customHeight="1" s="184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</row>
    <row r="750" ht="15.75" customHeight="1" s="184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</row>
    <row r="751" ht="15.75" customHeight="1" s="184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</row>
    <row r="752" ht="15.75" customHeight="1" s="184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</row>
    <row r="753" ht="15.75" customHeight="1" s="184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</row>
    <row r="754" ht="15.75" customHeight="1" s="18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</row>
    <row r="755" ht="15.75" customHeight="1" s="184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</row>
    <row r="756" ht="15.75" customHeight="1" s="184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</row>
    <row r="757" ht="15.75" customHeight="1" s="184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</row>
    <row r="758" ht="15.75" customHeight="1" s="184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</row>
    <row r="759" ht="15.75" customHeight="1" s="184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</row>
    <row r="760" ht="15.75" customHeight="1" s="184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</row>
    <row r="761" ht="15.75" customHeight="1" s="184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</row>
    <row r="762" ht="15.75" customHeight="1" s="184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</row>
    <row r="763" ht="15.75" customHeight="1" s="184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</row>
    <row r="764" ht="15.75" customHeight="1" s="18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</row>
    <row r="765" ht="15.75" customHeight="1" s="184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</row>
    <row r="766" ht="15.75" customHeight="1" s="184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</row>
    <row r="767" ht="15.75" customHeight="1" s="184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</row>
    <row r="768" ht="15.75" customHeight="1" s="184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</row>
    <row r="769" ht="15.75" customHeight="1" s="184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</row>
    <row r="770" ht="15.75" customHeight="1" s="184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</row>
    <row r="771" ht="15.75" customHeight="1" s="184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</row>
    <row r="772" ht="15.75" customHeight="1" s="184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</row>
    <row r="773" ht="15.75" customHeight="1" s="184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</row>
    <row r="774" ht="15.75" customHeight="1" s="18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</row>
    <row r="775" ht="15.75" customHeight="1" s="184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</row>
    <row r="776" ht="15.75" customHeight="1" s="184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</row>
    <row r="777" ht="15.75" customHeight="1" s="184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</row>
    <row r="778" ht="15.75" customHeight="1" s="184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</row>
    <row r="779" ht="15.75" customHeight="1" s="184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</row>
    <row r="780" ht="15.75" customHeight="1" s="184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</row>
    <row r="781" ht="15.75" customHeight="1" s="184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</row>
    <row r="782" ht="15.75" customHeight="1" s="184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</row>
    <row r="783" ht="15.75" customHeight="1" s="184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</row>
    <row r="784" ht="15.75" customHeight="1" s="1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</row>
    <row r="785" ht="15.75" customHeight="1" s="184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</row>
    <row r="786" ht="15.75" customHeight="1" s="184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</row>
    <row r="787" ht="15.75" customHeight="1" s="184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</row>
    <row r="788" ht="15.75" customHeight="1" s="184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</row>
    <row r="789" ht="15.75" customHeight="1" s="184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</row>
    <row r="790" ht="15.75" customHeight="1" s="184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</row>
    <row r="791" ht="15.75" customHeight="1" s="184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</row>
    <row r="792" ht="15.75" customHeight="1" s="184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</row>
    <row r="793" ht="15.75" customHeight="1" s="184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</row>
    <row r="794" ht="15.75" customHeight="1" s="18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</row>
    <row r="795" ht="15.75" customHeight="1" s="184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</row>
    <row r="796" ht="15.75" customHeight="1" s="184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</row>
    <row r="797" ht="15.75" customHeight="1" s="184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</row>
    <row r="798" ht="15.75" customHeight="1" s="184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</row>
    <row r="799" ht="15.75" customHeight="1" s="184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</row>
    <row r="800" ht="15.75" customHeight="1" s="184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</row>
    <row r="801" ht="15.75" customHeight="1" s="184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</row>
    <row r="802" ht="15.75" customHeight="1" s="184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</row>
    <row r="803" ht="15.75" customHeight="1" s="184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</row>
    <row r="804" ht="15.75" customHeight="1" s="18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</row>
    <row r="805" ht="15.75" customHeight="1" s="184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</row>
    <row r="806" ht="15.75" customHeight="1" s="184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</row>
    <row r="807" ht="15.75" customHeight="1" s="184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</row>
    <row r="808" ht="15.75" customHeight="1" s="184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</row>
    <row r="809" ht="15.75" customHeight="1" s="184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</row>
    <row r="810" ht="15.75" customHeight="1" s="184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</row>
    <row r="811" ht="15.75" customHeight="1" s="184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</row>
    <row r="812" ht="15.75" customHeight="1" s="184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</row>
    <row r="813" ht="15.75" customHeight="1" s="184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</row>
    <row r="814" ht="15.75" customHeight="1" s="18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</row>
    <row r="815" ht="15.75" customHeight="1" s="184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</row>
    <row r="816" ht="15.75" customHeight="1" s="184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</row>
    <row r="817" ht="15.75" customHeight="1" s="184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</row>
    <row r="818" ht="15.75" customHeight="1" s="184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</row>
    <row r="819" ht="15.75" customHeight="1" s="184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</row>
    <row r="820" ht="15.75" customHeight="1" s="184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</row>
    <row r="821" ht="15.75" customHeight="1" s="184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</row>
    <row r="822" ht="15.75" customHeight="1" s="184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</row>
    <row r="823" ht="15.75" customHeight="1" s="184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</row>
    <row r="824" ht="15.75" customHeight="1" s="18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</row>
    <row r="825" ht="15.75" customHeight="1" s="184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</row>
    <row r="826" ht="15.75" customHeight="1" s="184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</row>
    <row r="827" ht="15.75" customHeight="1" s="184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</row>
    <row r="828" ht="15.75" customHeight="1" s="184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</row>
    <row r="829" ht="15.75" customHeight="1" s="184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</row>
    <row r="830" ht="15.75" customHeight="1" s="184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</row>
    <row r="831" ht="15.75" customHeight="1" s="184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</row>
    <row r="832" ht="15.75" customHeight="1" s="184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</row>
    <row r="833" ht="15.75" customHeight="1" s="184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</row>
    <row r="834" ht="15.75" customHeight="1" s="18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</row>
    <row r="835" ht="15.75" customHeight="1" s="184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</row>
    <row r="836" ht="15.75" customHeight="1" s="184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</row>
    <row r="837" ht="15.75" customHeight="1" s="184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</row>
    <row r="838" ht="15.75" customHeight="1" s="184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</row>
    <row r="839" ht="15.75" customHeight="1" s="184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</row>
    <row r="840" ht="15.75" customHeight="1" s="184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</row>
    <row r="841" ht="15.75" customHeight="1" s="184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</row>
    <row r="842" ht="15.75" customHeight="1" s="184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</row>
    <row r="843" ht="15.75" customHeight="1" s="184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</row>
    <row r="844" ht="15.75" customHeight="1" s="18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</row>
    <row r="845" ht="15.75" customHeight="1" s="184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</row>
    <row r="846" ht="15.75" customHeight="1" s="184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</row>
    <row r="847" ht="15.75" customHeight="1" s="184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</row>
    <row r="848" ht="15.75" customHeight="1" s="184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</row>
    <row r="849" ht="15.75" customHeight="1" s="184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</row>
    <row r="850" ht="15.75" customHeight="1" s="184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</row>
    <row r="851" ht="15.75" customHeight="1" s="184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</row>
    <row r="852" ht="15.75" customHeight="1" s="184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</row>
    <row r="853" ht="15.75" customHeight="1" s="184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</row>
    <row r="854" ht="15.75" customHeight="1" s="18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</row>
    <row r="855" ht="15.75" customHeight="1" s="184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</row>
    <row r="856" ht="15.75" customHeight="1" s="184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</row>
    <row r="857" ht="15.75" customHeight="1" s="184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</row>
    <row r="858" ht="15.75" customHeight="1" s="184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</row>
    <row r="859" ht="15.75" customHeight="1" s="184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</row>
    <row r="860" ht="15.75" customHeight="1" s="184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</row>
    <row r="861" ht="15.75" customHeight="1" s="184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</row>
    <row r="862" ht="15.75" customHeight="1" s="184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</row>
    <row r="863" ht="15.75" customHeight="1" s="184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</row>
    <row r="864" ht="15.75" customHeight="1" s="18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</row>
    <row r="865" ht="15.75" customHeight="1" s="184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</row>
    <row r="866" ht="15.75" customHeight="1" s="184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</row>
    <row r="867" ht="15.75" customHeight="1" s="184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</row>
    <row r="868" ht="15.75" customHeight="1" s="184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</row>
    <row r="869" ht="15.75" customHeight="1" s="184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</row>
    <row r="870" ht="15.75" customHeight="1" s="184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</row>
    <row r="871" ht="15.75" customHeight="1" s="184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</row>
    <row r="872" ht="15.75" customHeight="1" s="184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</row>
    <row r="873" ht="15.75" customHeight="1" s="184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</row>
    <row r="874" ht="15.75" customHeight="1" s="18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</row>
    <row r="875" ht="15.75" customHeight="1" s="184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</row>
    <row r="876" ht="15.75" customHeight="1" s="184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</row>
    <row r="877" ht="15.75" customHeight="1" s="184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</row>
    <row r="878" ht="15.75" customHeight="1" s="184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</row>
    <row r="879" ht="15.75" customHeight="1" s="184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</row>
    <row r="880" ht="15.75" customHeight="1" s="184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</row>
    <row r="881" ht="15.75" customHeight="1" s="184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</row>
    <row r="882" ht="15.75" customHeight="1" s="184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</row>
    <row r="883" ht="15.75" customHeight="1" s="184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</row>
    <row r="884" ht="15.75" customHeight="1" s="1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</row>
    <row r="885" ht="15.75" customHeight="1" s="184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</row>
    <row r="886" ht="15.75" customHeight="1" s="184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</row>
    <row r="887" ht="15.75" customHeight="1" s="184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</row>
    <row r="888" ht="15.75" customHeight="1" s="184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</row>
    <row r="889" ht="15.75" customHeight="1" s="184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</row>
    <row r="890" ht="15.75" customHeight="1" s="184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</row>
    <row r="891" ht="15.75" customHeight="1" s="184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</row>
    <row r="892" ht="15.75" customHeight="1" s="184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</row>
    <row r="893" ht="15.75" customHeight="1" s="184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</row>
    <row r="894" ht="15.75" customHeight="1" s="18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</row>
    <row r="895" ht="15.75" customHeight="1" s="184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</row>
    <row r="896" ht="15.75" customHeight="1" s="184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</row>
    <row r="897" ht="15.75" customHeight="1" s="184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</row>
    <row r="898" ht="15.75" customHeight="1" s="184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</row>
    <row r="899" ht="15.75" customHeight="1" s="184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</row>
    <row r="900" ht="15.75" customHeight="1" s="184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</row>
    <row r="901" ht="15.75" customHeight="1" s="184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</row>
    <row r="902" ht="15.75" customHeight="1" s="184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</row>
    <row r="903" ht="15.75" customHeight="1" s="184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</row>
    <row r="904" ht="15.75" customHeight="1" s="18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</row>
    <row r="905" ht="15.75" customHeight="1" s="184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</row>
    <row r="906" ht="15.75" customHeight="1" s="184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</row>
    <row r="907" ht="15.75" customHeight="1" s="184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</row>
    <row r="908" ht="15.75" customHeight="1" s="184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</row>
    <row r="909" ht="15.75" customHeight="1" s="184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</row>
    <row r="910" ht="15.75" customHeight="1" s="184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</row>
    <row r="911" ht="15.75" customHeight="1" s="184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</row>
    <row r="912" ht="15.75" customHeight="1" s="184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</row>
    <row r="913" ht="15.75" customHeight="1" s="184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</row>
    <row r="914" ht="15.75" customHeight="1" s="18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</row>
    <row r="915" ht="15.75" customHeight="1" s="184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</row>
    <row r="916" ht="15.75" customHeight="1" s="184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</row>
    <row r="917" ht="15.75" customHeight="1" s="184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</row>
    <row r="918" ht="15.75" customHeight="1" s="184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</row>
    <row r="919" ht="15.75" customHeight="1" s="184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</row>
    <row r="920" ht="15.75" customHeight="1" s="184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</row>
    <row r="921" ht="15.75" customHeight="1" s="184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</row>
    <row r="922" ht="15.75" customHeight="1" s="184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</row>
    <row r="923" ht="15.75" customHeight="1" s="184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</row>
    <row r="924" ht="15.75" customHeight="1" s="18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</row>
    <row r="925" ht="15.75" customHeight="1" s="184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</row>
    <row r="926" ht="15.75" customHeight="1" s="184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</row>
    <row r="927" ht="15.75" customHeight="1" s="184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</row>
    <row r="928" ht="15.75" customHeight="1" s="184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</row>
    <row r="929" ht="15.75" customHeight="1" s="184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</row>
    <row r="930" ht="15.75" customHeight="1" s="184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</row>
    <row r="931" ht="15.75" customHeight="1" s="184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</row>
    <row r="932" ht="15.75" customHeight="1" s="184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</row>
    <row r="933" ht="15.75" customHeight="1" s="184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</row>
    <row r="934" ht="15.75" customHeight="1" s="18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</row>
    <row r="935" ht="15.75" customHeight="1" s="184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</row>
    <row r="936" ht="15.75" customHeight="1" s="184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</row>
    <row r="937" ht="15.75" customHeight="1" s="184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</row>
    <row r="938" ht="15.75" customHeight="1" s="184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</row>
    <row r="939" ht="15.75" customHeight="1" s="184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</row>
    <row r="940" ht="15.75" customHeight="1" s="184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</row>
    <row r="941" ht="15.75" customHeight="1" s="184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</row>
    <row r="942" ht="15.75" customHeight="1" s="184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</row>
    <row r="943" ht="15.75" customHeight="1" s="184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</row>
    <row r="944" ht="15.75" customHeight="1" s="18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</row>
    <row r="945" ht="15.75" customHeight="1" s="184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</row>
    <row r="946" ht="15.75" customHeight="1" s="184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</row>
    <row r="947" ht="15.75" customHeight="1" s="184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</row>
    <row r="948" ht="15.75" customHeight="1" s="184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</row>
    <row r="949" ht="15.75" customHeight="1" s="184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</row>
    <row r="950" ht="15.75" customHeight="1" s="184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</row>
    <row r="951" ht="15.75" customHeight="1" s="184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</row>
    <row r="952" ht="15.75" customHeight="1" s="184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</row>
    <row r="953" ht="15.75" customHeight="1" s="184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</row>
    <row r="954" ht="15.75" customHeight="1" s="18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</row>
    <row r="955" ht="15.75" customHeight="1" s="184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</row>
    <row r="956" ht="15.75" customHeight="1" s="184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</row>
    <row r="957" ht="15.75" customHeight="1" s="184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</row>
    <row r="958" ht="15.75" customHeight="1" s="184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</row>
    <row r="959" ht="15.75" customHeight="1" s="184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</row>
    <row r="960" ht="15.75" customHeight="1" s="184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</row>
    <row r="961" ht="15.75" customHeight="1" s="184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</row>
    <row r="962" ht="15.75" customHeight="1" s="184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</row>
    <row r="963" ht="15.75" customHeight="1" s="184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</row>
    <row r="964" ht="15.75" customHeight="1" s="18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</row>
    <row r="965" ht="15.75" customHeight="1" s="184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</row>
    <row r="966" ht="15.75" customHeight="1" s="184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</row>
    <row r="967" ht="15.75" customHeight="1" s="184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</row>
    <row r="968" ht="15.75" customHeight="1" s="184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</row>
    <row r="969" ht="15.75" customHeight="1" s="184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</row>
    <row r="970" ht="15.75" customHeight="1" s="184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</row>
    <row r="971" ht="15.75" customHeight="1" s="184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</row>
    <row r="972" ht="15.75" customHeight="1" s="184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</row>
    <row r="973" ht="15.75" customHeight="1" s="184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</row>
    <row r="974" ht="15.75" customHeight="1" s="18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</row>
    <row r="975" ht="15.75" customHeight="1" s="184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</row>
    <row r="976" ht="15.75" customHeight="1" s="184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</row>
    <row r="977" ht="15.75" customHeight="1" s="184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</row>
    <row r="978" ht="15.75" customHeight="1" s="184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</row>
    <row r="979" ht="15.75" customHeight="1" s="184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</row>
    <row r="980" ht="15.75" customHeight="1" s="184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</row>
    <row r="981" ht="15.75" customHeight="1" s="184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</row>
    <row r="982" ht="15.75" customHeight="1" s="184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</row>
    <row r="983" ht="15.75" customHeight="1" s="184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</row>
    <row r="984" ht="15.75" customHeight="1" s="1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</row>
    <row r="985" ht="15.75" customHeight="1" s="184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</row>
    <row r="986" ht="15.75" customHeight="1" s="184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</row>
    <row r="987" ht="15.75" customHeight="1" s="184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</row>
    <row r="988" ht="15.75" customHeight="1" s="184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</row>
    <row r="989" ht="15.75" customHeight="1" s="184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</row>
    <row r="990" ht="15.75" customHeight="1" s="184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</row>
    <row r="991" ht="15.75" customHeight="1" s="184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</row>
    <row r="992" ht="15.75" customHeight="1" s="184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</row>
    <row r="993" ht="15.75" customHeight="1" s="184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</row>
    <row r="994" ht="15.75" customHeight="1" s="18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</row>
    <row r="995" ht="15.75" customHeight="1" s="184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</row>
    <row r="996" ht="15.75" customHeight="1" s="184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</row>
    <row r="997" ht="15.75" customHeight="1" s="184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</row>
    <row r="998" ht="15.75" customHeight="1" s="184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</row>
    <row r="999" ht="15.75" customHeight="1" s="184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</row>
    <row r="1000" ht="15.75" customHeight="1" s="184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</row>
  </sheetData>
  <mergeCells count="30">
    <mergeCell ref="I6:J6"/>
    <mergeCell ref="E5:F5"/>
    <mergeCell ref="M9:N9"/>
    <mergeCell ref="M5:N5"/>
    <mergeCell ref="H2:M2"/>
    <mergeCell ref="E8:F8"/>
    <mergeCell ref="A6:B6"/>
    <mergeCell ref="A2:C2"/>
    <mergeCell ref="A12:R12"/>
    <mergeCell ref="E4:F4"/>
    <mergeCell ref="E10:F10"/>
    <mergeCell ref="M10:N10"/>
    <mergeCell ref="B15:D15"/>
    <mergeCell ref="E9:F9"/>
    <mergeCell ref="E6:F6"/>
    <mergeCell ref="M6:N6"/>
    <mergeCell ref="A5:B5"/>
    <mergeCell ref="I5:J5"/>
    <mergeCell ref="I8:J8"/>
    <mergeCell ref="D2:G2"/>
    <mergeCell ref="A8:B8"/>
    <mergeCell ref="M8:N8"/>
    <mergeCell ref="A4:B4"/>
    <mergeCell ref="I4:J4"/>
    <mergeCell ref="I10:J10"/>
    <mergeCell ref="A10:B10"/>
    <mergeCell ref="A1:R1"/>
    <mergeCell ref="A9:B9"/>
    <mergeCell ref="M4:N4"/>
    <mergeCell ref="I9:J9"/>
  </mergeCells>
  <dataValidations count="1">
    <dataValidation sqref="D2" showDropDown="0" showInputMessage="0" showErrorMessage="0" allowBlank="1" type="list">
      <formula1>"Last Month,Last 3 Months,Last 6 Months,Last 12 Months,Year to Date,All Time"</formula1>
    </dataValidation>
  </dataValidations>
  <pageMargins left="0.75" right="0.75" top="1" bottom="1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E53935"/>
    <outlinePr summaryBelow="1" summaryRight="1"/>
    <pageSetUpPr/>
  </sheetPr>
  <dimension ref="A1:I1000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4" customWidth="1" style="184" min="1" max="1"/>
    <col width="10" customWidth="1" style="184" min="2" max="2"/>
    <col width="32" customWidth="1" style="184" min="3" max="3"/>
    <col width="14" customWidth="1" style="184" min="4" max="4"/>
    <col width="28" customWidth="1" style="184" min="5" max="5"/>
    <col width="49.14" customWidth="1" style="184" min="6" max="6"/>
    <col width="40.57" customWidth="1" style="184" min="7" max="7"/>
    <col width="3.29" customWidth="1" style="184" min="8" max="8"/>
  </cols>
  <sheetData>
    <row r="1" ht="31.5" customHeight="1" s="184">
      <c r="A1" s="214" t="inlineStr">
        <is>
          <t>📤 EXPENSE TRACKER — Add rows below to record spending</t>
        </is>
      </c>
      <c r="H1" s="5" t="n"/>
      <c r="I1" s="5" t="n"/>
    </row>
    <row r="2" ht="15" customHeight="1" s="184">
      <c r="A2" s="6" t="inlineStr">
        <is>
          <t>Type</t>
        </is>
      </c>
      <c r="B2" s="8" t="inlineStr">
        <is>
          <t>Auto</t>
        </is>
      </c>
      <c r="C2" s="6" t="inlineStr">
        <is>
          <t>Type</t>
        </is>
      </c>
      <c r="D2" s="6" t="inlineStr">
        <is>
          <t>Type</t>
        </is>
      </c>
      <c r="E2" s="10" t="inlineStr">
        <is>
          <t>Select</t>
        </is>
      </c>
      <c r="F2" s="8" t="inlineStr">
        <is>
          <t>Auto</t>
        </is>
      </c>
      <c r="G2" s="6" t="inlineStr">
        <is>
          <t>Type</t>
        </is>
      </c>
      <c r="H2" s="11" t="n"/>
      <c r="I2" s="5" t="n"/>
    </row>
    <row r="3" ht="24" customHeight="1" s="184">
      <c r="A3" s="14" t="inlineStr">
        <is>
          <t>Date</t>
        </is>
      </c>
      <c r="B3" s="14" t="inlineStr">
        <is>
          <t>Month</t>
        </is>
      </c>
      <c r="C3" s="14" t="inlineStr">
        <is>
          <t>Store / Vendor</t>
        </is>
      </c>
      <c r="D3" s="14" t="inlineStr">
        <is>
          <t>Amount (₹)</t>
        </is>
      </c>
      <c r="E3" s="14" t="inlineStr">
        <is>
          <t>Category</t>
        </is>
      </c>
      <c r="F3" s="14" t="inlineStr">
        <is>
          <t>Expense Keys / Tags</t>
        </is>
      </c>
      <c r="G3" s="14" t="inlineStr">
        <is>
          <t>Notes</t>
        </is>
      </c>
      <c r="H3" s="11" t="n"/>
      <c r="I3" s="5" t="n"/>
    </row>
    <row r="4" ht="15.75" customHeight="1" s="184">
      <c r="A4" s="19" t="n">
        <v>45717</v>
      </c>
      <c r="B4" s="21">
        <f>IFERROR(IF(A4&lt;=0,"",TEXT(A4,"MMM YY")),"")</f>
        <v/>
      </c>
      <c r="C4" s="22" t="inlineStr">
        <is>
          <t>Metro Gourmet Bistro</t>
        </is>
      </c>
      <c r="D4" s="23" t="n">
        <v>208</v>
      </c>
      <c r="E4" s="22" t="inlineStr">
        <is>
          <t>Restaurant &amp; Dining Out</t>
        </is>
      </c>
      <c r="F4" s="25">
        <f>IFERROR(VLOOKUP(E4,SETTINGS!A:B,2,0),"No Value")</f>
        <v/>
      </c>
      <c r="G4" s="11" t="n"/>
      <c r="H4" s="11" t="n"/>
      <c r="I4" s="5" t="n"/>
    </row>
    <row r="5" ht="15.75" customHeight="1" s="184">
      <c r="A5" s="19" t="n">
        <v>45717</v>
      </c>
      <c r="B5" s="21">
        <f>IFERROR(IF(A5&lt;=0,"",TEXT(A5,"MMM YY")),"")</f>
        <v/>
      </c>
      <c r="C5" s="22" t="inlineStr">
        <is>
          <t>City Petroleum Station</t>
        </is>
      </c>
      <c r="D5" s="23" t="n">
        <v>641</v>
      </c>
      <c r="E5" s="22" t="inlineStr">
        <is>
          <t>Fuel</t>
        </is>
      </c>
      <c r="F5" s="25">
        <f>IFERROR(VLOOKUP(E5,SETTINGS!A:B,2,0),"No Value")</f>
        <v/>
      </c>
      <c r="G5" s="11" t="n"/>
      <c r="H5" s="11" t="n"/>
      <c r="I5" s="5" t="n"/>
    </row>
    <row r="6" ht="15.75" customHeight="1" s="184">
      <c r="A6" s="19" t="n">
        <v>45717</v>
      </c>
      <c r="B6" s="21">
        <f>IFERROR(IF(A6&lt;=0,"",TEXT(A6,"MMM YY")),"")</f>
        <v/>
      </c>
      <c r="C6" s="22" t="inlineStr">
        <is>
          <t>Apex Retail Galleria</t>
        </is>
      </c>
      <c r="D6" s="23" t="n">
        <v>77</v>
      </c>
      <c r="E6" s="22" t="inlineStr">
        <is>
          <t>Snacks &amp; Quick Bites</t>
        </is>
      </c>
      <c r="F6" s="25">
        <f>IFERROR(VLOOKUP(E6,SETTINGS!A:B,2,0),"No Value")</f>
        <v/>
      </c>
      <c r="G6" s="11" t="n"/>
      <c r="H6" s="11" t="n"/>
      <c r="I6" s="5" t="n"/>
    </row>
    <row r="7" ht="15.75" customHeight="1" s="184">
      <c r="A7" s="19" t="n">
        <v>45718</v>
      </c>
      <c r="B7" s="21">
        <f>IFERROR(IF(A7&lt;=0,"",TEXT(A7,"MMM YY")),"")</f>
        <v/>
      </c>
      <c r="C7" s="22" t="inlineStr">
        <is>
          <t>Prime Department Store</t>
        </is>
      </c>
      <c r="D7" s="23" t="n">
        <v>200</v>
      </c>
      <c r="E7" s="22" t="inlineStr">
        <is>
          <t>Gifts</t>
        </is>
      </c>
      <c r="F7" s="25">
        <f>IFERROR(VLOOKUP(E7,SETTINGS!A:B,2,0),"No Value")</f>
        <v/>
      </c>
      <c r="G7" s="11" t="n"/>
      <c r="H7" s="11" t="n"/>
      <c r="I7" s="5" t="n"/>
    </row>
    <row r="8" ht="15.75" customHeight="1" s="184">
      <c r="A8" s="19" t="n">
        <v>45718</v>
      </c>
      <c r="B8" s="21">
        <f>IFERROR(IF(A8&lt;=0,"",TEXT(A8,"MMM YY")),"")</f>
        <v/>
      </c>
      <c r="C8" s="22" t="inlineStr">
        <is>
          <t>Digital E-Commerce Hub</t>
        </is>
      </c>
      <c r="D8" s="23" t="n">
        <v>100</v>
      </c>
      <c r="E8" s="22" t="inlineStr">
        <is>
          <t>Personal Care</t>
        </is>
      </c>
      <c r="F8" s="25">
        <f>IFERROR(VLOOKUP(E8,SETTINGS!A:B,2,0),"No Value")</f>
        <v/>
      </c>
      <c r="G8" s="11" t="n"/>
      <c r="H8" s="11" t="n"/>
      <c r="I8" s="5" t="n"/>
    </row>
    <row r="9" ht="15.75" customHeight="1" s="184">
      <c r="A9" s="19" t="n">
        <v>45720</v>
      </c>
      <c r="B9" s="21">
        <f>IFERROR(IF(A9&lt;=0,"",TEXT(A9,"MMM YY")),"")</f>
        <v/>
      </c>
      <c r="C9" s="22" t="inlineStr">
        <is>
          <t>Urban Lifestyle Goods</t>
        </is>
      </c>
      <c r="D9" s="23" t="n">
        <v>1000</v>
      </c>
      <c r="E9" s="22" t="inlineStr">
        <is>
          <t>Loans Given &amp; Taken</t>
        </is>
      </c>
      <c r="F9" s="25">
        <f>IFERROR(VLOOKUP(E9,SETTINGS!A:B,2,0),"No Value")</f>
        <v/>
      </c>
      <c r="G9" s="11" t="n"/>
      <c r="H9" s="11" t="n"/>
      <c r="I9" s="5" t="n"/>
    </row>
    <row r="10" ht="15.75" customHeight="1" s="184">
      <c r="A10" s="19" t="n">
        <v>45720</v>
      </c>
      <c r="B10" s="21">
        <f>IFERROR(IF(A10&lt;=0,"",TEXT(A10,"MMM YY")),"")</f>
        <v/>
      </c>
      <c r="C10" s="22" t="inlineStr">
        <is>
          <t>Apex Retail Galleria</t>
        </is>
      </c>
      <c r="D10" s="23" t="n">
        <v>146</v>
      </c>
      <c r="E10" s="22" t="inlineStr">
        <is>
          <t>Travel</t>
        </is>
      </c>
      <c r="F10" s="25">
        <f>IFERROR(VLOOKUP(E10,SETTINGS!A:B,2,0),"No Value")</f>
        <v/>
      </c>
      <c r="G10" s="11" t="n"/>
      <c r="H10" s="11" t="n"/>
      <c r="I10" s="5" t="n"/>
    </row>
    <row r="11" ht="15.75" customHeight="1" s="184">
      <c r="A11" s="19" t="n">
        <v>45720</v>
      </c>
      <c r="B11" s="21">
        <f>IFERROR(IF(A11&lt;=0,"",TEXT(A11,"MMM YY")),"")</f>
        <v/>
      </c>
      <c r="C11" s="22" t="inlineStr">
        <is>
          <t>Prime Department Store</t>
        </is>
      </c>
      <c r="D11" s="23" t="n">
        <v>200</v>
      </c>
      <c r="E11" s="22" t="inlineStr">
        <is>
          <t>Snacks &amp; Quick Bites</t>
        </is>
      </c>
      <c r="F11" s="25">
        <f>IFERROR(VLOOKUP(E11,SETTINGS!A:B,2,0),"No Value")</f>
        <v/>
      </c>
      <c r="G11" s="11" t="n"/>
      <c r="H11" s="11" t="n"/>
      <c r="I11" s="5" t="n"/>
    </row>
    <row r="12" ht="15.75" customHeight="1" s="184">
      <c r="A12" s="19" t="n">
        <v>45723</v>
      </c>
      <c r="B12" s="21">
        <f>IFERROR(IF(A12&lt;=0,"",TEXT(A12,"MMM YY")),"")</f>
        <v/>
      </c>
      <c r="C12" s="22" t="inlineStr">
        <is>
          <t>Digital E-Commerce Hub</t>
        </is>
      </c>
      <c r="D12" s="23" t="n">
        <v>10</v>
      </c>
      <c r="E12" s="22" t="inlineStr">
        <is>
          <t>Medical</t>
        </is>
      </c>
      <c r="F12" s="25">
        <f>IFERROR(VLOOKUP(E12,SETTINGS!A:B,2,0),"No Value")</f>
        <v/>
      </c>
      <c r="G12" s="11" t="n"/>
      <c r="H12" s="11" t="n"/>
      <c r="I12" s="5" t="n"/>
    </row>
    <row r="13" ht="15.75" customHeight="1" s="184">
      <c r="A13" s="19" t="n">
        <v>45724</v>
      </c>
      <c r="B13" s="21">
        <f>IFERROR(IF(A13&lt;=0,"",TEXT(A13,"MMM YY")),"")</f>
        <v/>
      </c>
      <c r="C13" s="22" t="inlineStr">
        <is>
          <t>Urban Spice Cafe</t>
        </is>
      </c>
      <c r="D13" s="23" t="n">
        <v>130</v>
      </c>
      <c r="E13" s="22" t="inlineStr">
        <is>
          <t>Restaurant &amp; Dining Out</t>
        </is>
      </c>
      <c r="F13" s="25">
        <f>IFERROR(VLOOKUP(E13,SETTINGS!A:B,2,0),"No Value")</f>
        <v/>
      </c>
      <c r="G13" s="11" t="n"/>
      <c r="H13" s="11" t="n"/>
      <c r="I13" s="5" t="n"/>
    </row>
    <row r="14" ht="15.75" customHeight="1" s="184">
      <c r="A14" s="19" t="n">
        <v>45724</v>
      </c>
      <c r="B14" s="21">
        <f>IFERROR(IF(A14&lt;=0,"",TEXT(A14,"MMM YY")),"")</f>
        <v/>
      </c>
      <c r="C14" s="22" t="inlineStr">
        <is>
          <t>Central Deli &amp; Grill</t>
        </is>
      </c>
      <c r="D14" s="23" t="n">
        <v>140</v>
      </c>
      <c r="E14" s="22" t="inlineStr">
        <is>
          <t>Restaurant &amp; Dining Out</t>
        </is>
      </c>
      <c r="F14" s="25">
        <f>IFERROR(VLOOKUP(E14,SETTINGS!A:B,2,0),"No Value")</f>
        <v/>
      </c>
      <c r="G14" s="11" t="n"/>
      <c r="H14" s="11" t="n"/>
      <c r="I14" s="5" t="n"/>
    </row>
    <row r="15" ht="15.75" customHeight="1" s="184">
      <c r="A15" s="19" t="n">
        <v>45725</v>
      </c>
      <c r="B15" s="21">
        <f>IFERROR(IF(A15&lt;=0,"",TEXT(A15,"MMM YY")),"")</f>
        <v/>
      </c>
      <c r="C15" s="22" t="inlineStr">
        <is>
          <t>Urban Lifestyle Goods</t>
        </is>
      </c>
      <c r="D15" s="23" t="n">
        <v>240</v>
      </c>
      <c r="E15" s="22" t="inlineStr">
        <is>
          <t>Gifts</t>
        </is>
      </c>
      <c r="F15" s="25">
        <f>IFERROR(VLOOKUP(E15,SETTINGS!A:B,2,0),"No Value")</f>
        <v/>
      </c>
      <c r="G15" s="11" t="n"/>
      <c r="H15" s="11" t="n"/>
      <c r="I15" s="5" t="n"/>
    </row>
    <row r="16" ht="15.75" customHeight="1" s="184">
      <c r="A16" s="19" t="n">
        <v>45725</v>
      </c>
      <c r="B16" s="21">
        <f>IFERROR(IF(A16&lt;=0,"",TEXT(A16,"MMM YY")),"")</f>
        <v/>
      </c>
      <c r="C16" s="22" t="inlineStr">
        <is>
          <t>City Bakers</t>
        </is>
      </c>
      <c r="D16" s="23" t="n">
        <v>600</v>
      </c>
      <c r="E16" s="22" t="inlineStr">
        <is>
          <t>Restaurant &amp; Dining Out</t>
        </is>
      </c>
      <c r="F16" s="25">
        <f>IFERROR(VLOOKUP(E16,SETTINGS!A:B,2,0),"No Value")</f>
        <v/>
      </c>
      <c r="G16" s="11" t="n"/>
      <c r="H16" s="11" t="n"/>
      <c r="I16" s="5" t="n"/>
    </row>
    <row r="17" ht="15.75" customHeight="1" s="184">
      <c r="A17" s="19" t="n">
        <v>45725</v>
      </c>
      <c r="B17" s="21">
        <f>IFERROR(IF(A17&lt;=0,"",TEXT(A17,"MMM YY")),"")</f>
        <v/>
      </c>
      <c r="C17" s="22" t="inlineStr">
        <is>
          <t>Harbor Cafe</t>
        </is>
      </c>
      <c r="D17" s="23" t="n">
        <v>570</v>
      </c>
      <c r="E17" s="22" t="inlineStr">
        <is>
          <t>Restaurant &amp; Dining Out</t>
        </is>
      </c>
      <c r="F17" s="25">
        <f>IFERROR(VLOOKUP(E17,SETTINGS!A:B,2,0),"No Value")</f>
        <v/>
      </c>
      <c r="G17" s="11" t="n"/>
      <c r="H17" s="11" t="n"/>
      <c r="I17" s="5" t="n"/>
    </row>
    <row r="18" ht="15.75" customHeight="1" s="184">
      <c r="A18" s="19" t="n">
        <v>45727</v>
      </c>
      <c r="B18" s="21">
        <f>IFERROR(IF(A18&lt;=0,"",TEXT(A18,"MMM YY")),"")</f>
        <v/>
      </c>
      <c r="C18" s="22" t="inlineStr">
        <is>
          <t>National Telecom Utility</t>
        </is>
      </c>
      <c r="D18" s="23" t="n">
        <v>1400</v>
      </c>
      <c r="E18" s="22" t="inlineStr">
        <is>
          <t>Bills &amp; Utilities</t>
        </is>
      </c>
      <c r="F18" s="25">
        <f>IFERROR(VLOOKUP(E18,SETTINGS!A:B,2,0),"No Value")</f>
        <v/>
      </c>
      <c r="G18" s="11" t="n"/>
      <c r="H18" s="11" t="n"/>
      <c r="I18" s="5" t="n"/>
    </row>
    <row r="19" ht="15.75" customHeight="1" s="184">
      <c r="A19" s="19" t="n">
        <v>45728</v>
      </c>
      <c r="B19" s="21">
        <f>IFERROR(IF(A19&lt;=0,"",TEXT(A19,"MMM YY")),"")</f>
        <v/>
      </c>
      <c r="C19" s="22" t="inlineStr">
        <is>
          <t>Metro Gourmet Bistro</t>
        </is>
      </c>
      <c r="D19" s="23" t="n">
        <v>16</v>
      </c>
      <c r="E19" s="22" t="inlineStr">
        <is>
          <t>Restaurant &amp; Dining Out</t>
        </is>
      </c>
      <c r="F19" s="25">
        <f>IFERROR(VLOOKUP(E19,SETTINGS!A:B,2,0),"No Value")</f>
        <v/>
      </c>
      <c r="G19" s="11" t="n"/>
      <c r="H19" s="11" t="n"/>
      <c r="I19" s="5" t="n"/>
    </row>
    <row r="20" ht="15.75" customHeight="1" s="184">
      <c r="A20" s="19" t="n">
        <v>45728</v>
      </c>
      <c r="B20" s="21">
        <f>IFERROR(IF(A20&lt;=0,"",TEXT(A20,"MMM YY")),"")</f>
        <v/>
      </c>
      <c r="C20" s="22" t="inlineStr">
        <is>
          <t>Metropolitan Power Board</t>
        </is>
      </c>
      <c r="D20" s="23" t="n">
        <v>59</v>
      </c>
      <c r="E20" s="22" t="inlineStr">
        <is>
          <t>Bills &amp; Utilities</t>
        </is>
      </c>
      <c r="F20" s="25">
        <f>IFERROR(VLOOKUP(E20,SETTINGS!A:B,2,0),"No Value")</f>
        <v/>
      </c>
      <c r="G20" s="11" t="n"/>
      <c r="H20" s="11" t="n"/>
      <c r="I20" s="5" t="n"/>
    </row>
    <row r="21" ht="15.75" customHeight="1" s="184">
      <c r="A21" s="19" t="n">
        <v>45730</v>
      </c>
      <c r="B21" s="21">
        <f>IFERROR(IF(A21&lt;=0,"",TEXT(A21,"MMM YY")),"")</f>
        <v/>
      </c>
      <c r="C21" s="22" t="inlineStr">
        <is>
          <t>Urban Spice Cafe</t>
        </is>
      </c>
      <c r="D21" s="23" t="n">
        <v>60</v>
      </c>
      <c r="E21" s="22" t="inlineStr">
        <is>
          <t>Restaurant &amp; Dining Out</t>
        </is>
      </c>
      <c r="F21" s="25">
        <f>IFERROR(VLOOKUP(E21,SETTINGS!A:B,2,0),"No Value")</f>
        <v/>
      </c>
      <c r="G21" s="11" t="n"/>
      <c r="H21" s="11" t="n"/>
      <c r="I21" s="5" t="n"/>
    </row>
    <row r="22" ht="15.75" customHeight="1" s="184">
      <c r="A22" s="19" t="n">
        <v>45733</v>
      </c>
      <c r="B22" s="21">
        <f>IFERROR(IF(A22&lt;=0,"",TEXT(A22,"MMM YY")),"")</f>
        <v/>
      </c>
      <c r="C22" s="22" t="inlineStr">
        <is>
          <t>Apex Retail Galleria</t>
        </is>
      </c>
      <c r="D22" s="23" t="n">
        <v>160</v>
      </c>
      <c r="E22" s="22" t="inlineStr">
        <is>
          <t>Personal Care</t>
        </is>
      </c>
      <c r="F22" s="25">
        <f>IFERROR(VLOOKUP(E22,SETTINGS!A:B,2,0),"No Value")</f>
        <v/>
      </c>
      <c r="G22" s="11" t="n"/>
      <c r="H22" s="11" t="n"/>
      <c r="I22" s="5" t="n"/>
    </row>
    <row r="23" ht="15.75" customHeight="1" s="184">
      <c r="A23" s="19" t="n">
        <v>45734</v>
      </c>
      <c r="B23" s="21">
        <f>IFERROR(IF(A23&lt;=0,"",TEXT(A23,"MMM YY")),"")</f>
        <v/>
      </c>
      <c r="C23" s="22" t="inlineStr">
        <is>
          <t>Central Deli &amp; Grill</t>
        </is>
      </c>
      <c r="D23" s="23" t="n">
        <v>264</v>
      </c>
      <c r="E23" s="22" t="inlineStr">
        <is>
          <t>Restaurant &amp; Dining Out</t>
        </is>
      </c>
      <c r="F23" s="25">
        <f>IFERROR(VLOOKUP(E23,SETTINGS!A:B,2,0),"No Value")</f>
        <v/>
      </c>
      <c r="G23" s="11" t="n"/>
      <c r="H23" s="11" t="n"/>
      <c r="I23" s="5" t="n"/>
    </row>
    <row r="24" ht="15.75" customHeight="1" s="184">
      <c r="A24" s="19" t="n">
        <v>45738</v>
      </c>
      <c r="B24" s="21">
        <f>IFERROR(IF(A24&lt;=0,"",TEXT(A24,"MMM YY")),"")</f>
        <v/>
      </c>
      <c r="C24" s="22" t="inlineStr">
        <is>
          <t>Prime Department Store</t>
        </is>
      </c>
      <c r="D24" s="23" t="n">
        <v>220</v>
      </c>
      <c r="E24" s="22" t="inlineStr">
        <is>
          <t>Repair &amp; Maintenance</t>
        </is>
      </c>
      <c r="F24" s="25">
        <f>IFERROR(VLOOKUP(E24,SETTINGS!A:B,2,0),"No Value")</f>
        <v/>
      </c>
      <c r="G24" s="11" t="n"/>
      <c r="H24" s="11" t="n"/>
      <c r="I24" s="5" t="n"/>
    </row>
    <row r="25" ht="15.75" customHeight="1" s="184">
      <c r="A25" s="19" t="n">
        <v>45738</v>
      </c>
      <c r="B25" s="21">
        <f>IFERROR(IF(A25&lt;=0,"",TEXT(A25,"MMM YY")),"")</f>
        <v/>
      </c>
      <c r="C25" s="22" t="inlineStr">
        <is>
          <t>Digital E-Commerce Hub</t>
        </is>
      </c>
      <c r="D25" s="23" t="n">
        <v>30</v>
      </c>
      <c r="E25" s="22" t="inlineStr">
        <is>
          <t>Snacks &amp; Quick Bites</t>
        </is>
      </c>
      <c r="F25" s="25">
        <f>IFERROR(VLOOKUP(E25,SETTINGS!A:B,2,0),"No Value")</f>
        <v/>
      </c>
      <c r="G25" s="11" t="n"/>
      <c r="H25" s="11" t="n"/>
      <c r="I25" s="5" t="n"/>
    </row>
    <row r="26" ht="15.75" customHeight="1" s="184">
      <c r="A26" s="19" t="n">
        <v>45738</v>
      </c>
      <c r="B26" s="21">
        <f>IFERROR(IF(A26&lt;=0,"",TEXT(A26,"MMM YY")),"")</f>
        <v/>
      </c>
      <c r="C26" s="22" t="inlineStr">
        <is>
          <t>City Bakers</t>
        </is>
      </c>
      <c r="D26" s="23" t="n">
        <v>160</v>
      </c>
      <c r="E26" s="22" t="inlineStr">
        <is>
          <t>Restaurant &amp; Dining Out</t>
        </is>
      </c>
      <c r="F26" s="25">
        <f>IFERROR(VLOOKUP(E26,SETTINGS!A:B,2,0),"No Value")</f>
        <v/>
      </c>
      <c r="G26" s="11" t="n"/>
      <c r="H26" s="11" t="n"/>
      <c r="I26" s="5" t="n"/>
    </row>
    <row r="27" ht="15.75" customHeight="1" s="184">
      <c r="A27" s="19" t="n">
        <v>45739</v>
      </c>
      <c r="B27" s="21">
        <f>IFERROR(IF(A27&lt;=0,"",TEXT(A27,"MMM YY")),"")</f>
        <v/>
      </c>
      <c r="C27" s="22" t="inlineStr">
        <is>
          <t>Urban Lifestyle Goods</t>
        </is>
      </c>
      <c r="D27" s="23" t="n">
        <v>2940</v>
      </c>
      <c r="E27" s="22" t="inlineStr">
        <is>
          <t>Repair &amp; Maintenance</t>
        </is>
      </c>
      <c r="F27" s="25">
        <f>IFERROR(VLOOKUP(E27,SETTINGS!A:B,2,0),"No Value")</f>
        <v/>
      </c>
      <c r="G27" s="11" t="n"/>
      <c r="H27" s="11" t="n"/>
      <c r="I27" s="5" t="n"/>
    </row>
    <row r="28" ht="15.75" customHeight="1" s="184">
      <c r="A28" s="19" t="n">
        <v>45739</v>
      </c>
      <c r="B28" s="21">
        <f>IFERROR(IF(A28&lt;=0,"",TEXT(A28,"MMM YY")),"")</f>
        <v/>
      </c>
      <c r="C28" s="22" t="inlineStr">
        <is>
          <t>Apex Retail Galleria</t>
        </is>
      </c>
      <c r="D28" s="23" t="n">
        <v>30</v>
      </c>
      <c r="E28" s="22" t="inlineStr">
        <is>
          <t>Snacks &amp; Quick Bites</t>
        </is>
      </c>
      <c r="F28" s="25">
        <f>IFERROR(VLOOKUP(E28,SETTINGS!A:B,2,0),"No Value")</f>
        <v/>
      </c>
      <c r="G28" s="11" t="n"/>
      <c r="H28" s="11" t="n"/>
      <c r="I28" s="5" t="n"/>
    </row>
    <row r="29" ht="15.75" customHeight="1" s="184">
      <c r="A29" s="19" t="n">
        <v>45741</v>
      </c>
      <c r="B29" s="21">
        <f>IFERROR(IF(A29&lt;=0,"",TEXT(A29,"MMM YY")),"")</f>
        <v/>
      </c>
      <c r="C29" s="22" t="inlineStr">
        <is>
          <t>Prime Department Store</t>
        </is>
      </c>
      <c r="D29" s="23" t="n">
        <v>100</v>
      </c>
      <c r="E29" s="22" t="inlineStr">
        <is>
          <t>Snacks &amp; Quick Bites</t>
        </is>
      </c>
      <c r="F29" s="25">
        <f>IFERROR(VLOOKUP(E29,SETTINGS!A:B,2,0),"No Value")</f>
        <v/>
      </c>
      <c r="G29" s="11" t="n"/>
      <c r="H29" s="11" t="n"/>
      <c r="I29" s="5" t="n"/>
    </row>
    <row r="30" ht="15.75" customHeight="1" s="184">
      <c r="A30" s="19" t="n">
        <v>45748</v>
      </c>
      <c r="B30" s="21">
        <f>IFERROR(IF(A30&lt;=0,"",TEXT(A30,"MMM YY")),"")</f>
        <v/>
      </c>
      <c r="C30" s="22" t="inlineStr">
        <is>
          <t>Digital E-Commerce Hub</t>
        </is>
      </c>
      <c r="D30" s="23" t="n">
        <v>50</v>
      </c>
      <c r="E30" s="22" t="inlineStr">
        <is>
          <t>Snacks &amp; Quick Bites</t>
        </is>
      </c>
      <c r="F30" s="25">
        <f>IFERROR(VLOOKUP(E30,SETTINGS!A:B,2,0),"No Value")</f>
        <v/>
      </c>
      <c r="G30" s="11" t="n"/>
      <c r="H30" s="11" t="n"/>
      <c r="I30" s="5" t="n"/>
    </row>
    <row r="31" ht="15.75" customHeight="1" s="184">
      <c r="A31" s="19" t="n">
        <v>45748</v>
      </c>
      <c r="B31" s="21">
        <f>IFERROR(IF(A31&lt;=0,"",TEXT(A31,"MMM YY")),"")</f>
        <v/>
      </c>
      <c r="C31" s="22" t="inlineStr">
        <is>
          <t>Urban Lifestyle Goods</t>
        </is>
      </c>
      <c r="D31" s="23" t="n">
        <v>2390</v>
      </c>
      <c r="E31" s="22" t="inlineStr">
        <is>
          <t>Education</t>
        </is>
      </c>
      <c r="F31" s="25">
        <f>IFERROR(VLOOKUP(E31,SETTINGS!A:B,2,0),"No Value")</f>
        <v/>
      </c>
      <c r="G31" s="11" t="n"/>
      <c r="H31" s="11" t="n"/>
      <c r="I31" s="5" t="n"/>
    </row>
    <row r="32" ht="15.75" customHeight="1" s="184">
      <c r="A32" s="19" t="n">
        <v>45748</v>
      </c>
      <c r="B32" s="21">
        <f>IFERROR(IF(A32&lt;=0,"",TEXT(A32,"MMM YY")),"")</f>
        <v/>
      </c>
      <c r="C32" s="22" t="inlineStr">
        <is>
          <t>Broadband Fiber Net</t>
        </is>
      </c>
      <c r="D32" s="23" t="n">
        <v>195</v>
      </c>
      <c r="E32" s="22" t="inlineStr">
        <is>
          <t>Bills &amp; Utilities</t>
        </is>
      </c>
      <c r="F32" s="25">
        <f>IFERROR(VLOOKUP(E32,SETTINGS!A:B,2,0),"No Value")</f>
        <v/>
      </c>
      <c r="G32" s="11" t="n"/>
      <c r="H32" s="11" t="n"/>
      <c r="I32" s="5" t="n"/>
    </row>
    <row r="33" ht="15.75" customHeight="1" s="184">
      <c r="A33" s="19" t="n">
        <v>45749</v>
      </c>
      <c r="B33" s="21">
        <f>IFERROR(IF(A33&lt;=0,"",TEXT(A33,"MMM YY")),"")</f>
        <v/>
      </c>
      <c r="C33" s="22" t="inlineStr">
        <is>
          <t>Apex Retail Galleria</t>
        </is>
      </c>
      <c r="D33" s="23" t="n">
        <v>240</v>
      </c>
      <c r="E33" s="22" t="inlineStr">
        <is>
          <t>Snacks &amp; Quick Bites</t>
        </is>
      </c>
      <c r="F33" s="25">
        <f>IFERROR(VLOOKUP(E33,SETTINGS!A:B,2,0),"No Value")</f>
        <v/>
      </c>
      <c r="G33" s="11" t="n"/>
      <c r="H33" s="11" t="n"/>
      <c r="I33" s="5" t="n"/>
    </row>
    <row r="34" ht="15.75" customHeight="1" s="184">
      <c r="A34" s="19" t="n">
        <v>45750</v>
      </c>
      <c r="B34" s="21">
        <f>IFERROR(IF(A34&lt;=0,"",TEXT(A34,"MMM YY")),"")</f>
        <v/>
      </c>
      <c r="C34" s="22" t="inlineStr">
        <is>
          <t>Municipal Water Works</t>
        </is>
      </c>
      <c r="D34" s="23" t="n">
        <v>189</v>
      </c>
      <c r="E34" s="22" t="inlineStr">
        <is>
          <t>Bills &amp; Utilities</t>
        </is>
      </c>
      <c r="F34" s="25">
        <f>IFERROR(VLOOKUP(E34,SETTINGS!A:B,2,0),"No Value")</f>
        <v/>
      </c>
      <c r="G34" s="11" t="n"/>
      <c r="H34" s="11" t="n"/>
      <c r="I34" s="5" t="n"/>
    </row>
    <row r="35" ht="15.75" customHeight="1" s="184">
      <c r="A35" s="19" t="n">
        <v>45751</v>
      </c>
      <c r="B35" s="21">
        <f>IFERROR(IF(A35&lt;=0,"",TEXT(A35,"MMM YY")),"")</f>
        <v/>
      </c>
      <c r="C35" s="22" t="inlineStr">
        <is>
          <t>Harbor Cafe</t>
        </is>
      </c>
      <c r="D35" s="23" t="n">
        <v>160</v>
      </c>
      <c r="E35" s="22" t="inlineStr">
        <is>
          <t>Restaurant &amp; Dining Out</t>
        </is>
      </c>
      <c r="F35" s="25">
        <f>IFERROR(VLOOKUP(E35,SETTINGS!A:B,2,0),"No Value")</f>
        <v/>
      </c>
      <c r="G35" s="11" t="n"/>
      <c r="H35" s="11" t="n"/>
      <c r="I35" s="5" t="n"/>
    </row>
    <row r="36" ht="15.75" customHeight="1" s="184">
      <c r="A36" s="19" t="n">
        <v>45752</v>
      </c>
      <c r="B36" s="21">
        <f>IFERROR(IF(A36&lt;=0,"",TEXT(A36,"MMM YY")),"")</f>
        <v/>
      </c>
      <c r="C36" s="22" t="inlineStr">
        <is>
          <t>Prime Department Store</t>
        </is>
      </c>
      <c r="D36" s="23" t="n">
        <v>2000</v>
      </c>
      <c r="E36" s="22" t="inlineStr">
        <is>
          <t>Investments</t>
        </is>
      </c>
      <c r="F36" s="25">
        <f>IFERROR(VLOOKUP(E36,SETTINGS!A:B,2,0),"No Value")</f>
        <v/>
      </c>
      <c r="G36" s="11" t="n"/>
      <c r="H36" s="11" t="n"/>
      <c r="I36" s="5" t="n"/>
    </row>
    <row r="37" ht="15.75" customHeight="1" s="184">
      <c r="A37" s="19" t="n">
        <v>45753</v>
      </c>
      <c r="B37" s="21">
        <f>IFERROR(IF(A37&lt;=0,"",TEXT(A37,"MMM YY")),"")</f>
        <v/>
      </c>
      <c r="C37" s="22" t="inlineStr">
        <is>
          <t>Digital E-Commerce Hub</t>
        </is>
      </c>
      <c r="D37" s="23" t="n">
        <v>530</v>
      </c>
      <c r="E37" s="22" t="inlineStr">
        <is>
          <t>Shopping</t>
        </is>
      </c>
      <c r="F37" s="25">
        <f>IFERROR(VLOOKUP(E37,SETTINGS!A:B,2,0),"No Value")</f>
        <v/>
      </c>
      <c r="G37" s="11" t="n"/>
      <c r="H37" s="11" t="n"/>
      <c r="I37" s="5" t="n"/>
    </row>
    <row r="38" ht="15.75" customHeight="1" s="184">
      <c r="A38" s="19" t="n">
        <v>45755</v>
      </c>
      <c r="B38" s="21">
        <f>IFERROR(IF(A38&lt;=0,"",TEXT(A38,"MMM YY")),"")</f>
        <v/>
      </c>
      <c r="C38" s="22" t="inlineStr">
        <is>
          <t>Urban Lifestyle Goods</t>
        </is>
      </c>
      <c r="D38" s="23" t="n">
        <v>110</v>
      </c>
      <c r="E38" s="22" t="inlineStr">
        <is>
          <t>Medical</t>
        </is>
      </c>
      <c r="F38" s="25">
        <f>IFERROR(VLOOKUP(E38,SETTINGS!A:B,2,0),"No Value")</f>
        <v/>
      </c>
      <c r="G38" s="11" t="n"/>
      <c r="H38" s="11" t="n"/>
      <c r="I38" s="5" t="n"/>
    </row>
    <row r="39" ht="15.75" customHeight="1" s="184">
      <c r="A39" s="19" t="n">
        <v>45756</v>
      </c>
      <c r="B39" s="21">
        <f>IFERROR(IF(A39&lt;=0,"",TEXT(A39,"MMM YY")),"")</f>
        <v/>
      </c>
      <c r="C39" s="22" t="inlineStr">
        <is>
          <t>Apex Retail Galleria</t>
        </is>
      </c>
      <c r="D39" s="23" t="n">
        <v>470</v>
      </c>
      <c r="E39" s="22" t="inlineStr">
        <is>
          <t>Medical</t>
        </is>
      </c>
      <c r="F39" s="25">
        <f>IFERROR(VLOOKUP(E39,SETTINGS!A:B,2,0),"No Value")</f>
        <v/>
      </c>
      <c r="G39" s="11" t="n"/>
      <c r="H39" s="11" t="n"/>
      <c r="I39" s="5" t="n"/>
    </row>
    <row r="40" ht="15.75" customHeight="1" s="184">
      <c r="A40" s="19" t="n">
        <v>45758</v>
      </c>
      <c r="B40" s="21">
        <f>IFERROR(IF(A40&lt;=0,"",TEXT(A40,"MMM YY")),"")</f>
        <v/>
      </c>
      <c r="C40" s="22" t="inlineStr">
        <is>
          <t>Prime Department Store</t>
        </is>
      </c>
      <c r="D40" s="23" t="n">
        <v>20</v>
      </c>
      <c r="E40" s="22" t="inlineStr">
        <is>
          <t>Snacks &amp; Quick Bites</t>
        </is>
      </c>
      <c r="F40" s="25">
        <f>IFERROR(VLOOKUP(E40,SETTINGS!A:B,2,0),"No Value")</f>
        <v/>
      </c>
      <c r="G40" s="11" t="n"/>
      <c r="H40" s="11" t="n"/>
      <c r="I40" s="5" t="n"/>
    </row>
    <row r="41" ht="15.75" customHeight="1" s="184">
      <c r="A41" s="19" t="n">
        <v>45760</v>
      </c>
      <c r="B41" s="21">
        <f>IFERROR(IF(A41&lt;=0,"",TEXT(A41,"MMM YY")),"")</f>
        <v/>
      </c>
      <c r="C41" s="22" t="inlineStr">
        <is>
          <t>Digital E-Commerce Hub</t>
        </is>
      </c>
      <c r="D41" s="23" t="n">
        <v>1000</v>
      </c>
      <c r="E41" s="22" t="inlineStr">
        <is>
          <t>Fines &amp; Penalties</t>
        </is>
      </c>
      <c r="F41" s="25">
        <f>IFERROR(VLOOKUP(E41,SETTINGS!A:B,2,0),"No Value")</f>
        <v/>
      </c>
      <c r="G41" s="11" t="n"/>
      <c r="H41" s="11" t="n"/>
      <c r="I41" s="5" t="n"/>
    </row>
    <row r="42" ht="15.75" customHeight="1" s="184">
      <c r="A42" s="19" t="n">
        <v>45762</v>
      </c>
      <c r="B42" s="21">
        <f>IFERROR(IF(A42&lt;=0,"",TEXT(A42,"MMM YY")),"")</f>
        <v/>
      </c>
      <c r="C42" s="22" t="inlineStr">
        <is>
          <t>Urban Lifestyle Goods</t>
        </is>
      </c>
      <c r="D42" s="23" t="n">
        <v>10</v>
      </c>
      <c r="E42" s="22" t="inlineStr">
        <is>
          <t>Repair &amp; Maintenance</t>
        </is>
      </c>
      <c r="F42" s="25">
        <f>IFERROR(VLOOKUP(E42,SETTINGS!A:B,2,0),"No Value")</f>
        <v/>
      </c>
      <c r="G42" s="11" t="n"/>
      <c r="H42" s="11" t="n"/>
      <c r="I42" s="5" t="n"/>
    </row>
    <row r="43" ht="15.75" customHeight="1" s="184">
      <c r="A43" s="19" t="n">
        <v>45764</v>
      </c>
      <c r="B43" s="21">
        <f>IFERROR(IF(A43&lt;=0,"",TEXT(A43,"MMM YY")),"")</f>
        <v/>
      </c>
      <c r="C43" s="22" t="inlineStr">
        <is>
          <t>Apex Retail Galleria</t>
        </is>
      </c>
      <c r="D43" s="23" t="n">
        <v>20</v>
      </c>
      <c r="E43" s="22" t="inlineStr">
        <is>
          <t>Snacks &amp; Quick Bites</t>
        </is>
      </c>
      <c r="F43" s="25">
        <f>IFERROR(VLOOKUP(E43,SETTINGS!A:B,2,0),"No Value")</f>
        <v/>
      </c>
      <c r="G43" s="11" t="n"/>
      <c r="H43" s="11" t="n"/>
      <c r="I43" s="5" t="n"/>
    </row>
    <row r="44" ht="15.75" customHeight="1" s="184">
      <c r="A44" s="19" t="n">
        <v>45766</v>
      </c>
      <c r="B44" s="21">
        <f>IFERROR(IF(A44&lt;=0,"",TEXT(A44,"MMM YY")),"")</f>
        <v/>
      </c>
      <c r="C44" s="22" t="inlineStr">
        <is>
          <t>Metro Gourmet Bistro</t>
        </is>
      </c>
      <c r="D44" s="23" t="n">
        <v>633</v>
      </c>
      <c r="E44" s="22" t="inlineStr">
        <is>
          <t>Restaurant &amp; Dining Out</t>
        </is>
      </c>
      <c r="F44" s="25">
        <f>IFERROR(VLOOKUP(E44,SETTINGS!A:B,2,0),"No Value")</f>
        <v/>
      </c>
      <c r="G44" s="11" t="n"/>
      <c r="H44" s="11" t="n"/>
      <c r="I44" s="5" t="n"/>
    </row>
    <row r="45" ht="15.75" customHeight="1" s="184">
      <c r="A45" s="19" t="n">
        <v>45767</v>
      </c>
      <c r="B45" s="21">
        <f>IFERROR(IF(A45&lt;=0,"",TEXT(A45,"MMM YY")),"")</f>
        <v/>
      </c>
      <c r="C45" s="22" t="inlineStr">
        <is>
          <t>Prime Department Store</t>
        </is>
      </c>
      <c r="D45" s="23" t="n">
        <v>60</v>
      </c>
      <c r="E45" s="22" t="inlineStr">
        <is>
          <t>Snacks &amp; Quick Bites</t>
        </is>
      </c>
      <c r="F45" s="25">
        <f>IFERROR(VLOOKUP(E45,SETTINGS!A:B,2,0),"No Value")</f>
        <v/>
      </c>
      <c r="G45" s="11" t="n"/>
      <c r="H45" s="11" t="n"/>
      <c r="I45" s="5" t="n"/>
    </row>
    <row r="46" ht="15.75" customHeight="1" s="184">
      <c r="A46" s="19" t="n">
        <v>45768</v>
      </c>
      <c r="B46" s="21">
        <f>IFERROR(IF(A46&lt;=0,"",TEXT(A46,"MMM YY")),"")</f>
        <v/>
      </c>
      <c r="C46" s="22" t="inlineStr">
        <is>
          <t>National Telecom Utility</t>
        </is>
      </c>
      <c r="D46" s="23" t="n">
        <v>349</v>
      </c>
      <c r="E46" s="22" t="inlineStr">
        <is>
          <t>Bills &amp; Utilities</t>
        </is>
      </c>
      <c r="F46" s="25">
        <f>IFERROR(VLOOKUP(E46,SETTINGS!A:B,2,0),"No Value")</f>
        <v/>
      </c>
      <c r="G46" s="11" t="n"/>
      <c r="H46" s="11" t="n"/>
      <c r="I46" s="5" t="n"/>
    </row>
    <row r="47" ht="15.75" customHeight="1" s="184">
      <c r="A47" s="19" t="n">
        <v>45768</v>
      </c>
      <c r="B47" s="21">
        <f>IFERROR(IF(A47&lt;=0,"",TEXT(A47,"MMM YY")),"")</f>
        <v/>
      </c>
      <c r="C47" s="22" t="inlineStr">
        <is>
          <t>Urban Spice Cafe</t>
        </is>
      </c>
      <c r="D47" s="23" t="n">
        <v>16</v>
      </c>
      <c r="E47" s="22" t="inlineStr">
        <is>
          <t>Restaurant &amp; Dining Out</t>
        </is>
      </c>
      <c r="F47" s="25">
        <f>IFERROR(VLOOKUP(E47,SETTINGS!A:B,2,0),"No Value")</f>
        <v/>
      </c>
      <c r="G47" s="11" t="n"/>
      <c r="H47" s="11" t="n"/>
      <c r="I47" s="5" t="n"/>
    </row>
    <row r="48" ht="15.75" customHeight="1" s="184">
      <c r="A48" s="19" t="n">
        <v>45769</v>
      </c>
      <c r="B48" s="21">
        <f>IFERROR(IF(A48&lt;=0,"",TEXT(A48,"MMM YY")),"")</f>
        <v/>
      </c>
      <c r="C48" s="22" t="inlineStr">
        <is>
          <t>Digital E-Commerce Hub</t>
        </is>
      </c>
      <c r="D48" s="23" t="n">
        <v>185</v>
      </c>
      <c r="E48" s="22" t="inlineStr">
        <is>
          <t>Electronics &amp; Gadgets</t>
        </is>
      </c>
      <c r="F48" s="25">
        <f>IFERROR(VLOOKUP(E48,SETTINGS!A:B,2,0),"No Value")</f>
        <v/>
      </c>
      <c r="G48" s="11" t="n"/>
      <c r="H48" s="11" t="n"/>
      <c r="I48" s="5" t="n"/>
    </row>
    <row r="49" ht="15.75" customHeight="1" s="184">
      <c r="A49" s="19" t="n">
        <v>45769</v>
      </c>
      <c r="B49" s="21">
        <f>IFERROR(IF(A49&lt;=0,"",TEXT(A49,"MMM YY")),"")</f>
        <v/>
      </c>
      <c r="C49" s="22" t="inlineStr">
        <is>
          <t>Urban Lifestyle Goods</t>
        </is>
      </c>
      <c r="D49" s="23" t="n">
        <v>194</v>
      </c>
      <c r="E49" s="22" t="inlineStr">
        <is>
          <t>Electronics &amp; Gadgets</t>
        </is>
      </c>
      <c r="F49" s="25">
        <f>IFERROR(VLOOKUP(E49,SETTINGS!A:B,2,0),"No Value")</f>
        <v/>
      </c>
      <c r="G49" s="11" t="n"/>
      <c r="H49" s="11" t="n"/>
      <c r="I49" s="5" t="n"/>
    </row>
    <row r="50" ht="15.75" customHeight="1" s="184">
      <c r="A50" s="19" t="n">
        <v>45771</v>
      </c>
      <c r="B50" s="21">
        <f>IFERROR(IF(A50&lt;=0,"",TEXT(A50,"MMM YY")),"")</f>
        <v/>
      </c>
      <c r="C50" s="22" t="inlineStr">
        <is>
          <t>Apex Retail Galleria</t>
        </is>
      </c>
      <c r="D50" s="23" t="n">
        <v>10</v>
      </c>
      <c r="E50" s="22" t="inlineStr">
        <is>
          <t>Repair &amp; Maintenance</t>
        </is>
      </c>
      <c r="F50" s="25">
        <f>IFERROR(VLOOKUP(E50,SETTINGS!A:B,2,0),"No Value")</f>
        <v/>
      </c>
      <c r="G50" s="11" t="n"/>
      <c r="H50" s="11" t="n"/>
      <c r="I50" s="5" t="n"/>
    </row>
    <row r="51" ht="15.75" customHeight="1" s="184">
      <c r="A51" s="19" t="n">
        <v>45772</v>
      </c>
      <c r="B51" s="21">
        <f>IFERROR(IF(A51&lt;=0,"",TEXT(A51,"MMM YY")),"")</f>
        <v/>
      </c>
      <c r="C51" s="22" t="inlineStr">
        <is>
          <t>Central Deli &amp; Grill</t>
        </is>
      </c>
      <c r="D51" s="23" t="n">
        <v>70</v>
      </c>
      <c r="E51" s="22" t="inlineStr">
        <is>
          <t>Restaurant &amp; Dining Out</t>
        </is>
      </c>
      <c r="F51" s="25">
        <f>IFERROR(VLOOKUP(E51,SETTINGS!A:B,2,0),"No Value")</f>
        <v/>
      </c>
      <c r="G51" s="11" t="n"/>
      <c r="H51" s="11" t="n"/>
      <c r="I51" s="5" t="n"/>
    </row>
    <row r="52" ht="15.75" customHeight="1" s="184">
      <c r="A52" s="19" t="n">
        <v>45773</v>
      </c>
      <c r="B52" s="21">
        <f>IFERROR(IF(A52&lt;=0,"",TEXT(A52,"MMM YY")),"")</f>
        <v/>
      </c>
      <c r="C52" s="22" t="inlineStr">
        <is>
          <t>Prime Department Store</t>
        </is>
      </c>
      <c r="D52" s="23" t="n">
        <v>36</v>
      </c>
      <c r="E52" s="22" t="inlineStr">
        <is>
          <t>Groceries</t>
        </is>
      </c>
      <c r="F52" s="25">
        <f>IFERROR(VLOOKUP(E52,SETTINGS!A:B,2,0),"No Value")</f>
        <v/>
      </c>
      <c r="G52" s="11" t="n"/>
      <c r="H52" s="11" t="n"/>
      <c r="I52" s="5" t="n"/>
    </row>
    <row r="53" ht="15.75" customHeight="1" s="184">
      <c r="A53" s="19" t="n">
        <v>45773</v>
      </c>
      <c r="B53" s="21">
        <f>IFERROR(IF(A53&lt;=0,"",TEXT(A53,"MMM YY")),"")</f>
        <v/>
      </c>
      <c r="C53" s="22" t="inlineStr">
        <is>
          <t>Digital E-Commerce Hub</t>
        </is>
      </c>
      <c r="D53" s="23" t="n">
        <v>260</v>
      </c>
      <c r="E53" s="22" t="inlineStr">
        <is>
          <t>Snacks &amp; Quick Bites</t>
        </is>
      </c>
      <c r="F53" s="25">
        <f>IFERROR(VLOOKUP(E53,SETTINGS!A:B,2,0),"No Value")</f>
        <v/>
      </c>
      <c r="G53" s="11" t="n"/>
      <c r="H53" s="11" t="n"/>
      <c r="I53" s="5" t="n"/>
    </row>
    <row r="54" ht="15.75" customHeight="1" s="184">
      <c r="A54" s="19" t="n">
        <v>45773</v>
      </c>
      <c r="B54" s="21">
        <f>IFERROR(IF(A54&lt;=0,"",TEXT(A54,"MMM YY")),"")</f>
        <v/>
      </c>
      <c r="C54" s="22" t="inlineStr">
        <is>
          <t>Urban Lifestyle Goods</t>
        </is>
      </c>
      <c r="D54" s="23" t="n">
        <v>40</v>
      </c>
      <c r="E54" s="22" t="inlineStr">
        <is>
          <t>Snacks &amp; Quick Bites</t>
        </is>
      </c>
      <c r="F54" s="25">
        <f>IFERROR(VLOOKUP(E54,SETTINGS!A:B,2,0),"No Value")</f>
        <v/>
      </c>
      <c r="G54" s="11" t="n"/>
      <c r="H54" s="11" t="n"/>
      <c r="I54" s="5" t="n"/>
    </row>
    <row r="55" ht="15.75" customHeight="1" s="184">
      <c r="A55" s="19" t="n">
        <v>45774</v>
      </c>
      <c r="B55" s="21">
        <f>IFERROR(IF(A55&lt;=0,"",TEXT(A55,"MMM YY")),"")</f>
        <v/>
      </c>
      <c r="C55" s="22" t="inlineStr">
        <is>
          <t>City Bakers</t>
        </is>
      </c>
      <c r="D55" s="23" t="n">
        <v>70</v>
      </c>
      <c r="E55" s="22" t="inlineStr">
        <is>
          <t>Restaurant &amp; Dining Out</t>
        </is>
      </c>
      <c r="F55" s="25">
        <f>IFERROR(VLOOKUP(E55,SETTINGS!A:B,2,0),"No Value")</f>
        <v/>
      </c>
      <c r="G55" s="11" t="n"/>
      <c r="H55" s="11" t="n"/>
      <c r="I55" s="5" t="n"/>
    </row>
    <row r="56" ht="15.75" customHeight="1" s="184">
      <c r="A56" s="19" t="n">
        <v>45774</v>
      </c>
      <c r="B56" s="21">
        <f>IFERROR(IF(A56&lt;=0,"",TEXT(A56,"MMM YY")),"")</f>
        <v/>
      </c>
      <c r="C56" s="22" t="inlineStr">
        <is>
          <t>Apex Retail Galleria</t>
        </is>
      </c>
      <c r="D56" s="23" t="n">
        <v>17</v>
      </c>
      <c r="E56" s="22" t="inlineStr">
        <is>
          <t>Groceries</t>
        </is>
      </c>
      <c r="F56" s="25">
        <f>IFERROR(VLOOKUP(E56,SETTINGS!A:B,2,0),"No Value")</f>
        <v/>
      </c>
      <c r="G56" s="11" t="n"/>
      <c r="H56" s="11" t="n"/>
      <c r="I56" s="5" t="n"/>
    </row>
    <row r="57" ht="15.75" customHeight="1" s="184">
      <c r="A57" s="19" t="n">
        <v>45776</v>
      </c>
      <c r="B57" s="21">
        <f>IFERROR(IF(A57&lt;=0,"",TEXT(A57,"MMM YY")),"")</f>
        <v/>
      </c>
      <c r="C57" s="22" t="inlineStr">
        <is>
          <t>Prime Department Store</t>
        </is>
      </c>
      <c r="D57" s="23" t="n">
        <v>20000</v>
      </c>
      <c r="E57" s="22" t="inlineStr">
        <is>
          <t>Gifts</t>
        </is>
      </c>
      <c r="F57" s="25">
        <f>IFERROR(VLOOKUP(E57,SETTINGS!A:B,2,0),"No Value")</f>
        <v/>
      </c>
      <c r="G57" s="11" t="n"/>
      <c r="H57" s="11" t="n"/>
      <c r="I57" s="5" t="n"/>
    </row>
    <row r="58" ht="15.75" customHeight="1" s="184">
      <c r="A58" s="19" t="n">
        <v>45778</v>
      </c>
      <c r="B58" s="21">
        <f>IFERROR(IF(A58&lt;=0,"",TEXT(A58,"MMM YY")),"")</f>
        <v/>
      </c>
      <c r="C58" s="22" t="inlineStr">
        <is>
          <t>Digital E-Commerce Hub</t>
        </is>
      </c>
      <c r="D58" s="23" t="n">
        <v>20</v>
      </c>
      <c r="E58" s="22" t="inlineStr">
        <is>
          <t>Snacks &amp; Quick Bites</t>
        </is>
      </c>
      <c r="F58" s="25">
        <f>IFERROR(VLOOKUP(E58,SETTINGS!A:B,2,0),"No Value")</f>
        <v/>
      </c>
      <c r="G58" s="11" t="n"/>
      <c r="H58" s="11" t="n"/>
      <c r="I58" s="5" t="n"/>
    </row>
    <row r="59" ht="15.75" customHeight="1" s="184">
      <c r="A59" s="19" t="n">
        <v>45778</v>
      </c>
      <c r="B59" s="21">
        <f>IFERROR(IF(A59&lt;=0,"",TEXT(A59,"MMM YY")),"")</f>
        <v/>
      </c>
      <c r="C59" s="22" t="inlineStr">
        <is>
          <t>Urban Lifestyle Goods</t>
        </is>
      </c>
      <c r="D59" s="23" t="n">
        <v>4000</v>
      </c>
      <c r="E59" s="22" t="inlineStr">
        <is>
          <t>Loans Given &amp; Taken</t>
        </is>
      </c>
      <c r="F59" s="25">
        <f>IFERROR(VLOOKUP(E59,SETTINGS!A:B,2,0),"No Value")</f>
        <v/>
      </c>
      <c r="G59" s="11" t="n"/>
      <c r="H59" s="11" t="n"/>
      <c r="I59" s="5" t="n"/>
    </row>
    <row r="60" ht="15.75" customHeight="1" s="184">
      <c r="A60" s="19" t="n">
        <v>45779</v>
      </c>
      <c r="B60" s="21">
        <f>IFERROR(IF(A60&lt;=0,"",TEXT(A60,"MMM YY")),"")</f>
        <v/>
      </c>
      <c r="C60" s="22" t="inlineStr">
        <is>
          <t>Apex Retail Galleria</t>
        </is>
      </c>
      <c r="D60" s="23" t="n">
        <v>1000</v>
      </c>
      <c r="E60" s="22" t="inlineStr">
        <is>
          <t>Investments</t>
        </is>
      </c>
      <c r="F60" s="25">
        <f>IFERROR(VLOOKUP(E60,SETTINGS!A:B,2,0),"No Value")</f>
        <v/>
      </c>
      <c r="G60" s="11" t="n"/>
      <c r="H60" s="11" t="n"/>
      <c r="I60" s="5" t="n"/>
    </row>
    <row r="61" ht="15.75" customHeight="1" s="184">
      <c r="A61" s="19" t="n">
        <v>45780</v>
      </c>
      <c r="B61" s="21">
        <f>IFERROR(IF(A61&lt;=0,"",TEXT(A61,"MMM YY")),"")</f>
        <v/>
      </c>
      <c r="C61" s="22" t="inlineStr">
        <is>
          <t>Prime Department Store</t>
        </is>
      </c>
      <c r="D61" s="23" t="n">
        <v>1000</v>
      </c>
      <c r="E61" s="22" t="inlineStr">
        <is>
          <t>Investments</t>
        </is>
      </c>
      <c r="F61" s="25">
        <f>IFERROR(VLOOKUP(E61,SETTINGS!A:B,2,0),"No Value")</f>
        <v/>
      </c>
      <c r="G61" s="11" t="n"/>
      <c r="H61" s="11" t="n"/>
      <c r="I61" s="5" t="n"/>
    </row>
    <row r="62" ht="15.75" customHeight="1" s="184">
      <c r="A62" s="19" t="n">
        <v>45780</v>
      </c>
      <c r="B62" s="21">
        <f>IFERROR(IF(A62&lt;=0,"",TEXT(A62,"MMM YY")),"")</f>
        <v/>
      </c>
      <c r="C62" s="22" t="inlineStr">
        <is>
          <t>Digital E-Commerce Hub</t>
        </is>
      </c>
      <c r="D62" s="23" t="n">
        <v>2000</v>
      </c>
      <c r="E62" s="22" t="inlineStr">
        <is>
          <t>Investments</t>
        </is>
      </c>
      <c r="F62" s="25">
        <f>IFERROR(VLOOKUP(E62,SETTINGS!A:B,2,0),"No Value")</f>
        <v/>
      </c>
      <c r="G62" s="11" t="n"/>
      <c r="H62" s="11" t="n"/>
      <c r="I62" s="5" t="n"/>
    </row>
    <row r="63" ht="15.75" customHeight="1" s="184">
      <c r="A63" s="19" t="n">
        <v>45779</v>
      </c>
      <c r="B63" s="21">
        <f>IFERROR(IF(A63&lt;=0,"",TEXT(A63,"MMM YY")),"")</f>
        <v/>
      </c>
      <c r="C63" s="22" t="inlineStr">
        <is>
          <t>Urban Lifestyle Goods</t>
        </is>
      </c>
      <c r="D63" s="23" t="n">
        <v>50</v>
      </c>
      <c r="E63" s="22" t="inlineStr">
        <is>
          <t>Personal Care</t>
        </is>
      </c>
      <c r="F63" s="25">
        <f>IFERROR(VLOOKUP(E63,SETTINGS!A:B,2,0),"No Value")</f>
        <v/>
      </c>
      <c r="G63" s="11" t="n"/>
      <c r="H63" s="11" t="n"/>
      <c r="I63" s="5" t="n"/>
    </row>
    <row r="64" ht="15.75" customHeight="1" s="184">
      <c r="A64" s="19" t="n">
        <v>45781</v>
      </c>
      <c r="B64" s="21">
        <f>IFERROR(IF(A64&lt;=0,"",TEXT(A64,"MMM YY")),"")</f>
        <v/>
      </c>
      <c r="C64" s="22" t="inlineStr">
        <is>
          <t>Apex Retail Galleria</t>
        </is>
      </c>
      <c r="D64" s="23" t="n">
        <v>340</v>
      </c>
      <c r="E64" s="22" t="inlineStr">
        <is>
          <t>Snacks &amp; Quick Bites</t>
        </is>
      </c>
      <c r="F64" s="25">
        <f>IFERROR(VLOOKUP(E64,SETTINGS!A:B,2,0),"No Value")</f>
        <v/>
      </c>
      <c r="G64" s="11" t="n"/>
      <c r="H64" s="11" t="n"/>
      <c r="I64" s="5" t="n"/>
    </row>
    <row r="65" ht="15.75" customHeight="1" s="184">
      <c r="A65" s="19" t="n">
        <v>45783</v>
      </c>
      <c r="B65" s="21">
        <f>IFERROR(IF(A65&lt;=0,"",TEXT(A65,"MMM YY")),"")</f>
        <v/>
      </c>
      <c r="C65" s="22" t="inlineStr">
        <is>
          <t>Prime Department Store</t>
        </is>
      </c>
      <c r="D65" s="23" t="n">
        <v>820</v>
      </c>
      <c r="E65" s="22" t="inlineStr">
        <is>
          <t>Gifts</t>
        </is>
      </c>
      <c r="F65" s="25">
        <f>IFERROR(VLOOKUP(E65,SETTINGS!A:B,2,0),"No Value")</f>
        <v/>
      </c>
      <c r="G65" s="11" t="n"/>
      <c r="H65" s="11" t="n"/>
      <c r="I65" s="5" t="n"/>
    </row>
    <row r="66" ht="15.75" customHeight="1" s="184">
      <c r="A66" s="19" t="n">
        <v>45784</v>
      </c>
      <c r="B66" s="21">
        <f>IFERROR(IF(A66&lt;=0,"",TEXT(A66,"MMM YY")),"")</f>
        <v/>
      </c>
      <c r="C66" s="22" t="inlineStr">
        <is>
          <t>Digital E-Commerce Hub</t>
        </is>
      </c>
      <c r="D66" s="23" t="n">
        <v>300</v>
      </c>
      <c r="E66" s="22" t="inlineStr">
        <is>
          <t>Gifts</t>
        </is>
      </c>
      <c r="F66" s="25">
        <f>IFERROR(VLOOKUP(E66,SETTINGS!A:B,2,0),"No Value")</f>
        <v/>
      </c>
      <c r="G66" s="11" t="n"/>
      <c r="H66" s="11" t="n"/>
      <c r="I66" s="5" t="n"/>
    </row>
    <row r="67" ht="15.75" customHeight="1" s="184">
      <c r="A67" s="19" t="n">
        <v>45784</v>
      </c>
      <c r="B67" s="21">
        <f>IFERROR(IF(A67&lt;=0,"",TEXT(A67,"MMM YY")),"")</f>
        <v/>
      </c>
      <c r="C67" s="22" t="inlineStr">
        <is>
          <t>Urban Lifestyle Goods</t>
        </is>
      </c>
      <c r="D67" s="23" t="n">
        <v>30</v>
      </c>
      <c r="E67" s="22" t="inlineStr">
        <is>
          <t>Snacks &amp; Quick Bites</t>
        </is>
      </c>
      <c r="F67" s="25">
        <f>IFERROR(VLOOKUP(E67,SETTINGS!A:B,2,0),"No Value")</f>
        <v/>
      </c>
      <c r="G67" s="11" t="n"/>
      <c r="H67" s="11" t="n"/>
      <c r="I67" s="5" t="n"/>
    </row>
    <row r="68" ht="15.75" customHeight="1" s="184">
      <c r="A68" s="19" t="n">
        <v>45787</v>
      </c>
      <c r="B68" s="21">
        <f>IFERROR(IF(A68&lt;=0,"",TEXT(A68,"MMM YY")),"")</f>
        <v/>
      </c>
      <c r="C68" s="22" t="inlineStr">
        <is>
          <t>Apex Retail Galleria</t>
        </is>
      </c>
      <c r="D68" s="23" t="n">
        <v>28</v>
      </c>
      <c r="E68" s="22" t="inlineStr">
        <is>
          <t>Education</t>
        </is>
      </c>
      <c r="F68" s="25">
        <f>IFERROR(VLOOKUP(E68,SETTINGS!A:B,2,0),"No Value")</f>
        <v/>
      </c>
      <c r="G68" s="11" t="n"/>
      <c r="H68" s="11" t="n"/>
      <c r="I68" s="5" t="n"/>
    </row>
    <row r="69" ht="15.75" customHeight="1" s="184">
      <c r="A69" s="19" t="n">
        <v>45787</v>
      </c>
      <c r="B69" s="21">
        <f>IFERROR(IF(A69&lt;=0,"",TEXT(A69,"MMM YY")),"")</f>
        <v/>
      </c>
      <c r="C69" s="22" t="inlineStr">
        <is>
          <t>Prime Department Store</t>
        </is>
      </c>
      <c r="D69" s="23" t="n">
        <v>80</v>
      </c>
      <c r="E69" s="22" t="inlineStr">
        <is>
          <t>Education</t>
        </is>
      </c>
      <c r="F69" s="25">
        <f>IFERROR(VLOOKUP(E69,SETTINGS!A:B,2,0),"No Value")</f>
        <v/>
      </c>
      <c r="G69" s="11" t="n"/>
      <c r="H69" s="11" t="n"/>
      <c r="I69" s="5" t="n"/>
    </row>
    <row r="70" ht="15.75" customHeight="1" s="184">
      <c r="A70" s="19" t="n">
        <v>45787</v>
      </c>
      <c r="B70" s="21">
        <f>IFERROR(IF(A70&lt;=0,"",TEXT(A70,"MMM YY")),"")</f>
        <v/>
      </c>
      <c r="C70" s="22" t="inlineStr">
        <is>
          <t>Digital E-Commerce Hub</t>
        </is>
      </c>
      <c r="D70" s="23" t="n">
        <v>20</v>
      </c>
      <c r="E70" s="22" t="inlineStr">
        <is>
          <t>Snacks &amp; Quick Bites</t>
        </is>
      </c>
      <c r="F70" s="25">
        <f>IFERROR(VLOOKUP(E70,SETTINGS!A:B,2,0),"No Value")</f>
        <v/>
      </c>
      <c r="G70" s="11" t="n"/>
      <c r="H70" s="11" t="n"/>
      <c r="I70" s="5" t="n"/>
    </row>
    <row r="71" ht="15.75" customHeight="1" s="184">
      <c r="A71" s="19" t="n">
        <v>45788</v>
      </c>
      <c r="B71" s="21">
        <f>IFERROR(IF(A71&lt;=0,"",TEXT(A71,"MMM YY")),"")</f>
        <v/>
      </c>
      <c r="C71" s="22" t="inlineStr">
        <is>
          <t>Metro Transit Mobility</t>
        </is>
      </c>
      <c r="D71" s="23" t="n">
        <v>500</v>
      </c>
      <c r="E71" s="22" t="inlineStr">
        <is>
          <t>Commute</t>
        </is>
      </c>
      <c r="F71" s="25">
        <f>IFERROR(VLOOKUP(E71,SETTINGS!A:B,2,0),"No Value")</f>
        <v/>
      </c>
      <c r="G71" s="11" t="n"/>
      <c r="H71" s="11" t="n"/>
      <c r="I71" s="5" t="n"/>
    </row>
    <row r="72" ht="15.75" customHeight="1" s="184">
      <c r="A72" s="19" t="n">
        <v>45787</v>
      </c>
      <c r="B72" s="21">
        <f>IFERROR(IF(A72&lt;=0,"",TEXT(A72,"MMM YY")),"")</f>
        <v/>
      </c>
      <c r="C72" s="22" t="inlineStr">
        <is>
          <t>Urban Lifestyle Goods</t>
        </is>
      </c>
      <c r="D72" s="23" t="n">
        <v>10</v>
      </c>
      <c r="E72" s="22" t="inlineStr">
        <is>
          <t>Groceries</t>
        </is>
      </c>
      <c r="F72" s="25">
        <f>IFERROR(VLOOKUP(E72,SETTINGS!A:B,2,0),"No Value")</f>
        <v/>
      </c>
      <c r="G72" s="11" t="n"/>
      <c r="H72" s="11" t="n"/>
      <c r="I72" s="5" t="n"/>
    </row>
    <row r="73" ht="15.75" customHeight="1" s="184">
      <c r="A73" s="19" t="n">
        <v>45792</v>
      </c>
      <c r="B73" s="21">
        <f>IFERROR(IF(A73&lt;=0,"",TEXT(A73,"MMM YY")),"")</f>
        <v/>
      </c>
      <c r="C73" s="22" t="inlineStr">
        <is>
          <t>Apex Retail Galleria</t>
        </is>
      </c>
      <c r="D73" s="23" t="n">
        <v>48</v>
      </c>
      <c r="E73" s="22" t="inlineStr">
        <is>
          <t>Personal Care</t>
        </is>
      </c>
      <c r="F73" s="25">
        <f>IFERROR(VLOOKUP(E73,SETTINGS!A:B,2,0),"No Value")</f>
        <v/>
      </c>
      <c r="G73" s="11" t="n"/>
      <c r="H73" s="11" t="n"/>
      <c r="I73" s="5" t="n"/>
    </row>
    <row r="74" ht="15.75" customHeight="1" s="184">
      <c r="A74" s="19" t="n">
        <v>45793</v>
      </c>
      <c r="B74" s="21">
        <f>IFERROR(IF(A74&lt;=0,"",TEXT(A74,"MMM YY")),"")</f>
        <v/>
      </c>
      <c r="C74" s="22" t="inlineStr">
        <is>
          <t>Prime Department Store</t>
        </is>
      </c>
      <c r="D74" s="23" t="n">
        <v>30</v>
      </c>
      <c r="E74" s="22" t="inlineStr">
        <is>
          <t>Snacks &amp; Quick Bites</t>
        </is>
      </c>
      <c r="F74" s="25">
        <f>IFERROR(VLOOKUP(E74,SETTINGS!A:B,2,0),"No Value")</f>
        <v/>
      </c>
      <c r="G74" s="11" t="n"/>
      <c r="H74" s="11" t="n"/>
      <c r="I74" s="5" t="n"/>
    </row>
    <row r="75" ht="15.75" customHeight="1" s="184">
      <c r="A75" s="19" t="n">
        <v>45794</v>
      </c>
      <c r="B75" s="21">
        <f>IFERROR(IF(A75&lt;=0,"",TEXT(A75,"MMM YY")),"")</f>
        <v/>
      </c>
      <c r="C75" s="22" t="inlineStr">
        <is>
          <t>Harbor Cafe</t>
        </is>
      </c>
      <c r="D75" s="23" t="n">
        <v>160</v>
      </c>
      <c r="E75" s="22" t="inlineStr">
        <is>
          <t>Restaurant &amp; Dining Out</t>
        </is>
      </c>
      <c r="F75" s="25">
        <f>IFERROR(VLOOKUP(E75,SETTINGS!A:B,2,0),"No Value")</f>
        <v/>
      </c>
      <c r="G75" s="11" t="n"/>
      <c r="H75" s="11" t="n"/>
      <c r="I75" s="5" t="n"/>
    </row>
    <row r="76" ht="15.75" customHeight="1" s="184">
      <c r="A76" s="19" t="n">
        <v>45794</v>
      </c>
      <c r="B76" s="21">
        <f>IFERROR(IF(A76&lt;=0,"",TEXT(A76,"MMM YY")),"")</f>
        <v/>
      </c>
      <c r="C76" s="22" t="inlineStr">
        <is>
          <t>Metro Gourmet Bistro</t>
        </is>
      </c>
      <c r="D76" s="23" t="n">
        <v>260</v>
      </c>
      <c r="E76" s="22" t="inlineStr">
        <is>
          <t>Restaurant &amp; Dining Out</t>
        </is>
      </c>
      <c r="F76" s="25">
        <f>IFERROR(VLOOKUP(E76,SETTINGS!A:B,2,0),"No Value")</f>
        <v/>
      </c>
      <c r="G76" s="11" t="n"/>
      <c r="H76" s="11" t="n"/>
      <c r="I76" s="5" t="n"/>
    </row>
    <row r="77" ht="15.75" customHeight="1" s="184">
      <c r="A77" s="19" t="n">
        <v>45795</v>
      </c>
      <c r="B77" s="21">
        <f>IFERROR(IF(A77&lt;=0,"",TEXT(A77,"MMM YY")),"")</f>
        <v/>
      </c>
      <c r="C77" s="22" t="inlineStr">
        <is>
          <t>Urban Spice Cafe</t>
        </is>
      </c>
      <c r="D77" s="23" t="n">
        <v>680</v>
      </c>
      <c r="E77" s="22" t="inlineStr">
        <is>
          <t>Restaurant &amp; Dining Out</t>
        </is>
      </c>
      <c r="F77" s="25">
        <f>IFERROR(VLOOKUP(E77,SETTINGS!A:B,2,0),"No Value")</f>
        <v/>
      </c>
      <c r="G77" s="11" t="n"/>
      <c r="H77" s="11" t="n"/>
      <c r="I77" s="5" t="n"/>
    </row>
    <row r="78" ht="15.75" customHeight="1" s="184">
      <c r="A78" s="19" t="n">
        <v>45795</v>
      </c>
      <c r="B78" s="21">
        <f>IFERROR(IF(A78&lt;=0,"",TEXT(A78,"MMM YY")),"")</f>
        <v/>
      </c>
      <c r="C78" s="22" t="inlineStr">
        <is>
          <t>Digital E-Commerce Hub</t>
        </is>
      </c>
      <c r="D78" s="23" t="n">
        <v>287</v>
      </c>
      <c r="E78" s="22" t="inlineStr">
        <is>
          <t>Medical</t>
        </is>
      </c>
      <c r="F78" s="25">
        <f>IFERROR(VLOOKUP(E78,SETTINGS!A:B,2,0),"No Value")</f>
        <v/>
      </c>
      <c r="G78" s="11" t="n"/>
      <c r="H78" s="11" t="n"/>
      <c r="I78" s="5" t="n"/>
    </row>
    <row r="79" ht="15.75" customHeight="1" s="184">
      <c r="A79" s="19" t="n">
        <v>45795</v>
      </c>
      <c r="B79" s="21">
        <f>IFERROR(IF(A79&lt;=0,"",TEXT(A79,"MMM YY")),"")</f>
        <v/>
      </c>
      <c r="C79" s="22" t="inlineStr">
        <is>
          <t>Urban Lifestyle Goods</t>
        </is>
      </c>
      <c r="D79" s="23" t="n">
        <v>150</v>
      </c>
      <c r="E79" s="22" t="inlineStr">
        <is>
          <t>Snacks &amp; Quick Bites</t>
        </is>
      </c>
      <c r="F79" s="25">
        <f>IFERROR(VLOOKUP(E79,SETTINGS!A:B,2,0),"No Value")</f>
        <v/>
      </c>
      <c r="G79" s="11" t="n"/>
      <c r="H79" s="11" t="n"/>
      <c r="I79" s="5" t="n"/>
    </row>
    <row r="80" ht="15.75" customHeight="1" s="184">
      <c r="A80" s="19" t="n">
        <v>45796</v>
      </c>
      <c r="B80" s="21">
        <f>IFERROR(IF(A80&lt;=0,"",TEXT(A80,"MMM YY")),"")</f>
        <v/>
      </c>
      <c r="C80" s="22" t="inlineStr">
        <is>
          <t>Apex Retail Galleria</t>
        </is>
      </c>
      <c r="D80" s="23" t="n">
        <v>60</v>
      </c>
      <c r="E80" s="22" t="inlineStr">
        <is>
          <t>Snacks &amp; Quick Bites</t>
        </is>
      </c>
      <c r="F80" s="25">
        <f>IFERROR(VLOOKUP(E80,SETTINGS!A:B,2,0),"No Value")</f>
        <v/>
      </c>
      <c r="G80" s="11" t="n"/>
      <c r="H80" s="11" t="n"/>
      <c r="I80" s="5" t="n"/>
    </row>
    <row r="81" ht="15.75" customHeight="1" s="184">
      <c r="A81" s="19" t="n">
        <v>45799</v>
      </c>
      <c r="B81" s="21">
        <f>IFERROR(IF(A81&lt;=0,"",TEXT(A81,"MMM YY")),"")</f>
        <v/>
      </c>
      <c r="C81" s="22" t="inlineStr">
        <is>
          <t>Prime Department Store</t>
        </is>
      </c>
      <c r="D81" s="23" t="n">
        <v>300</v>
      </c>
      <c r="E81" s="22" t="inlineStr">
        <is>
          <t>Shopping</t>
        </is>
      </c>
      <c r="F81" s="25">
        <f>IFERROR(VLOOKUP(E81,SETTINGS!A:B,2,0),"No Value")</f>
        <v/>
      </c>
      <c r="G81" s="11" t="n"/>
      <c r="H81" s="11" t="n"/>
      <c r="I81" s="5" t="n"/>
    </row>
    <row r="82" ht="15.75" customHeight="1" s="184">
      <c r="A82" s="19" t="n">
        <v>45799</v>
      </c>
      <c r="B82" s="21">
        <f>IFERROR(IF(A82&lt;=0,"",TEXT(A82,"MMM YY")),"")</f>
        <v/>
      </c>
      <c r="C82" s="22" t="inlineStr">
        <is>
          <t>Digital E-Commerce Hub</t>
        </is>
      </c>
      <c r="D82" s="23" t="n">
        <v>380</v>
      </c>
      <c r="E82" s="22" t="inlineStr">
        <is>
          <t>Education</t>
        </is>
      </c>
      <c r="F82" s="25">
        <f>IFERROR(VLOOKUP(E82,SETTINGS!A:B,2,0),"No Value")</f>
        <v/>
      </c>
      <c r="G82" s="11" t="n"/>
      <c r="H82" s="11" t="n"/>
      <c r="I82" s="5" t="n"/>
    </row>
    <row r="83" ht="15.75" customHeight="1" s="184">
      <c r="A83" s="19" t="n">
        <v>45801</v>
      </c>
      <c r="B83" s="21">
        <f>IFERROR(IF(A83&lt;=0,"",TEXT(A83,"MMM YY")),"")</f>
        <v/>
      </c>
      <c r="C83" s="22" t="inlineStr">
        <is>
          <t>Urban Lifestyle Goods</t>
        </is>
      </c>
      <c r="D83" s="23" t="n">
        <v>100</v>
      </c>
      <c r="E83" s="22" t="inlineStr">
        <is>
          <t>Repair &amp; Maintenance</t>
        </is>
      </c>
      <c r="F83" s="25">
        <f>IFERROR(VLOOKUP(E83,SETTINGS!A:B,2,0),"No Value")</f>
        <v/>
      </c>
      <c r="G83" s="11" t="n"/>
      <c r="H83" s="11" t="n"/>
      <c r="I83" s="5" t="n"/>
    </row>
    <row r="84" ht="15.75" customHeight="1" s="184">
      <c r="A84" s="19" t="n">
        <v>45800</v>
      </c>
      <c r="B84" s="21">
        <f>IFERROR(IF(A84&lt;=0,"",TEXT(A84,"MMM YY")),"")</f>
        <v/>
      </c>
      <c r="C84" s="22" t="inlineStr">
        <is>
          <t>Metropolitan Power Board</t>
        </is>
      </c>
      <c r="D84" s="23" t="n">
        <v>249</v>
      </c>
      <c r="E84" s="22" t="inlineStr">
        <is>
          <t>Bills &amp; Utilities</t>
        </is>
      </c>
      <c r="F84" s="25">
        <f>IFERROR(VLOOKUP(E84,SETTINGS!A:B,2,0),"No Value")</f>
        <v/>
      </c>
      <c r="G84" s="11" t="n"/>
      <c r="H84" s="11" t="n"/>
      <c r="I84" s="5" t="n"/>
    </row>
    <row r="85" ht="15.75" customHeight="1" s="184">
      <c r="A85" s="19" t="n">
        <v>45802</v>
      </c>
      <c r="B85" s="21">
        <f>IFERROR(IF(A85&lt;=0,"",TEXT(A85,"MMM YY")),"")</f>
        <v/>
      </c>
      <c r="C85" s="22" t="inlineStr">
        <is>
          <t>Apex Retail Galleria</t>
        </is>
      </c>
      <c r="D85" s="23" t="n">
        <v>227</v>
      </c>
      <c r="E85" s="22" t="inlineStr">
        <is>
          <t>Shopping</t>
        </is>
      </c>
      <c r="F85" s="25">
        <f>IFERROR(VLOOKUP(E85,SETTINGS!A:B,2,0),"No Value")</f>
        <v/>
      </c>
      <c r="G85" s="11" t="n"/>
      <c r="H85" s="11" t="n"/>
      <c r="I85" s="5" t="n"/>
    </row>
    <row r="86" ht="15.75" customHeight="1" s="184">
      <c r="A86" s="19" t="n">
        <v>45802</v>
      </c>
      <c r="B86" s="21">
        <f>IFERROR(IF(A86&lt;=0,"",TEXT(A86,"MMM YY")),"")</f>
        <v/>
      </c>
      <c r="C86" s="22" t="inlineStr">
        <is>
          <t>Prime Department Store</t>
        </is>
      </c>
      <c r="D86" s="23" t="n">
        <v>200</v>
      </c>
      <c r="E86" s="22" t="inlineStr">
        <is>
          <t>Snacks &amp; Quick Bites</t>
        </is>
      </c>
      <c r="F86" s="25">
        <f>IFERROR(VLOOKUP(E86,SETTINGS!A:B,2,0),"No Value")</f>
        <v/>
      </c>
      <c r="G86" s="11" t="n"/>
      <c r="H86" s="11" t="n"/>
      <c r="I86" s="5" t="n"/>
    </row>
    <row r="87" ht="15.75" customHeight="1" s="184">
      <c r="A87" s="19" t="n">
        <v>45803</v>
      </c>
      <c r="B87" s="21">
        <f>IFERROR(IF(A87&lt;=0,"",TEXT(A87,"MMM YY")),"")</f>
        <v/>
      </c>
      <c r="C87" s="22" t="inlineStr">
        <is>
          <t>Digital E-Commerce Hub</t>
        </is>
      </c>
      <c r="D87" s="23" t="n">
        <v>130</v>
      </c>
      <c r="E87" s="22" t="inlineStr">
        <is>
          <t>Education</t>
        </is>
      </c>
      <c r="F87" s="25">
        <f>IFERROR(VLOOKUP(E87,SETTINGS!A:B,2,0),"No Value")</f>
        <v/>
      </c>
      <c r="G87" s="11" t="n"/>
      <c r="H87" s="11" t="n"/>
      <c r="I87" s="5" t="n"/>
    </row>
    <row r="88" ht="15.75" customHeight="1" s="184">
      <c r="A88" s="19" t="n">
        <v>45803</v>
      </c>
      <c r="B88" s="21">
        <f>IFERROR(IF(A88&lt;=0,"",TEXT(A88,"MMM YY")),"")</f>
        <v/>
      </c>
      <c r="C88" s="22" t="inlineStr">
        <is>
          <t>Urban Lifestyle Goods</t>
        </is>
      </c>
      <c r="D88" s="23" t="n">
        <v>902.9400000000001</v>
      </c>
      <c r="E88" s="22" t="inlineStr">
        <is>
          <t>Other</t>
        </is>
      </c>
      <c r="F88" s="25">
        <f>IFERROR(VLOOKUP(E88,SETTINGS!A:B,2,0),"No Value")</f>
        <v/>
      </c>
      <c r="G88" s="11" t="n"/>
      <c r="H88" s="11" t="n"/>
      <c r="I88" s="5" t="n"/>
    </row>
    <row r="89" ht="15.75" customHeight="1" s="184">
      <c r="A89" s="19" t="n">
        <v>45803</v>
      </c>
      <c r="B89" s="21">
        <f>IFERROR(IF(A89&lt;=0,"",TEXT(A89,"MMM YY")),"")</f>
        <v/>
      </c>
      <c r="C89" s="22" t="inlineStr">
        <is>
          <t>Apex Retail Galleria</t>
        </is>
      </c>
      <c r="D89" s="23" t="n">
        <v>10.64</v>
      </c>
      <c r="E89" s="22" t="inlineStr">
        <is>
          <t>Other</t>
        </is>
      </c>
      <c r="F89" s="25">
        <f>IFERROR(VLOOKUP(E89,SETTINGS!A:B,2,0),"No Value")</f>
        <v/>
      </c>
      <c r="G89" s="11" t="n"/>
      <c r="H89" s="11" t="n"/>
      <c r="I89" s="5" t="n"/>
    </row>
    <row r="90" ht="15.75" customHeight="1" s="184">
      <c r="A90" s="19" t="n">
        <v>45804</v>
      </c>
      <c r="B90" s="21">
        <f>IFERROR(IF(A90&lt;=0,"",TEXT(A90,"MMM YY")),"")</f>
        <v/>
      </c>
      <c r="C90" s="22" t="inlineStr">
        <is>
          <t>Prime Department Store</t>
        </is>
      </c>
      <c r="D90" s="23" t="n">
        <v>150</v>
      </c>
      <c r="E90" s="22" t="inlineStr">
        <is>
          <t>Medical</t>
        </is>
      </c>
      <c r="F90" s="25">
        <f>IFERROR(VLOOKUP(E90,SETTINGS!A:B,2,0),"No Value")</f>
        <v/>
      </c>
      <c r="G90" s="11" t="n"/>
      <c r="H90" s="11" t="n"/>
      <c r="I90" s="5" t="n"/>
    </row>
    <row r="91" ht="15.75" customHeight="1" s="184">
      <c r="A91" s="19" t="n">
        <v>45804</v>
      </c>
      <c r="B91" s="21">
        <f>IFERROR(IF(A91&lt;=0,"",TEXT(A91,"MMM YY")),"")</f>
        <v/>
      </c>
      <c r="C91" s="22" t="inlineStr">
        <is>
          <t>Digital E-Commerce Hub</t>
        </is>
      </c>
      <c r="D91" s="23" t="n">
        <v>280</v>
      </c>
      <c r="E91" s="22" t="inlineStr">
        <is>
          <t>Medical</t>
        </is>
      </c>
      <c r="F91" s="25">
        <f>IFERROR(VLOOKUP(E91,SETTINGS!A:B,2,0),"No Value")</f>
        <v/>
      </c>
      <c r="G91" s="11" t="n"/>
      <c r="H91" s="11" t="n"/>
      <c r="I91" s="5" t="n"/>
    </row>
    <row r="92" ht="15.75" customHeight="1" s="184">
      <c r="A92" s="19" t="n">
        <v>45804</v>
      </c>
      <c r="B92" s="21">
        <f>IFERROR(IF(A92&lt;=0,"",TEXT(A92,"MMM YY")),"")</f>
        <v/>
      </c>
      <c r="C92" s="22" t="inlineStr">
        <is>
          <t>Urban Lifestyle Goods</t>
        </is>
      </c>
      <c r="D92" s="23" t="n">
        <v>25</v>
      </c>
      <c r="E92" s="22" t="inlineStr">
        <is>
          <t>Groceries</t>
        </is>
      </c>
      <c r="F92" s="25">
        <f>IFERROR(VLOOKUP(E92,SETTINGS!A:B,2,0),"No Value")</f>
        <v/>
      </c>
      <c r="G92" s="11" t="n"/>
      <c r="H92" s="11" t="n"/>
      <c r="I92" s="5" t="n"/>
    </row>
    <row r="93" ht="15.75" customHeight="1" s="184">
      <c r="A93" s="19" t="n">
        <v>45804</v>
      </c>
      <c r="B93" s="21">
        <f>IFERROR(IF(A93&lt;=0,"",TEXT(A93,"MMM YY")),"")</f>
        <v/>
      </c>
      <c r="C93" s="22" t="inlineStr">
        <is>
          <t>Broadband Fiber Net</t>
        </is>
      </c>
      <c r="D93" s="23" t="n">
        <v>400</v>
      </c>
      <c r="E93" s="22" t="inlineStr">
        <is>
          <t>Bills &amp; Utilities</t>
        </is>
      </c>
      <c r="F93" s="25">
        <f>IFERROR(VLOOKUP(E93,SETTINGS!A:B,2,0),"No Value")</f>
        <v/>
      </c>
      <c r="G93" s="11" t="n"/>
      <c r="H93" s="11" t="n"/>
      <c r="I93" s="5" t="n"/>
    </row>
    <row r="94" ht="15.75" customHeight="1" s="184">
      <c r="A94" s="19" t="n">
        <v>45804</v>
      </c>
      <c r="B94" s="21">
        <f>IFERROR(IF(A94&lt;=0,"",TEXT(A94,"MMM YY")),"")</f>
        <v/>
      </c>
      <c r="C94" s="22" t="inlineStr">
        <is>
          <t>Apex Retail Galleria</t>
        </is>
      </c>
      <c r="D94" s="23" t="n">
        <v>30</v>
      </c>
      <c r="E94" s="22" t="inlineStr">
        <is>
          <t>Snacks &amp; Quick Bites</t>
        </is>
      </c>
      <c r="F94" s="25">
        <f>IFERROR(VLOOKUP(E94,SETTINGS!A:B,2,0),"No Value")</f>
        <v/>
      </c>
      <c r="G94" s="11" t="n"/>
      <c r="H94" s="11" t="n"/>
      <c r="I94" s="5" t="n"/>
    </row>
    <row r="95" ht="15.75" customHeight="1" s="184">
      <c r="A95" s="19" t="n">
        <v>45805</v>
      </c>
      <c r="B95" s="21">
        <f>IFERROR(IF(A95&lt;=0,"",TEXT(A95,"MMM YY")),"")</f>
        <v/>
      </c>
      <c r="C95" s="22" t="inlineStr">
        <is>
          <t>Prime Department Store</t>
        </is>
      </c>
      <c r="D95" s="23" t="n">
        <v>70</v>
      </c>
      <c r="E95" s="22" t="inlineStr">
        <is>
          <t>Repair &amp; Maintenance</t>
        </is>
      </c>
      <c r="F95" s="25">
        <f>IFERROR(VLOOKUP(E95,SETTINGS!A:B,2,0),"No Value")</f>
        <v/>
      </c>
      <c r="G95" s="11" t="n"/>
      <c r="H95" s="11" t="n"/>
      <c r="I95" s="5" t="n"/>
    </row>
    <row r="96" ht="15.75" customHeight="1" s="184">
      <c r="A96" s="19" t="n">
        <v>45807</v>
      </c>
      <c r="B96" s="21">
        <f>IFERROR(IF(A96&lt;=0,"",TEXT(A96,"MMM YY")),"")</f>
        <v/>
      </c>
      <c r="C96" s="22" t="inlineStr">
        <is>
          <t>Digital E-Commerce Hub</t>
        </is>
      </c>
      <c r="D96" s="23" t="n">
        <v>140</v>
      </c>
      <c r="E96" s="22" t="inlineStr">
        <is>
          <t>Personal Care</t>
        </is>
      </c>
      <c r="F96" s="25">
        <f>IFERROR(VLOOKUP(E96,SETTINGS!A:B,2,0),"No Value")</f>
        <v/>
      </c>
      <c r="G96" s="11" t="n"/>
      <c r="H96" s="11" t="n"/>
      <c r="I96" s="5" t="n"/>
    </row>
    <row r="97" ht="15.75" customHeight="1" s="184">
      <c r="A97" s="19" t="n">
        <v>45807</v>
      </c>
      <c r="B97" s="21">
        <f>IFERROR(IF(A97&lt;=0,"",TEXT(A97,"MMM YY")),"")</f>
        <v/>
      </c>
      <c r="C97" s="22" t="inlineStr">
        <is>
          <t>Urban Lifestyle Goods</t>
        </is>
      </c>
      <c r="D97" s="23" t="n">
        <v>10</v>
      </c>
      <c r="E97" s="22" t="inlineStr">
        <is>
          <t>Groceries</t>
        </is>
      </c>
      <c r="F97" s="25">
        <f>IFERROR(VLOOKUP(E97,SETTINGS!A:B,2,0),"No Value")</f>
        <v/>
      </c>
      <c r="G97" s="11" t="n"/>
      <c r="H97" s="11" t="n"/>
      <c r="I97" s="5" t="n"/>
    </row>
    <row r="98" ht="15.75" customHeight="1" s="184">
      <c r="A98" s="19" t="n">
        <v>45809</v>
      </c>
      <c r="B98" s="21">
        <f>IFERROR(IF(A98&lt;=0,"",TEXT(A98,"MMM YY")),"")</f>
        <v/>
      </c>
      <c r="C98" s="22" t="inlineStr">
        <is>
          <t>Central Deli &amp; Grill</t>
        </is>
      </c>
      <c r="D98" s="23" t="n">
        <v>515</v>
      </c>
      <c r="E98" s="22" t="inlineStr">
        <is>
          <t>Restaurant &amp; Dining Out</t>
        </is>
      </c>
      <c r="F98" s="25">
        <f>IFERROR(VLOOKUP(E98,SETTINGS!A:B,2,0),"No Value")</f>
        <v/>
      </c>
      <c r="G98" s="11" t="n"/>
      <c r="H98" s="11" t="n"/>
      <c r="I98" s="5" t="n"/>
    </row>
    <row r="99" ht="15.75" customHeight="1" s="184">
      <c r="A99" s="19" t="n">
        <v>45809</v>
      </c>
      <c r="B99" s="21">
        <f>IFERROR(IF(A99&lt;=0,"",TEXT(A99,"MMM YY")),"")</f>
        <v/>
      </c>
      <c r="C99" s="22" t="inlineStr">
        <is>
          <t>City Bakers</t>
        </is>
      </c>
      <c r="D99" s="23" t="n">
        <v>390</v>
      </c>
      <c r="E99" s="22" t="inlineStr">
        <is>
          <t>Restaurant &amp; Dining Out</t>
        </is>
      </c>
      <c r="F99" s="25">
        <f>IFERROR(VLOOKUP(E99,SETTINGS!A:B,2,0),"No Value")</f>
        <v/>
      </c>
      <c r="G99" s="11" t="n"/>
      <c r="H99" s="11" t="n"/>
      <c r="I99" s="5" t="n"/>
    </row>
    <row r="100" ht="15.75" customHeight="1" s="184">
      <c r="A100" s="19" t="n">
        <v>45809</v>
      </c>
      <c r="B100" s="21">
        <f>IFERROR(IF(A100&lt;=0,"",TEXT(A100,"MMM YY")),"")</f>
        <v/>
      </c>
      <c r="C100" s="22" t="inlineStr">
        <is>
          <t>Apex Retail Galleria</t>
        </is>
      </c>
      <c r="D100" s="23" t="n">
        <v>80</v>
      </c>
      <c r="E100" s="22" t="inlineStr">
        <is>
          <t>Education</t>
        </is>
      </c>
      <c r="F100" s="25">
        <f>IFERROR(VLOOKUP(E100,SETTINGS!A:B,2,0),"No Value")</f>
        <v/>
      </c>
      <c r="G100" s="11" t="n"/>
      <c r="H100" s="11" t="n"/>
      <c r="I100" s="5" t="n"/>
    </row>
    <row r="101" ht="15.75" customHeight="1" s="184">
      <c r="A101" s="19" t="n">
        <v>45809</v>
      </c>
      <c r="B101" s="21">
        <f>IFERROR(IF(A101&lt;=0,"",TEXT(A101,"MMM YY")),"")</f>
        <v/>
      </c>
      <c r="C101" s="22" t="inlineStr">
        <is>
          <t>Prime Department Store</t>
        </is>
      </c>
      <c r="D101" s="23" t="n">
        <v>925</v>
      </c>
      <c r="E101" s="22" t="inlineStr">
        <is>
          <t>Repair &amp; Maintenance</t>
        </is>
      </c>
      <c r="F101" s="25">
        <f>IFERROR(VLOOKUP(E101,SETTINGS!A:B,2,0),"No Value")</f>
        <v/>
      </c>
      <c r="G101" s="11" t="n"/>
      <c r="H101" s="11" t="n"/>
      <c r="I101" s="5" t="n"/>
    </row>
    <row r="102" ht="15.75" customHeight="1" s="184">
      <c r="A102" s="19" t="n">
        <v>45809</v>
      </c>
      <c r="B102" s="21">
        <f>IFERROR(IF(A102&lt;=0,"",TEXT(A102,"MMM YY")),"")</f>
        <v/>
      </c>
      <c r="C102" s="22" t="inlineStr">
        <is>
          <t>Harbor Cafe</t>
        </is>
      </c>
      <c r="D102" s="23" t="n">
        <v>646</v>
      </c>
      <c r="E102" s="22" t="inlineStr">
        <is>
          <t>Restaurant &amp; Dining Out</t>
        </is>
      </c>
      <c r="F102" s="25">
        <f>IFERROR(VLOOKUP(E102,SETTINGS!A:B,2,0),"No Value")</f>
        <v/>
      </c>
      <c r="G102" s="11" t="n"/>
      <c r="H102" s="11" t="n"/>
      <c r="I102" s="5" t="n"/>
    </row>
    <row r="103" ht="15.75" customHeight="1" s="184">
      <c r="A103" s="19" t="n">
        <v>45810</v>
      </c>
      <c r="B103" s="21">
        <f>IFERROR(IF(A103&lt;=0,"",TEXT(A103,"MMM YY")),"")</f>
        <v/>
      </c>
      <c r="C103" s="22" t="inlineStr">
        <is>
          <t>Digital E-Commerce Hub</t>
        </is>
      </c>
      <c r="D103" s="23" t="n">
        <v>2000</v>
      </c>
      <c r="E103" s="22" t="inlineStr">
        <is>
          <t>Investments</t>
        </is>
      </c>
      <c r="F103" s="25">
        <f>IFERROR(VLOOKUP(E103,SETTINGS!A:B,2,0),"No Value")</f>
        <v/>
      </c>
      <c r="G103" s="11" t="n"/>
      <c r="H103" s="11" t="n"/>
      <c r="I103" s="5" t="n"/>
    </row>
    <row r="104" ht="15.75" customHeight="1" s="184">
      <c r="A104" s="19" t="n">
        <v>45811</v>
      </c>
      <c r="B104" s="21">
        <f>IFERROR(IF(A104&lt;=0,"",TEXT(A104,"MMM YY")),"")</f>
        <v/>
      </c>
      <c r="C104" s="22" t="inlineStr">
        <is>
          <t>Urban Lifestyle Goods</t>
        </is>
      </c>
      <c r="D104" s="23" t="n">
        <v>1000</v>
      </c>
      <c r="E104" s="22" t="inlineStr">
        <is>
          <t>Investments</t>
        </is>
      </c>
      <c r="F104" s="25">
        <f>IFERROR(VLOOKUP(E104,SETTINGS!A:B,2,0),"No Value")</f>
        <v/>
      </c>
      <c r="G104" s="11" t="n"/>
      <c r="H104" s="11" t="n"/>
      <c r="I104" s="5" t="n"/>
    </row>
    <row r="105" ht="15.75" customHeight="1" s="184">
      <c r="A105" s="19" t="n">
        <v>45811</v>
      </c>
      <c r="B105" s="21">
        <f>IFERROR(IF(A105&lt;=0,"",TEXT(A105,"MMM YY")),"")</f>
        <v/>
      </c>
      <c r="C105" s="22" t="inlineStr">
        <is>
          <t>Apex Retail Galleria</t>
        </is>
      </c>
      <c r="D105" s="23" t="n">
        <v>1000</v>
      </c>
      <c r="E105" s="22" t="inlineStr">
        <is>
          <t>Investments</t>
        </is>
      </c>
      <c r="F105" s="25">
        <f>IFERROR(VLOOKUP(E105,SETTINGS!A:B,2,0),"No Value")</f>
        <v/>
      </c>
      <c r="G105" s="11" t="n"/>
      <c r="H105" s="11" t="n"/>
      <c r="I105" s="5" t="n"/>
    </row>
    <row r="106" ht="15.75" customHeight="1" s="184">
      <c r="A106" s="19" t="n">
        <v>45811</v>
      </c>
      <c r="B106" s="21">
        <f>IFERROR(IF(A106&lt;=0,"",TEXT(A106,"MMM YY")),"")</f>
        <v/>
      </c>
      <c r="C106" s="22" t="inlineStr">
        <is>
          <t>Prime Department Store</t>
        </is>
      </c>
      <c r="D106" s="23" t="n">
        <v>200</v>
      </c>
      <c r="E106" s="22" t="inlineStr">
        <is>
          <t>Snacks &amp; Quick Bites</t>
        </is>
      </c>
      <c r="F106" s="25">
        <f>IFERROR(VLOOKUP(E106,SETTINGS!A:B,2,0),"No Value")</f>
        <v/>
      </c>
      <c r="G106" s="11" t="n"/>
      <c r="H106" s="11" t="n"/>
      <c r="I106" s="5" t="n"/>
    </row>
    <row r="107" ht="15.75" customHeight="1" s="184">
      <c r="A107" s="19" t="n">
        <v>45811</v>
      </c>
      <c r="B107" s="21">
        <f>IFERROR(IF(A107&lt;=0,"",TEXT(A107,"MMM YY")),"")</f>
        <v/>
      </c>
      <c r="C107" s="22" t="inlineStr">
        <is>
          <t>Digital E-Commerce Hub</t>
        </is>
      </c>
      <c r="D107" s="23" t="n">
        <v>879.41</v>
      </c>
      <c r="E107" s="22" t="inlineStr">
        <is>
          <t>Repair &amp; Maintenance</t>
        </is>
      </c>
      <c r="F107" s="25">
        <f>IFERROR(VLOOKUP(E107,SETTINGS!A:B,2,0),"No Value")</f>
        <v/>
      </c>
      <c r="G107" s="11" t="n"/>
      <c r="H107" s="11" t="n"/>
      <c r="I107" s="5" t="n"/>
    </row>
    <row r="108" ht="15.75" customHeight="1" s="184">
      <c r="A108" s="19" t="n">
        <v>45814</v>
      </c>
      <c r="B108" s="21">
        <f>IFERROR(IF(A108&lt;=0,"",TEXT(A108,"MMM YY")),"")</f>
        <v/>
      </c>
      <c r="C108" s="22" t="inlineStr">
        <is>
          <t>Urban Lifestyle Goods</t>
        </is>
      </c>
      <c r="D108" s="23" t="n">
        <v>500</v>
      </c>
      <c r="E108" s="22" t="inlineStr">
        <is>
          <t>Snacks &amp; Quick Bites</t>
        </is>
      </c>
      <c r="F108" s="25">
        <f>IFERROR(VLOOKUP(E108,SETTINGS!A:B,2,0),"No Value")</f>
        <v/>
      </c>
      <c r="G108" s="11" t="n"/>
      <c r="H108" s="11" t="n"/>
      <c r="I108" s="5" t="n"/>
    </row>
    <row r="109" ht="15.75" customHeight="1" s="184">
      <c r="A109" s="19" t="n">
        <v>45815</v>
      </c>
      <c r="B109" s="21">
        <f>IFERROR(IF(A109&lt;=0,"",TEXT(A109,"MMM YY")),"")</f>
        <v/>
      </c>
      <c r="C109" s="22" t="inlineStr">
        <is>
          <t>Apex Retail Galleria</t>
        </is>
      </c>
      <c r="D109" s="23" t="n">
        <v>40</v>
      </c>
      <c r="E109" s="22" t="inlineStr">
        <is>
          <t>Snacks &amp; Quick Bites</t>
        </is>
      </c>
      <c r="F109" s="25">
        <f>IFERROR(VLOOKUP(E109,SETTINGS!A:B,2,0),"No Value")</f>
        <v/>
      </c>
      <c r="G109" s="11" t="n"/>
      <c r="H109" s="11" t="n"/>
      <c r="I109" s="5" t="n"/>
    </row>
    <row r="110" ht="15.75" customHeight="1" s="184">
      <c r="A110" s="19" t="n">
        <v>45815</v>
      </c>
      <c r="B110" s="21">
        <f>IFERROR(IF(A110&lt;=0,"",TEXT(A110,"MMM YY")),"")</f>
        <v/>
      </c>
      <c r="C110" s="22" t="inlineStr">
        <is>
          <t>Prime Department Store</t>
        </is>
      </c>
      <c r="D110" s="23" t="n">
        <v>700</v>
      </c>
      <c r="E110" s="22" t="inlineStr">
        <is>
          <t>Groceries</t>
        </is>
      </c>
      <c r="F110" s="25">
        <f>IFERROR(VLOOKUP(E110,SETTINGS!A:B,2,0),"No Value")</f>
        <v/>
      </c>
      <c r="G110" s="11" t="n"/>
      <c r="H110" s="11" t="n"/>
      <c r="I110" s="5" t="n"/>
    </row>
    <row r="111" ht="15.75" customHeight="1" s="184">
      <c r="A111" s="19" t="n">
        <v>45815</v>
      </c>
      <c r="B111" s="21">
        <f>IFERROR(IF(A111&lt;=0,"",TEXT(A111,"MMM YY")),"")</f>
        <v/>
      </c>
      <c r="C111" s="22" t="inlineStr">
        <is>
          <t>Digital E-Commerce Hub</t>
        </is>
      </c>
      <c r="D111" s="23" t="n">
        <v>80</v>
      </c>
      <c r="E111" s="22" t="inlineStr">
        <is>
          <t>Groceries</t>
        </is>
      </c>
      <c r="F111" s="25">
        <f>IFERROR(VLOOKUP(E111,SETTINGS!A:B,2,0),"No Value")</f>
        <v/>
      </c>
      <c r="G111" s="11" t="n"/>
      <c r="H111" s="11" t="n"/>
      <c r="I111" s="5" t="n"/>
    </row>
    <row r="112" ht="15.75" customHeight="1" s="184">
      <c r="A112" s="19" t="n">
        <v>45816</v>
      </c>
      <c r="B112" s="21">
        <f>IFERROR(IF(A112&lt;=0,"",TEXT(A112,"MMM YY")),"")</f>
        <v/>
      </c>
      <c r="C112" s="22" t="inlineStr">
        <is>
          <t>Metro Gourmet Bistro</t>
        </is>
      </c>
      <c r="D112" s="23" t="n">
        <v>480.19</v>
      </c>
      <c r="E112" s="22" t="inlineStr">
        <is>
          <t>Restaurant &amp; Dining Out</t>
        </is>
      </c>
      <c r="F112" s="25">
        <f>IFERROR(VLOOKUP(E112,SETTINGS!A:B,2,0),"No Value")</f>
        <v/>
      </c>
      <c r="G112" s="11" t="n"/>
      <c r="H112" s="11" t="n"/>
      <c r="I112" s="5" t="n"/>
    </row>
    <row r="113" ht="15.75" customHeight="1" s="184">
      <c r="A113" s="19" t="n">
        <v>45816</v>
      </c>
      <c r="B113" s="21">
        <f>IFERROR(IF(A113&lt;=0,"",TEXT(A113,"MMM YY")),"")</f>
        <v/>
      </c>
      <c r="C113" s="22" t="inlineStr">
        <is>
          <t>Urban Lifestyle Goods</t>
        </is>
      </c>
      <c r="D113" s="23" t="n">
        <v>240</v>
      </c>
      <c r="E113" s="22" t="inlineStr">
        <is>
          <t>HouseHold</t>
        </is>
      </c>
      <c r="F113" s="25">
        <f>IFERROR(VLOOKUP(E113,SETTINGS!A:B,2,0),"No Value")</f>
        <v/>
      </c>
      <c r="G113" s="11" t="n"/>
      <c r="H113" s="11" t="n"/>
      <c r="I113" s="5" t="n"/>
    </row>
    <row r="114" ht="15.75" customHeight="1" s="184">
      <c r="A114" s="19" t="n">
        <v>45819</v>
      </c>
      <c r="B114" s="21">
        <f>IFERROR(IF(A114&lt;=0,"",TEXT(A114,"MMM YY")),"")</f>
        <v/>
      </c>
      <c r="C114" s="22" t="inlineStr">
        <is>
          <t>Municipal Water Works</t>
        </is>
      </c>
      <c r="D114" s="23" t="n">
        <v>1400</v>
      </c>
      <c r="E114" s="22" t="inlineStr">
        <is>
          <t>Bills &amp; Utilities</t>
        </is>
      </c>
      <c r="F114" s="25">
        <f>IFERROR(VLOOKUP(E114,SETTINGS!A:B,2,0),"No Value")</f>
        <v/>
      </c>
      <c r="G114" s="11" t="n"/>
      <c r="H114" s="11" t="n"/>
      <c r="I114" s="5" t="n"/>
    </row>
    <row r="115" ht="15.75" customHeight="1" s="184">
      <c r="A115" s="19" t="n">
        <v>45820</v>
      </c>
      <c r="B115" s="21">
        <f>IFERROR(IF(A115&lt;=0,"",TEXT(A115,"MMM YY")),"")</f>
        <v/>
      </c>
      <c r="C115" s="22" t="inlineStr">
        <is>
          <t>Apex Retail Galleria</t>
        </is>
      </c>
      <c r="D115" s="23" t="n">
        <v>12</v>
      </c>
      <c r="E115" s="22" t="inlineStr">
        <is>
          <t>Snacks &amp; Quick Bites</t>
        </is>
      </c>
      <c r="F115" s="25">
        <f>IFERROR(VLOOKUP(E115,SETTINGS!A:B,2,0),"No Value")</f>
        <v/>
      </c>
      <c r="G115" s="11" t="n"/>
      <c r="H115" s="11" t="n"/>
      <c r="I115" s="5" t="n"/>
    </row>
    <row r="116" ht="15.75" customHeight="1" s="184">
      <c r="A116" s="19" t="n">
        <v>45821</v>
      </c>
      <c r="B116" s="21">
        <f>IFERROR(IF(A116&lt;=0,"",TEXT(A116,"MMM YY")),"")</f>
        <v/>
      </c>
      <c r="C116" s="22" t="inlineStr">
        <is>
          <t>Prime Department Store</t>
        </is>
      </c>
      <c r="D116" s="23" t="n">
        <v>12</v>
      </c>
      <c r="E116" s="22" t="inlineStr">
        <is>
          <t>Snacks &amp; Quick Bites</t>
        </is>
      </c>
      <c r="F116" s="25">
        <f>IFERROR(VLOOKUP(E116,SETTINGS!A:B,2,0),"No Value")</f>
        <v/>
      </c>
      <c r="G116" s="11" t="n"/>
      <c r="H116" s="11" t="n"/>
      <c r="I116" s="5" t="n"/>
    </row>
    <row r="117" ht="15.75" customHeight="1" s="184">
      <c r="A117" s="19" t="n">
        <v>45821</v>
      </c>
      <c r="B117" s="21">
        <f>IFERROR(IF(A117&lt;=0,"",TEXT(A117,"MMM YY")),"")</f>
        <v/>
      </c>
      <c r="C117" s="22" t="inlineStr">
        <is>
          <t>Urban Spice Cafe</t>
        </is>
      </c>
      <c r="D117" s="23" t="n">
        <v>64</v>
      </c>
      <c r="E117" s="22" t="inlineStr">
        <is>
          <t>Restaurant &amp; Dining Out</t>
        </is>
      </c>
      <c r="F117" s="25">
        <f>IFERROR(VLOOKUP(E117,SETTINGS!A:B,2,0),"No Value")</f>
        <v/>
      </c>
      <c r="G117" s="11" t="n"/>
      <c r="H117" s="11" t="n"/>
      <c r="I117" s="5" t="n"/>
    </row>
    <row r="118" ht="15.75" customHeight="1" s="184">
      <c r="A118" s="19" t="n">
        <v>45821</v>
      </c>
      <c r="B118" s="21">
        <f>IFERROR(IF(A118&lt;=0,"",TEXT(A118,"MMM YY")),"")</f>
        <v/>
      </c>
      <c r="C118" s="22" t="inlineStr">
        <is>
          <t>Digital E-Commerce Hub</t>
        </is>
      </c>
      <c r="D118" s="23" t="n">
        <v>45</v>
      </c>
      <c r="E118" s="22" t="inlineStr">
        <is>
          <t>HouseHold</t>
        </is>
      </c>
      <c r="F118" s="25">
        <f>IFERROR(VLOOKUP(E118,SETTINGS!A:B,2,0),"No Value")</f>
        <v/>
      </c>
      <c r="G118" s="11" t="n"/>
      <c r="H118" s="11" t="n"/>
      <c r="I118" s="5" t="n"/>
    </row>
    <row r="119" ht="15.75" customHeight="1" s="184">
      <c r="A119" s="19" t="n">
        <v>45822</v>
      </c>
      <c r="B119" s="21">
        <f>IFERROR(IF(A119&lt;=0,"",TEXT(A119,"MMM YY")),"")</f>
        <v/>
      </c>
      <c r="C119" s="22" t="inlineStr">
        <is>
          <t>Urban Lifestyle Goods</t>
        </is>
      </c>
      <c r="D119" s="23" t="n">
        <v>497</v>
      </c>
      <c r="E119" s="22" t="inlineStr">
        <is>
          <t>Repair &amp; Maintenance</t>
        </is>
      </c>
      <c r="F119" s="25">
        <f>IFERROR(VLOOKUP(E119,SETTINGS!A:B,2,0),"No Value")</f>
        <v/>
      </c>
      <c r="G119" s="11" t="n"/>
      <c r="H119" s="11" t="n"/>
      <c r="I119" s="5" t="n"/>
    </row>
    <row r="120" ht="15.75" customHeight="1" s="184">
      <c r="A120" s="19" t="n">
        <v>45822</v>
      </c>
      <c r="B120" s="21">
        <f>IFERROR(IF(A120&lt;=0,"",TEXT(A120,"MMM YY")),"")</f>
        <v/>
      </c>
      <c r="C120" s="22" t="inlineStr">
        <is>
          <t>Apex Retail Galleria</t>
        </is>
      </c>
      <c r="D120" s="23" t="n">
        <v>54</v>
      </c>
      <c r="E120" s="22" t="inlineStr">
        <is>
          <t>Groceries</t>
        </is>
      </c>
      <c r="F120" s="25">
        <f>IFERROR(VLOOKUP(E120,SETTINGS!A:B,2,0),"No Value")</f>
        <v/>
      </c>
      <c r="G120" s="11" t="n"/>
      <c r="H120" s="11" t="n"/>
      <c r="I120" s="5" t="n"/>
    </row>
    <row r="121" ht="15.75" customHeight="1" s="184">
      <c r="A121" s="19" t="n">
        <v>45823</v>
      </c>
      <c r="B121" s="21">
        <f>IFERROR(IF(A121&lt;=0,"",TEXT(A121,"MMM YY")),"")</f>
        <v/>
      </c>
      <c r="C121" s="22" t="inlineStr">
        <is>
          <t>Central Deli &amp; Grill</t>
        </is>
      </c>
      <c r="D121" s="23" t="n">
        <v>577</v>
      </c>
      <c r="E121" s="22" t="inlineStr">
        <is>
          <t>Restaurant &amp; Dining Out</t>
        </is>
      </c>
      <c r="F121" s="25">
        <f>IFERROR(VLOOKUP(E121,SETTINGS!A:B,2,0),"No Value")</f>
        <v/>
      </c>
      <c r="G121" s="11" t="n"/>
      <c r="H121" s="11" t="n"/>
      <c r="I121" s="5" t="n"/>
    </row>
    <row r="122" ht="15.75" customHeight="1" s="184">
      <c r="A122" s="19" t="n">
        <v>45824</v>
      </c>
      <c r="B122" s="21">
        <f>IFERROR(IF(A122&lt;=0,"",TEXT(A122,"MMM YY")),"")</f>
        <v/>
      </c>
      <c r="C122" s="22" t="inlineStr">
        <is>
          <t>Prime Department Store</t>
        </is>
      </c>
      <c r="D122" s="23" t="n">
        <v>32</v>
      </c>
      <c r="E122" s="22" t="inlineStr">
        <is>
          <t>Snacks &amp; Quick Bites</t>
        </is>
      </c>
      <c r="F122" s="25">
        <f>IFERROR(VLOOKUP(E122,SETTINGS!A:B,2,0),"No Value")</f>
        <v/>
      </c>
      <c r="G122" s="11" t="n"/>
      <c r="H122" s="11" t="n"/>
      <c r="I122" s="5" t="n"/>
    </row>
    <row r="123" ht="15.75" customHeight="1" s="184">
      <c r="A123" s="19" t="n">
        <v>45826</v>
      </c>
      <c r="B123" s="21">
        <f>IFERROR(IF(A123&lt;=0,"",TEXT(A123,"MMM YY")),"")</f>
        <v/>
      </c>
      <c r="C123" s="22" t="inlineStr">
        <is>
          <t>Digital E-Commerce Hub</t>
        </is>
      </c>
      <c r="D123" s="23" t="n">
        <v>12</v>
      </c>
      <c r="E123" s="22" t="inlineStr">
        <is>
          <t>Snacks &amp; Quick Bites</t>
        </is>
      </c>
      <c r="F123" s="25">
        <f>IFERROR(VLOOKUP(E123,SETTINGS!A:B,2,0),"No Value")</f>
        <v/>
      </c>
      <c r="G123" s="11" t="n"/>
      <c r="H123" s="11" t="n"/>
      <c r="I123" s="5" t="n"/>
    </row>
    <row r="124" ht="15.75" customHeight="1" s="184">
      <c r="A124" s="19" t="n">
        <v>45828</v>
      </c>
      <c r="B124" s="21">
        <f>IFERROR(IF(A124&lt;=0,"",TEXT(A124,"MMM YY")),"")</f>
        <v/>
      </c>
      <c r="C124" s="22" t="inlineStr">
        <is>
          <t>Urban Lifestyle Goods</t>
        </is>
      </c>
      <c r="D124" s="23" t="n">
        <v>12</v>
      </c>
      <c r="E124" s="22" t="inlineStr">
        <is>
          <t>Snacks &amp; Quick Bites</t>
        </is>
      </c>
      <c r="F124" s="25">
        <f>IFERROR(VLOOKUP(E124,SETTINGS!A:B,2,0),"No Value")</f>
        <v/>
      </c>
      <c r="G124" s="11" t="n"/>
      <c r="H124" s="11" t="n"/>
      <c r="I124" s="5" t="n"/>
    </row>
    <row r="125" ht="15.75" customHeight="1" s="184">
      <c r="A125" s="19" t="n">
        <v>45829</v>
      </c>
      <c r="B125" s="21">
        <f>IFERROR(IF(A125&lt;=0,"",TEXT(A125,"MMM YY")),"")</f>
        <v/>
      </c>
      <c r="C125" s="22" t="inlineStr">
        <is>
          <t>National Telecom Utility</t>
        </is>
      </c>
      <c r="D125" s="23" t="n">
        <v>199</v>
      </c>
      <c r="E125" s="22" t="inlineStr">
        <is>
          <t>Bills &amp; Utilities</t>
        </is>
      </c>
      <c r="F125" s="25">
        <f>IFERROR(VLOOKUP(E125,SETTINGS!A:B,2,0),"No Value")</f>
        <v/>
      </c>
      <c r="G125" s="11" t="n"/>
      <c r="H125" s="11" t="n"/>
      <c r="I125" s="5" t="n"/>
    </row>
    <row r="126" ht="15.75" customHeight="1" s="184">
      <c r="A126" s="19" t="n">
        <v>45833</v>
      </c>
      <c r="B126" s="21">
        <f>IFERROR(IF(A126&lt;=0,"",TEXT(A126,"MMM YY")),"")</f>
        <v/>
      </c>
      <c r="C126" s="22" t="inlineStr">
        <is>
          <t>Apex Retail Galleria</t>
        </is>
      </c>
      <c r="D126" s="23" t="n">
        <v>719</v>
      </c>
      <c r="E126" s="22" t="inlineStr">
        <is>
          <t>Personal Care</t>
        </is>
      </c>
      <c r="F126" s="25">
        <f>IFERROR(VLOOKUP(E126,SETTINGS!A:B,2,0),"No Value")</f>
        <v/>
      </c>
      <c r="G126" s="11" t="n"/>
      <c r="H126" s="11" t="n"/>
      <c r="I126" s="5" t="n"/>
    </row>
    <row r="127" ht="15.75" customHeight="1" s="184">
      <c r="A127" s="19" t="n">
        <v>45833</v>
      </c>
      <c r="B127" s="21">
        <f>IFERROR(IF(A127&lt;=0,"",TEXT(A127,"MMM YY")),"")</f>
        <v/>
      </c>
      <c r="C127" s="22" t="inlineStr">
        <is>
          <t>Prime Department Store</t>
        </is>
      </c>
      <c r="D127" s="23" t="n">
        <v>193</v>
      </c>
      <c r="E127" s="22" t="inlineStr">
        <is>
          <t>Shopping</t>
        </is>
      </c>
      <c r="F127" s="25">
        <f>IFERROR(VLOOKUP(E127,SETTINGS!A:B,2,0),"No Value")</f>
        <v/>
      </c>
      <c r="G127" s="11" t="n"/>
      <c r="H127" s="11" t="n"/>
      <c r="I127" s="5" t="n"/>
    </row>
    <row r="128" ht="15.75" customHeight="1" s="184">
      <c r="A128" s="19" t="n">
        <v>45833</v>
      </c>
      <c r="B128" s="21">
        <f>IFERROR(IF(A128&lt;=0,"",TEXT(A128,"MMM YY")),"")</f>
        <v/>
      </c>
      <c r="C128" s="22" t="inlineStr">
        <is>
          <t>Digital E-Commerce Hub</t>
        </is>
      </c>
      <c r="D128" s="23" t="n">
        <v>131</v>
      </c>
      <c r="E128" s="22" t="inlineStr">
        <is>
          <t>Snacks &amp; Quick Bites</t>
        </is>
      </c>
      <c r="F128" s="25">
        <f>IFERROR(VLOOKUP(E128,SETTINGS!A:B,2,0),"No Value")</f>
        <v/>
      </c>
      <c r="G128" s="11" t="n"/>
      <c r="H128" s="11" t="n"/>
      <c r="I128" s="5" t="n"/>
    </row>
    <row r="129" ht="15.75" customHeight="1" s="184">
      <c r="A129" s="19" t="n">
        <v>45834</v>
      </c>
      <c r="B129" s="21">
        <f>IFERROR(IF(A129&lt;=0,"",TEXT(A129,"MMM YY")),"")</f>
        <v/>
      </c>
      <c r="C129" s="22" t="inlineStr">
        <is>
          <t>Urban Lifestyle Goods</t>
        </is>
      </c>
      <c r="D129" s="23" t="n">
        <v>40</v>
      </c>
      <c r="E129" s="22" t="inlineStr">
        <is>
          <t>Snacks &amp; Quick Bites</t>
        </is>
      </c>
      <c r="F129" s="25">
        <f>IFERROR(VLOOKUP(E129,SETTINGS!A:B,2,0),"No Value")</f>
        <v/>
      </c>
      <c r="G129" s="11" t="n"/>
      <c r="H129" s="11" t="n"/>
      <c r="I129" s="5" t="n"/>
    </row>
    <row r="130" ht="15.75" customHeight="1" s="184">
      <c r="A130" s="19" t="n">
        <v>45836</v>
      </c>
      <c r="B130" s="21">
        <f>IFERROR(IF(A130&lt;=0,"",TEXT(A130,"MMM YY")),"")</f>
        <v/>
      </c>
      <c r="C130" s="22" t="inlineStr">
        <is>
          <t>Apex Retail Galleria</t>
        </is>
      </c>
      <c r="D130" s="23" t="n">
        <v>50</v>
      </c>
      <c r="E130" s="22" t="inlineStr">
        <is>
          <t>Snacks &amp; Quick Bites</t>
        </is>
      </c>
      <c r="F130" s="25">
        <f>IFERROR(VLOOKUP(E130,SETTINGS!A:B,2,0),"No Value")</f>
        <v/>
      </c>
      <c r="G130" s="11" t="n"/>
      <c r="H130" s="11" t="n"/>
      <c r="I130" s="5" t="n"/>
    </row>
    <row r="131" ht="15.75" customHeight="1" s="184">
      <c r="A131" s="19" t="n">
        <v>45836</v>
      </c>
      <c r="B131" s="21">
        <f>IFERROR(IF(A131&lt;=0,"",TEXT(A131,"MMM YY")),"")</f>
        <v/>
      </c>
      <c r="C131" s="22" t="inlineStr">
        <is>
          <t>Prime Department Store</t>
        </is>
      </c>
      <c r="D131" s="23" t="n">
        <v>130</v>
      </c>
      <c r="E131" s="22" t="inlineStr">
        <is>
          <t>Groceries</t>
        </is>
      </c>
      <c r="F131" s="25">
        <f>IFERROR(VLOOKUP(E131,SETTINGS!A:B,2,0),"No Value")</f>
        <v/>
      </c>
      <c r="G131" s="11" t="n"/>
      <c r="H131" s="11" t="n"/>
      <c r="I131" s="5" t="n"/>
    </row>
    <row r="132" ht="15.75" customHeight="1" s="184">
      <c r="A132" s="19" t="n">
        <v>45836</v>
      </c>
      <c r="B132" s="21">
        <f>IFERROR(IF(A132&lt;=0,"",TEXT(A132,"MMM YY")),"")</f>
        <v/>
      </c>
      <c r="C132" s="22" t="inlineStr">
        <is>
          <t>Digital E-Commerce Hub</t>
        </is>
      </c>
      <c r="D132" s="23" t="n">
        <v>1235</v>
      </c>
      <c r="E132" s="22" t="inlineStr">
        <is>
          <t>Electronics &amp; Gadgets</t>
        </is>
      </c>
      <c r="F132" s="25">
        <f>IFERROR(VLOOKUP(E132,SETTINGS!A:B,2,0),"No Value")</f>
        <v/>
      </c>
      <c r="G132" s="11" t="n"/>
      <c r="H132" s="11" t="n"/>
      <c r="I132" s="5" t="n"/>
    </row>
    <row r="133" ht="15.75" customHeight="1" s="184">
      <c r="A133" s="19" t="n">
        <v>45837</v>
      </c>
      <c r="B133" s="21">
        <f>IFERROR(IF(A133&lt;=0,"",TEXT(A133,"MMM YY")),"")</f>
        <v/>
      </c>
      <c r="C133" s="22" t="inlineStr">
        <is>
          <t>Metropolitan Power Board</t>
        </is>
      </c>
      <c r="D133" s="23" t="n">
        <v>2249</v>
      </c>
      <c r="E133" s="22" t="inlineStr">
        <is>
          <t>Bills &amp; Utilities</t>
        </is>
      </c>
      <c r="F133" s="25">
        <f>IFERROR(VLOOKUP(E133,SETTINGS!A:B,2,0),"No Value")</f>
        <v/>
      </c>
      <c r="G133" s="11" t="n"/>
      <c r="H133" s="11" t="n"/>
      <c r="I133" s="5" t="n"/>
    </row>
    <row r="134" ht="15.75" customHeight="1" s="184">
      <c r="A134" s="19" t="n">
        <v>45838</v>
      </c>
      <c r="B134" s="21">
        <f>IFERROR(IF(A134&lt;=0,"",TEXT(A134,"MMM YY")),"")</f>
        <v/>
      </c>
      <c r="C134" s="22" t="inlineStr">
        <is>
          <t>Urban Lifestyle Goods</t>
        </is>
      </c>
      <c r="D134" s="23" t="n">
        <v>32</v>
      </c>
      <c r="E134" s="22" t="inlineStr">
        <is>
          <t>Snacks &amp; Quick Bites</t>
        </is>
      </c>
      <c r="F134" s="25">
        <f>IFERROR(VLOOKUP(E134,SETTINGS!A:B,2,0),"No Value")</f>
        <v/>
      </c>
      <c r="G134" s="11" t="n"/>
      <c r="H134" s="11" t="n"/>
      <c r="I134" s="5" t="n"/>
    </row>
    <row r="135" ht="15.75" customHeight="1" s="184">
      <c r="A135" s="19" t="n">
        <v>45838</v>
      </c>
      <c r="B135" s="21">
        <f>IFERROR(IF(A135&lt;=0,"",TEXT(A135,"MMM YY")),"")</f>
        <v/>
      </c>
      <c r="C135" s="22" t="inlineStr">
        <is>
          <t>Apex Retail Galleria</t>
        </is>
      </c>
      <c r="D135" s="23" t="n">
        <v>50</v>
      </c>
      <c r="E135" s="22" t="inlineStr">
        <is>
          <t>Snacks &amp; Quick Bites</t>
        </is>
      </c>
      <c r="F135" s="25">
        <f>IFERROR(VLOOKUP(E135,SETTINGS!A:B,2,0),"No Value")</f>
        <v/>
      </c>
      <c r="G135" s="11" t="n"/>
      <c r="H135" s="11" t="n"/>
      <c r="I135" s="5" t="n"/>
    </row>
    <row r="136" ht="15.75" customHeight="1" s="184">
      <c r="A136" s="19" t="n">
        <v>45840</v>
      </c>
      <c r="B136" s="21">
        <f>IFERROR(IF(A136&lt;=0,"",TEXT(A136,"MMM YY")),"")</f>
        <v/>
      </c>
      <c r="C136" s="22" t="inlineStr">
        <is>
          <t>Prime Department Store</t>
        </is>
      </c>
      <c r="D136" s="23" t="n">
        <v>2800</v>
      </c>
      <c r="E136" s="22" t="inlineStr">
        <is>
          <t>Loans Given &amp; Taken</t>
        </is>
      </c>
      <c r="F136" s="25">
        <f>IFERROR(VLOOKUP(E136,SETTINGS!A:B,2,0),"No Value")</f>
        <v/>
      </c>
      <c r="G136" s="11" t="n"/>
      <c r="H136" s="11" t="n"/>
      <c r="I136" s="5" t="n"/>
    </row>
    <row r="137" ht="15.75" customHeight="1" s="184">
      <c r="A137" s="19" t="n">
        <v>45840</v>
      </c>
      <c r="B137" s="21">
        <f>IFERROR(IF(A137&lt;=0,"",TEXT(A137,"MMM YY")),"")</f>
        <v/>
      </c>
      <c r="C137" s="22" t="inlineStr">
        <is>
          <t>Digital E-Commerce Hub</t>
        </is>
      </c>
      <c r="D137" s="23" t="n">
        <v>10</v>
      </c>
      <c r="E137" s="22" t="inlineStr">
        <is>
          <t>Snacks &amp; Quick Bites</t>
        </is>
      </c>
      <c r="F137" s="25">
        <f>IFERROR(VLOOKUP(E137,SETTINGS!A:B,2,0),"No Value")</f>
        <v/>
      </c>
      <c r="G137" s="11" t="n"/>
      <c r="H137" s="11" t="n"/>
      <c r="I137" s="5" t="n"/>
    </row>
    <row r="138" ht="15.75" customHeight="1" s="184">
      <c r="A138" s="19" t="n">
        <v>45840</v>
      </c>
      <c r="B138" s="21">
        <f>IFERROR(IF(A138&lt;=0,"",TEXT(A138,"MMM YY")),"")</f>
        <v/>
      </c>
      <c r="C138" s="22" t="inlineStr">
        <is>
          <t>Urban Lifestyle Goods</t>
        </is>
      </c>
      <c r="D138" s="23" t="n">
        <v>260</v>
      </c>
      <c r="E138" s="22" t="inlineStr">
        <is>
          <t>Snacks &amp; Quick Bites</t>
        </is>
      </c>
      <c r="F138" s="25">
        <f>IFERROR(VLOOKUP(E138,SETTINGS!A:B,2,0),"No Value")</f>
        <v/>
      </c>
      <c r="G138" s="11" t="n"/>
      <c r="H138" s="11" t="n"/>
      <c r="I138" s="5" t="n"/>
    </row>
    <row r="139" ht="15.75" customHeight="1" s="184">
      <c r="A139" s="19" t="n">
        <v>45841</v>
      </c>
      <c r="B139" s="21">
        <f>IFERROR(IF(A139&lt;=0,"",TEXT(A139,"MMM YY")),"")</f>
        <v/>
      </c>
      <c r="C139" s="22" t="inlineStr">
        <is>
          <t>Apex Retail Galleria</t>
        </is>
      </c>
      <c r="D139" s="23" t="n">
        <v>2000</v>
      </c>
      <c r="E139" s="22" t="inlineStr">
        <is>
          <t>Investments</t>
        </is>
      </c>
      <c r="F139" s="25">
        <f>IFERROR(VLOOKUP(E139,SETTINGS!A:B,2,0),"No Value")</f>
        <v/>
      </c>
      <c r="G139" s="11" t="n"/>
      <c r="H139" s="11" t="n"/>
      <c r="I139" s="5" t="n"/>
    </row>
    <row r="140" ht="15.75" customHeight="1" s="184">
      <c r="A140" s="19" t="n">
        <v>45841</v>
      </c>
      <c r="B140" s="21">
        <f>IFERROR(IF(A140&lt;=0,"",TEXT(A140,"MMM YY")),"")</f>
        <v/>
      </c>
      <c r="C140" s="22" t="inlineStr">
        <is>
          <t>Prime Department Store</t>
        </is>
      </c>
      <c r="D140" s="23" t="n">
        <v>1000</v>
      </c>
      <c r="E140" s="22" t="inlineStr">
        <is>
          <t>Investments</t>
        </is>
      </c>
      <c r="F140" s="25">
        <f>IFERROR(VLOOKUP(E140,SETTINGS!A:B,2,0),"No Value")</f>
        <v/>
      </c>
      <c r="G140" s="11" t="n"/>
      <c r="H140" s="11" t="n"/>
      <c r="I140" s="5" t="n"/>
    </row>
    <row r="141" ht="15.75" customHeight="1" s="184">
      <c r="A141" s="19" t="n">
        <v>45841</v>
      </c>
      <c r="B141" s="21">
        <f>IFERROR(IF(A141&lt;=0,"",TEXT(A141,"MMM YY")),"")</f>
        <v/>
      </c>
      <c r="C141" s="22" t="inlineStr">
        <is>
          <t>Digital E-Commerce Hub</t>
        </is>
      </c>
      <c r="D141" s="23" t="n">
        <v>1000</v>
      </c>
      <c r="E141" s="22" t="inlineStr">
        <is>
          <t>Investments</t>
        </is>
      </c>
      <c r="F141" s="25">
        <f>IFERROR(VLOOKUP(E141,SETTINGS!A:B,2,0),"No Value")</f>
        <v/>
      </c>
      <c r="G141" s="11" t="n"/>
      <c r="H141" s="11" t="n"/>
      <c r="I141" s="5" t="n"/>
    </row>
    <row r="142" ht="15.75" customHeight="1" s="184">
      <c r="A142" s="19" t="n">
        <v>45842</v>
      </c>
      <c r="B142" s="21">
        <f>IFERROR(IF(A142&lt;=0,"",TEXT(A142,"MMM YY")),"")</f>
        <v/>
      </c>
      <c r="C142" s="22" t="inlineStr">
        <is>
          <t>City Bakers</t>
        </is>
      </c>
      <c r="D142" s="23" t="n">
        <v>700</v>
      </c>
      <c r="E142" s="22" t="inlineStr">
        <is>
          <t>Restaurant &amp; Dining Out</t>
        </is>
      </c>
      <c r="F142" s="25">
        <f>IFERROR(VLOOKUP(E142,SETTINGS!A:B,2,0),"No Value")</f>
        <v/>
      </c>
      <c r="G142" s="11" t="n"/>
      <c r="H142" s="11" t="n"/>
      <c r="I142" s="5" t="n"/>
    </row>
    <row r="143" ht="15.75" customHeight="1" s="184">
      <c r="A143" s="19" t="n">
        <v>45845</v>
      </c>
      <c r="B143" s="21">
        <f>IFERROR(IF(A143&lt;=0,"",TEXT(A143,"MMM YY")),"")</f>
        <v/>
      </c>
      <c r="C143" s="22" t="inlineStr">
        <is>
          <t>Urban Lifestyle Goods</t>
        </is>
      </c>
      <c r="D143" s="23" t="n">
        <v>116</v>
      </c>
      <c r="E143" s="22" t="inlineStr">
        <is>
          <t>Personal Care</t>
        </is>
      </c>
      <c r="F143" s="25">
        <f>IFERROR(VLOOKUP(E143,SETTINGS!A:B,2,0),"No Value")</f>
        <v/>
      </c>
      <c r="G143" s="11" t="n"/>
      <c r="H143" s="11" t="n"/>
      <c r="I143" s="5" t="n"/>
    </row>
    <row r="144" ht="15.75" customHeight="1" s="184">
      <c r="A144" s="19" t="n">
        <v>45847</v>
      </c>
      <c r="B144" s="21">
        <f>IFERROR(IF(A144&lt;=0,"",TEXT(A144,"MMM YY")),"")</f>
        <v/>
      </c>
      <c r="C144" s="22" t="inlineStr">
        <is>
          <t>Apex Retail Galleria</t>
        </is>
      </c>
      <c r="D144" s="23" t="n">
        <v>12</v>
      </c>
      <c r="E144" s="22" t="inlineStr">
        <is>
          <t>Snacks &amp; Quick Bites</t>
        </is>
      </c>
      <c r="F144" s="25">
        <f>IFERROR(VLOOKUP(E144,SETTINGS!A:B,2,0),"No Value")</f>
        <v/>
      </c>
      <c r="G144" s="11" t="n"/>
      <c r="H144" s="11" t="n"/>
      <c r="I144" s="5" t="n"/>
    </row>
    <row r="145" ht="15.75" customHeight="1" s="184">
      <c r="A145" s="19" t="n">
        <v>45849</v>
      </c>
      <c r="B145" s="21">
        <f>IFERROR(IF(A145&lt;=0,"",TEXT(A145,"MMM YY")),"")</f>
        <v/>
      </c>
      <c r="C145" s="22" t="inlineStr">
        <is>
          <t>Prime Department Store</t>
        </is>
      </c>
      <c r="D145" s="23" t="n">
        <v>15</v>
      </c>
      <c r="E145" s="22" t="inlineStr">
        <is>
          <t>Snacks &amp; Quick Bites</t>
        </is>
      </c>
      <c r="F145" s="25">
        <f>IFERROR(VLOOKUP(E145,SETTINGS!A:B,2,0),"No Value")</f>
        <v/>
      </c>
      <c r="G145" s="11" t="n"/>
      <c r="H145" s="11" t="n"/>
      <c r="I145" s="5" t="n"/>
    </row>
    <row r="146" ht="15.75" customHeight="1" s="184">
      <c r="A146" s="19" t="n">
        <v>45850</v>
      </c>
      <c r="B146" s="21">
        <f>IFERROR(IF(A146&lt;=0,"",TEXT(A146,"MMM YY")),"")</f>
        <v/>
      </c>
      <c r="C146" s="22" t="inlineStr">
        <is>
          <t>Digital E-Commerce Hub</t>
        </is>
      </c>
      <c r="D146" s="23" t="n">
        <v>2545</v>
      </c>
      <c r="E146" s="22" t="inlineStr">
        <is>
          <t>Groceries</t>
        </is>
      </c>
      <c r="F146" s="25">
        <f>IFERROR(VLOOKUP(E146,SETTINGS!A:B,2,0),"No Value")</f>
        <v/>
      </c>
      <c r="G146" s="11" t="n"/>
      <c r="H146" s="11" t="n"/>
      <c r="I146" s="5" t="n"/>
    </row>
    <row r="147" ht="15.75" customHeight="1" s="184">
      <c r="A147" s="19" t="n">
        <v>45850</v>
      </c>
      <c r="B147" s="21">
        <f>IFERROR(IF(A147&lt;=0,"",TEXT(A147,"MMM YY")),"")</f>
        <v/>
      </c>
      <c r="C147" s="22" t="inlineStr">
        <is>
          <t>Harbor Cafe</t>
        </is>
      </c>
      <c r="D147" s="23" t="n">
        <v>390</v>
      </c>
      <c r="E147" s="22" t="inlineStr">
        <is>
          <t>Restaurant &amp; Dining Out</t>
        </is>
      </c>
      <c r="F147" s="25">
        <f>IFERROR(VLOOKUP(E147,SETTINGS!A:B,2,0),"No Value")</f>
        <v/>
      </c>
      <c r="G147" s="11" t="n"/>
      <c r="H147" s="11" t="n"/>
      <c r="I147" s="5" t="n"/>
    </row>
    <row r="148" ht="15.75" customHeight="1" s="184">
      <c r="A148" s="19" t="n">
        <v>45851</v>
      </c>
      <c r="B148" s="21">
        <f>IFERROR(IF(A148&lt;=0,"",TEXT(A148,"MMM YY")),"")</f>
        <v/>
      </c>
      <c r="C148" s="22" t="inlineStr">
        <is>
          <t>Urban Lifestyle Goods</t>
        </is>
      </c>
      <c r="D148" s="23" t="n">
        <v>100</v>
      </c>
      <c r="E148" s="22" t="inlineStr">
        <is>
          <t>Personal Care</t>
        </is>
      </c>
      <c r="F148" s="25">
        <f>IFERROR(VLOOKUP(E148,SETTINGS!A:B,2,0),"No Value")</f>
        <v/>
      </c>
      <c r="G148" s="11" t="n"/>
      <c r="H148" s="11" t="n"/>
      <c r="I148" s="5" t="n"/>
    </row>
    <row r="149" ht="15.75" customHeight="1" s="184">
      <c r="A149" s="19" t="n">
        <v>45854</v>
      </c>
      <c r="B149" s="21">
        <f>IFERROR(IF(A149&lt;=0,"",TEXT(A149,"MMM YY")),"")</f>
        <v/>
      </c>
      <c r="C149" s="22" t="inlineStr">
        <is>
          <t>Apex Retail Galleria</t>
        </is>
      </c>
      <c r="D149" s="23" t="n">
        <v>12</v>
      </c>
      <c r="E149" s="22" t="inlineStr">
        <is>
          <t>Snacks &amp; Quick Bites</t>
        </is>
      </c>
      <c r="F149" s="25">
        <f>IFERROR(VLOOKUP(E149,SETTINGS!A:B,2,0),"No Value")</f>
        <v/>
      </c>
      <c r="G149" s="11" t="n"/>
      <c r="H149" s="11" t="n"/>
      <c r="I149" s="5" t="n"/>
    </row>
    <row r="150" ht="15.75" customHeight="1" s="184">
      <c r="A150" s="19" t="n">
        <v>45855</v>
      </c>
      <c r="B150" s="21">
        <f>IFERROR(IF(A150&lt;=0,"",TEXT(A150,"MMM YY")),"")</f>
        <v/>
      </c>
      <c r="C150" s="22" t="inlineStr">
        <is>
          <t>Prime Department Store</t>
        </is>
      </c>
      <c r="D150" s="23" t="n">
        <v>60</v>
      </c>
      <c r="E150" s="22" t="inlineStr">
        <is>
          <t>Medical</t>
        </is>
      </c>
      <c r="F150" s="25">
        <f>IFERROR(VLOOKUP(E150,SETTINGS!A:B,2,0),"No Value")</f>
        <v/>
      </c>
      <c r="G150" s="11" t="n"/>
      <c r="H150" s="11" t="n"/>
      <c r="I150" s="5" t="n"/>
    </row>
    <row r="151" ht="15.75" customHeight="1" s="184">
      <c r="A151" s="19" t="n">
        <v>45856</v>
      </c>
      <c r="B151" s="21">
        <f>IFERROR(IF(A151&lt;=0,"",TEXT(A151,"MMM YY")),"")</f>
        <v/>
      </c>
      <c r="C151" s="22" t="inlineStr">
        <is>
          <t>Digital E-Commerce Hub</t>
        </is>
      </c>
      <c r="D151" s="23" t="n">
        <v>30</v>
      </c>
      <c r="E151" s="22" t="inlineStr">
        <is>
          <t>Snacks &amp; Quick Bites</t>
        </is>
      </c>
      <c r="F151" s="25">
        <f>IFERROR(VLOOKUP(E151,SETTINGS!A:B,2,0),"No Value")</f>
        <v/>
      </c>
      <c r="G151" s="11" t="n"/>
      <c r="H151" s="11" t="n"/>
      <c r="I151" s="5" t="n"/>
    </row>
    <row r="152" ht="15.75" customHeight="1" s="184">
      <c r="A152" s="19" t="n">
        <v>45857</v>
      </c>
      <c r="B152" s="21">
        <f>IFERROR(IF(A152&lt;=0,"",TEXT(A152,"MMM YY")),"")</f>
        <v/>
      </c>
      <c r="C152" s="22" t="inlineStr">
        <is>
          <t>City Ride Transit</t>
        </is>
      </c>
      <c r="D152" s="23" t="n">
        <v>240</v>
      </c>
      <c r="E152" s="22" t="inlineStr">
        <is>
          <t>Commute</t>
        </is>
      </c>
      <c r="F152" s="25">
        <f>IFERROR(VLOOKUP(E152,SETTINGS!A:B,2,0),"No Value")</f>
        <v/>
      </c>
      <c r="G152" s="11" t="n"/>
      <c r="H152" s="11" t="n"/>
      <c r="I152" s="5" t="n"/>
    </row>
    <row r="153" ht="15.75" customHeight="1" s="184">
      <c r="A153" s="19" t="n">
        <v>45857</v>
      </c>
      <c r="B153" s="21">
        <f>IFERROR(IF(A153&lt;=0,"",TEXT(A153,"MMM YY")),"")</f>
        <v/>
      </c>
      <c r="C153" s="22" t="inlineStr">
        <is>
          <t>Urban Lifestyle Goods</t>
        </is>
      </c>
      <c r="D153" s="23" t="n">
        <v>40</v>
      </c>
      <c r="E153" s="22" t="inlineStr">
        <is>
          <t>Repair &amp; Maintenance</t>
        </is>
      </c>
      <c r="F153" s="25">
        <f>IFERROR(VLOOKUP(E153,SETTINGS!A:B,2,0),"No Value")</f>
        <v/>
      </c>
      <c r="G153" s="11" t="n"/>
      <c r="H153" s="11" t="n"/>
      <c r="I153" s="5" t="n"/>
    </row>
    <row r="154" ht="15.75" customHeight="1" s="184">
      <c r="A154" s="19" t="n">
        <v>45857</v>
      </c>
      <c r="B154" s="21">
        <f>IFERROR(IF(A154&lt;=0,"",TEXT(A154,"MMM YY")),"")</f>
        <v/>
      </c>
      <c r="C154" s="22" t="inlineStr">
        <is>
          <t>Metro Gourmet Bistro</t>
        </is>
      </c>
      <c r="D154" s="23" t="n">
        <v>170</v>
      </c>
      <c r="E154" s="22" t="inlineStr">
        <is>
          <t>Restaurant &amp; Dining Out</t>
        </is>
      </c>
      <c r="F154" s="25">
        <f>IFERROR(VLOOKUP(E154,SETTINGS!A:B,2,0),"No Value")</f>
        <v/>
      </c>
      <c r="G154" s="11" t="n"/>
      <c r="H154" s="11" t="n"/>
      <c r="I154" s="5" t="n"/>
    </row>
    <row r="155" ht="15.75" customHeight="1" s="184">
      <c r="A155" s="19" t="n">
        <v>45858</v>
      </c>
      <c r="B155" s="21">
        <f>IFERROR(IF(A155&lt;=0,"",TEXT(A155,"MMM YY")),"")</f>
        <v/>
      </c>
      <c r="C155" s="22" t="inlineStr">
        <is>
          <t>Apex Retail Galleria</t>
        </is>
      </c>
      <c r="D155" s="23" t="n">
        <v>15</v>
      </c>
      <c r="E155" s="22" t="inlineStr">
        <is>
          <t>Snacks &amp; Quick Bites</t>
        </is>
      </c>
      <c r="F155" s="25">
        <f>IFERROR(VLOOKUP(E155,SETTINGS!A:B,2,0),"No Value")</f>
        <v/>
      </c>
      <c r="G155" s="11" t="n"/>
      <c r="H155" s="11" t="n"/>
      <c r="I155" s="5" t="n"/>
    </row>
    <row r="156" ht="15.75" customHeight="1" s="184">
      <c r="A156" s="19" t="n">
        <v>45863</v>
      </c>
      <c r="B156" s="21">
        <f>IFERROR(IF(A156&lt;=0,"",TEXT(A156,"MMM YY")),"")</f>
        <v/>
      </c>
      <c r="C156" s="22" t="inlineStr">
        <is>
          <t>Prime Department Store</t>
        </is>
      </c>
      <c r="D156" s="23" t="n">
        <v>12</v>
      </c>
      <c r="E156" s="22" t="inlineStr">
        <is>
          <t>Snacks &amp; Quick Bites</t>
        </is>
      </c>
      <c r="F156" s="25">
        <f>IFERROR(VLOOKUP(E156,SETTINGS!A:B,2,0),"No Value")</f>
        <v/>
      </c>
      <c r="G156" s="11" t="n"/>
      <c r="H156" s="11" t="n"/>
      <c r="I156" s="5" t="n"/>
    </row>
    <row r="157" ht="15.75" customHeight="1" s="184">
      <c r="A157" s="19" t="n">
        <v>45865</v>
      </c>
      <c r="B157" s="21">
        <f>IFERROR(IF(A157&lt;=0,"",TEXT(A157,"MMM YY")),"")</f>
        <v/>
      </c>
      <c r="C157" s="22" t="inlineStr">
        <is>
          <t>Urban Spice Cafe</t>
        </is>
      </c>
      <c r="D157" s="23" t="n">
        <v>260</v>
      </c>
      <c r="E157" s="22" t="inlineStr">
        <is>
          <t>Restaurant &amp; Dining Out</t>
        </is>
      </c>
      <c r="F157" s="25">
        <f>IFERROR(VLOOKUP(E157,SETTINGS!A:B,2,0),"No Value")</f>
        <v/>
      </c>
      <c r="G157" s="11" t="n"/>
      <c r="H157" s="11" t="n"/>
      <c r="I157" s="5" t="n"/>
    </row>
    <row r="158" ht="15.75" customHeight="1" s="184">
      <c r="A158" s="19" t="n">
        <v>45865</v>
      </c>
      <c r="B158" s="21">
        <f>IFERROR(IF(A158&lt;=0,"",TEXT(A158,"MMM YY")),"")</f>
        <v/>
      </c>
      <c r="C158" s="22" t="inlineStr">
        <is>
          <t>Central Deli &amp; Grill</t>
        </is>
      </c>
      <c r="D158" s="23" t="n">
        <v>515</v>
      </c>
      <c r="E158" s="22" t="inlineStr">
        <is>
          <t>Restaurant &amp; Dining Out</t>
        </is>
      </c>
      <c r="F158" s="25">
        <f>IFERROR(VLOOKUP(E158,SETTINGS!A:B,2,0),"No Value")</f>
        <v/>
      </c>
      <c r="G158" s="11" t="n"/>
      <c r="H158" s="11" t="n"/>
      <c r="I158" s="5" t="n"/>
    </row>
    <row r="159" ht="15.75" customHeight="1" s="184">
      <c r="A159" s="19" t="n">
        <v>45865</v>
      </c>
      <c r="B159" s="21">
        <f>IFERROR(IF(A159&lt;=0,"",TEXT(A159,"MMM YY")),"")</f>
        <v/>
      </c>
      <c r="C159" s="22" t="inlineStr">
        <is>
          <t>Digital E-Commerce Hub</t>
        </is>
      </c>
      <c r="D159" s="23" t="n">
        <v>200</v>
      </c>
      <c r="E159" s="22" t="inlineStr">
        <is>
          <t>Gifts</t>
        </is>
      </c>
      <c r="F159" s="25">
        <f>IFERROR(VLOOKUP(E159,SETTINGS!A:B,2,0),"No Value")</f>
        <v/>
      </c>
      <c r="G159" s="11" t="n"/>
      <c r="H159" s="11" t="n"/>
      <c r="I159" s="5" t="n"/>
    </row>
    <row r="160" ht="15.75" customHeight="1" s="184">
      <c r="A160" s="19" t="n"/>
      <c r="B160" s="21">
        <f>IFERROR(IF(A591&lt;=0,"",TEXT(A591,"MMM YY")),"")</f>
        <v/>
      </c>
      <c r="C160" s="22" t="n"/>
      <c r="D160" s="92" t="n"/>
      <c r="E160" s="22" t="n"/>
      <c r="F160" s="25">
        <f>IFERROR(VLOOKUP(E591,SETTINGS!A:B,2,0),"No Value")</f>
        <v/>
      </c>
      <c r="G160" s="5" t="n"/>
      <c r="H160" s="5" t="n"/>
      <c r="I160" s="5" t="n"/>
    </row>
    <row r="161" ht="15.75" customHeight="1" s="184">
      <c r="A161" s="19" t="n"/>
      <c r="B161" s="21">
        <f>IFERROR(IF(A592&lt;=0,"",TEXT(A592,"MMM YY")),"")</f>
        <v/>
      </c>
      <c r="C161" s="22" t="n"/>
      <c r="D161" s="23" t="n"/>
      <c r="E161" s="22" t="n"/>
      <c r="F161" s="25">
        <f>IFERROR(VLOOKUP(E592,SETTINGS!A:B,2,0),"No Value")</f>
        <v/>
      </c>
      <c r="G161" s="5" t="n"/>
      <c r="H161" s="5" t="n"/>
      <c r="I161" s="5" t="n"/>
    </row>
    <row r="162" ht="15.75" customHeight="1" s="184">
      <c r="A162" s="19" t="n"/>
      <c r="B162" s="21">
        <f>IFERROR(IF(A593&lt;=0,"",TEXT(A593,"MMM YY")),"")</f>
        <v/>
      </c>
      <c r="C162" s="22" t="n"/>
      <c r="D162" s="23" t="n"/>
      <c r="E162" s="22" t="n"/>
      <c r="F162" s="25">
        <f>IFERROR(VLOOKUP(E593,SETTINGS!A:B,2,0),"No Value")</f>
        <v/>
      </c>
      <c r="G162" s="5" t="n"/>
      <c r="H162" s="5" t="n"/>
      <c r="I162" s="5" t="n"/>
    </row>
    <row r="163" ht="15.75" customHeight="1" s="184">
      <c r="A163" s="19" t="n"/>
      <c r="B163" s="21">
        <f>IFERROR(IF(A594&lt;=0,"",TEXT(A594,"MMM YY")),"")</f>
        <v/>
      </c>
      <c r="C163" s="22" t="n"/>
      <c r="D163" s="23" t="n"/>
      <c r="E163" s="22" t="n"/>
      <c r="F163" s="25">
        <f>IFERROR(VLOOKUP(E594,SETTINGS!A:B,2,0),"No Value")</f>
        <v/>
      </c>
      <c r="G163" s="5" t="n"/>
      <c r="H163" s="5" t="n"/>
      <c r="I163" s="5" t="n"/>
    </row>
    <row r="164" ht="15.75" customHeight="1" s="184">
      <c r="A164" s="19" t="n"/>
      <c r="B164" s="21">
        <f>IFERROR(IF(A595&lt;=0,"",TEXT(A595,"MMM YY")),"")</f>
        <v/>
      </c>
      <c r="C164" s="22" t="n"/>
      <c r="D164" s="23" t="n"/>
      <c r="E164" s="22" t="n"/>
      <c r="F164" s="25">
        <f>IFERROR(VLOOKUP(E595,SETTINGS!A:B,2,0),"No Value")</f>
        <v/>
      </c>
      <c r="G164" s="5" t="n"/>
      <c r="H164" s="5" t="n"/>
      <c r="I164" s="5" t="n"/>
    </row>
    <row r="165" ht="15.75" customHeight="1" s="184">
      <c r="A165" s="19" t="n"/>
      <c r="B165" s="21">
        <f>IFERROR(IF(A596&lt;=0,"",TEXT(A596,"MMM YY")),"")</f>
        <v/>
      </c>
      <c r="C165" s="22" t="n"/>
      <c r="D165" s="23" t="n"/>
      <c r="E165" s="22" t="n"/>
      <c r="F165" s="25">
        <f>IFERROR(VLOOKUP(E596,SETTINGS!A:B,2,0),"No Value")</f>
        <v/>
      </c>
      <c r="G165" s="5" t="n"/>
      <c r="H165" s="5" t="n"/>
      <c r="I165" s="5" t="n"/>
    </row>
    <row r="166" ht="15.75" customHeight="1" s="184">
      <c r="A166" s="19" t="n"/>
      <c r="B166" s="21">
        <f>IFERROR(IF(A597&lt;=0,"",TEXT(A597,"MMM YY")),"")</f>
        <v/>
      </c>
      <c r="C166" s="22" t="n"/>
      <c r="D166" s="23" t="n"/>
      <c r="E166" s="22" t="n"/>
      <c r="F166" s="25">
        <f>IFERROR(VLOOKUP(E597,SETTINGS!A:B,2,0),"No Value")</f>
        <v/>
      </c>
      <c r="G166" s="5" t="n"/>
      <c r="H166" s="5" t="n"/>
      <c r="I166" s="5" t="n"/>
    </row>
    <row r="167" ht="15.75" customHeight="1" s="184">
      <c r="A167" s="19" t="n"/>
      <c r="B167" s="21">
        <f>IFERROR(IF(A598&lt;=0,"",TEXT(A598,"MMM YY")),"")</f>
        <v/>
      </c>
      <c r="C167" s="22" t="n"/>
      <c r="D167" s="23" t="n"/>
      <c r="E167" s="22" t="n"/>
      <c r="F167" s="25">
        <f>IFERROR(VLOOKUP(E598,SETTINGS!A:B,2,0),"No Value")</f>
        <v/>
      </c>
      <c r="G167" s="5" t="n"/>
      <c r="H167" s="5" t="n"/>
      <c r="I167" s="5" t="n"/>
    </row>
    <row r="168" ht="15.75" customHeight="1" s="184">
      <c r="A168" s="19" t="n"/>
      <c r="B168" s="21">
        <f>IFERROR(IF(A599&lt;=0,"",TEXT(A599,"MMM YY")),"")</f>
        <v/>
      </c>
      <c r="C168" s="22" t="n"/>
      <c r="D168" s="23" t="n"/>
      <c r="E168" s="22" t="n"/>
      <c r="F168" s="25">
        <f>IFERROR(VLOOKUP(E599,SETTINGS!A:B,2,0),"No Value")</f>
        <v/>
      </c>
      <c r="G168" s="5" t="n"/>
      <c r="H168" s="5" t="n"/>
      <c r="I168" s="5" t="n"/>
    </row>
    <row r="169" ht="15.75" customHeight="1" s="184">
      <c r="A169" s="19" t="n"/>
      <c r="B169" s="21">
        <f>IFERROR(IF(A600&lt;=0,"",TEXT(A600,"MMM YY")),"")</f>
        <v/>
      </c>
      <c r="C169" s="22" t="n"/>
      <c r="D169" s="23" t="n"/>
      <c r="E169" s="22" t="n"/>
      <c r="F169" s="25">
        <f>IFERROR(VLOOKUP(E600,SETTINGS!A:B,2,0),"No Value")</f>
        <v/>
      </c>
      <c r="G169" s="5" t="n"/>
      <c r="H169" s="5" t="n"/>
      <c r="I169" s="5" t="n"/>
    </row>
    <row r="170" ht="15.75" customHeight="1" s="184">
      <c r="A170" s="19" t="n"/>
      <c r="B170" s="21">
        <f>IFERROR(IF(A601&lt;=0,"",TEXT(A601,"MMM YY")),"")</f>
        <v/>
      </c>
      <c r="C170" s="22" t="n"/>
      <c r="D170" s="23" t="n"/>
      <c r="E170" s="22" t="n"/>
      <c r="F170" s="25">
        <f>IFERROR(VLOOKUP(E601,SETTINGS!A:B,2,0),"No Value")</f>
        <v/>
      </c>
      <c r="G170" s="5" t="n"/>
      <c r="H170" s="5" t="n"/>
      <c r="I170" s="5" t="n"/>
    </row>
    <row r="171" ht="15.75" customHeight="1" s="184">
      <c r="A171" s="19" t="n"/>
      <c r="B171" s="21">
        <f>IFERROR(IF(A602&lt;=0,"",TEXT(A602,"MMM YY")),"")</f>
        <v/>
      </c>
      <c r="C171" s="22" t="n"/>
      <c r="D171" s="23" t="n"/>
      <c r="E171" s="22" t="n"/>
      <c r="F171" s="25">
        <f>IFERROR(VLOOKUP(E602,SETTINGS!A:B,2,0),"No Value")</f>
        <v/>
      </c>
      <c r="G171" s="5" t="n"/>
      <c r="H171" s="5" t="n"/>
      <c r="I171" s="5" t="n"/>
    </row>
    <row r="172" ht="15.75" customHeight="1" s="184">
      <c r="A172" s="19" t="n"/>
      <c r="B172" s="21">
        <f>IFERROR(IF(A603&lt;=0,"",TEXT(A603,"MMM YY")),"")</f>
        <v/>
      </c>
      <c r="C172" s="22" t="n"/>
      <c r="D172" s="23" t="n"/>
      <c r="E172" s="22" t="n"/>
      <c r="F172" s="25">
        <f>IFERROR(VLOOKUP(E603,SETTINGS!A:B,2,0),"No Value")</f>
        <v/>
      </c>
      <c r="G172" s="5" t="n"/>
      <c r="H172" s="5" t="n"/>
      <c r="I172" s="5" t="n"/>
    </row>
    <row r="173" ht="15.75" customHeight="1" s="184">
      <c r="A173" s="19" t="n"/>
      <c r="B173" s="21">
        <f>IFERROR(IF(A604&lt;=0,"",TEXT(A604,"MMM YY")),"")</f>
        <v/>
      </c>
      <c r="C173" s="22" t="n"/>
      <c r="D173" s="23" t="n"/>
      <c r="E173" s="22" t="n"/>
      <c r="F173" s="25">
        <f>IFERROR(VLOOKUP(E604,SETTINGS!A:B,2,0),"No Value")</f>
        <v/>
      </c>
      <c r="G173" s="5" t="n"/>
      <c r="H173" s="5" t="n"/>
      <c r="I173" s="5" t="n"/>
    </row>
    <row r="174" ht="15.75" customHeight="1" s="184">
      <c r="A174" s="19" t="n"/>
      <c r="B174" s="21">
        <f>IFERROR(IF(A605&lt;=0,"",TEXT(A605,"MMM YY")),"")</f>
        <v/>
      </c>
      <c r="C174" s="22" t="n"/>
      <c r="D174" s="23" t="n"/>
      <c r="E174" s="22" t="n"/>
      <c r="F174" s="25">
        <f>IFERROR(VLOOKUP(E605,SETTINGS!A:B,2,0),"No Value")</f>
        <v/>
      </c>
      <c r="G174" s="5" t="n"/>
      <c r="H174" s="5" t="n"/>
      <c r="I174" s="5" t="n"/>
    </row>
    <row r="175" ht="15.75" customHeight="1" s="184">
      <c r="A175" s="19" t="n"/>
      <c r="B175" s="21">
        <f>IFERROR(IF(A606&lt;=0,"",TEXT(A606,"MMM YY")),"")</f>
        <v/>
      </c>
      <c r="C175" s="22" t="n"/>
      <c r="D175" s="23" t="n"/>
      <c r="E175" s="22" t="n"/>
      <c r="F175" s="25">
        <f>IFERROR(VLOOKUP(E606,SETTINGS!A:B,2,0),"No Value")</f>
        <v/>
      </c>
      <c r="G175" s="5" t="n"/>
      <c r="H175" s="5" t="n"/>
      <c r="I175" s="5" t="n"/>
    </row>
    <row r="176" ht="15.75" customHeight="1" s="184">
      <c r="A176" s="19" t="n"/>
      <c r="B176" s="21">
        <f>IFERROR(IF(A607&lt;=0,"",TEXT(A607,"MMM YY")),"")</f>
        <v/>
      </c>
      <c r="C176" s="22" t="n"/>
      <c r="D176" s="23" t="n"/>
      <c r="E176" s="22" t="n"/>
      <c r="F176" s="25">
        <f>IFERROR(VLOOKUP(E607,SETTINGS!A:B,2,0),"No Value")</f>
        <v/>
      </c>
      <c r="G176" s="5" t="n"/>
      <c r="H176" s="5" t="n"/>
      <c r="I176" s="5" t="n"/>
    </row>
    <row r="177" ht="15.75" customHeight="1" s="184">
      <c r="A177" s="19" t="n"/>
      <c r="B177" s="21">
        <f>IFERROR(IF(A608&lt;=0,"",TEXT(A608,"MMM YY")),"")</f>
        <v/>
      </c>
      <c r="C177" s="22" t="n"/>
      <c r="D177" s="23" t="n"/>
      <c r="E177" s="22" t="n"/>
      <c r="F177" s="25">
        <f>IFERROR(VLOOKUP(E608,SETTINGS!A:B,2,0),"No Value")</f>
        <v/>
      </c>
      <c r="G177" s="5" t="n"/>
      <c r="H177" s="5" t="n"/>
      <c r="I177" s="5" t="n"/>
    </row>
    <row r="178" ht="15.75" customHeight="1" s="184">
      <c r="A178" s="19" t="n"/>
      <c r="B178" s="21">
        <f>IFERROR(IF(A609&lt;=0,"",TEXT(A609,"MMM YY")),"")</f>
        <v/>
      </c>
      <c r="C178" s="22" t="n"/>
      <c r="D178" s="23" t="n"/>
      <c r="E178" s="22" t="n"/>
      <c r="F178" s="25">
        <f>IFERROR(VLOOKUP(E609,SETTINGS!A:B,2,0),"No Value")</f>
        <v/>
      </c>
      <c r="G178" s="5" t="n"/>
      <c r="H178" s="5" t="n"/>
      <c r="I178" s="5" t="n"/>
    </row>
    <row r="179" ht="15.75" customHeight="1" s="184">
      <c r="A179" s="19" t="n"/>
      <c r="B179" s="21">
        <f>IFERROR(IF(A610&lt;=0,"",TEXT(A610,"MMM YY")),"")</f>
        <v/>
      </c>
      <c r="C179" s="22" t="n"/>
      <c r="D179" s="23" t="n"/>
      <c r="E179" s="22" t="n"/>
      <c r="F179" s="25">
        <f>IFERROR(VLOOKUP(E610,SETTINGS!A:B,2,0),"No Value")</f>
        <v/>
      </c>
      <c r="G179" s="5" t="n"/>
      <c r="H179" s="5" t="n"/>
      <c r="I179" s="5" t="n"/>
    </row>
    <row r="180" ht="15.75" customHeight="1" s="184">
      <c r="A180" s="19" t="n"/>
      <c r="B180" s="21">
        <f>IFERROR(IF(A611&lt;=0,"",TEXT(A611,"MMM YY")),"")</f>
        <v/>
      </c>
      <c r="C180" s="22" t="n"/>
      <c r="D180" s="23" t="n"/>
      <c r="E180" s="22" t="n"/>
      <c r="F180" s="25">
        <f>IFERROR(VLOOKUP(E611,SETTINGS!A:B,2,0),"No Value")</f>
        <v/>
      </c>
      <c r="G180" s="5" t="n"/>
      <c r="H180" s="5" t="n"/>
      <c r="I180" s="5" t="n"/>
    </row>
    <row r="181" ht="15.75" customHeight="1" s="184">
      <c r="A181" s="19" t="n"/>
      <c r="B181" s="21">
        <f>IFERROR(IF(A612&lt;=0,"",TEXT(A612,"MMM YY")),"")</f>
        <v/>
      </c>
      <c r="C181" s="22" t="n"/>
      <c r="D181" s="23" t="n"/>
      <c r="E181" s="22" t="n"/>
      <c r="F181" s="25">
        <f>IFERROR(VLOOKUP(E612,SETTINGS!A:B,2,0),"No Value")</f>
        <v/>
      </c>
      <c r="G181" s="5" t="n"/>
      <c r="H181" s="5" t="n"/>
      <c r="I181" s="5" t="n"/>
    </row>
    <row r="182" ht="15.75" customHeight="1" s="184">
      <c r="A182" s="19" t="n"/>
      <c r="B182" s="21">
        <f>IFERROR(IF(A613&lt;=0,"",TEXT(A613,"MMM YY")),"")</f>
        <v/>
      </c>
      <c r="C182" s="22" t="n"/>
      <c r="D182" s="23" t="n"/>
      <c r="E182" s="22" t="n"/>
      <c r="F182" s="25">
        <f>IFERROR(VLOOKUP(E613,SETTINGS!A:B,2,0),"No Value")</f>
        <v/>
      </c>
      <c r="G182" s="5" t="n"/>
      <c r="H182" s="5" t="n"/>
      <c r="I182" s="5" t="n"/>
    </row>
    <row r="183" ht="15.75" customHeight="1" s="184">
      <c r="A183" s="19" t="n"/>
      <c r="B183" s="21">
        <f>IFERROR(IF(A614&lt;=0,"",TEXT(A614,"MMM YY")),"")</f>
        <v/>
      </c>
      <c r="C183" s="22" t="n"/>
      <c r="D183" s="23" t="n"/>
      <c r="E183" s="22" t="n"/>
      <c r="F183" s="25">
        <f>IFERROR(VLOOKUP(E614,SETTINGS!A:B,2,0),"No Value")</f>
        <v/>
      </c>
      <c r="G183" s="5" t="n"/>
      <c r="H183" s="5" t="n"/>
      <c r="I183" s="5" t="n"/>
    </row>
    <row r="184" ht="15.75" customHeight="1" s="184">
      <c r="A184" s="19" t="n"/>
      <c r="B184" s="21">
        <f>IFERROR(IF(A615&lt;=0,"",TEXT(A615,"MMM YY")),"")</f>
        <v/>
      </c>
      <c r="C184" s="22" t="n"/>
      <c r="D184" s="23" t="n"/>
      <c r="E184" s="22" t="n"/>
      <c r="F184" s="25">
        <f>IFERROR(VLOOKUP(E615,SETTINGS!A:B,2,0),"No Value")</f>
        <v/>
      </c>
      <c r="G184" s="5" t="n"/>
      <c r="H184" s="5" t="n"/>
      <c r="I184" s="5" t="n"/>
    </row>
    <row r="185" ht="15.75" customHeight="1" s="184">
      <c r="A185" s="19" t="n"/>
      <c r="B185" s="21">
        <f>IFERROR(IF(A616&lt;=0,"",TEXT(A616,"MMM YY")),"")</f>
        <v/>
      </c>
      <c r="C185" s="22" t="n"/>
      <c r="D185" s="23" t="n"/>
      <c r="E185" s="22" t="n"/>
      <c r="F185" s="25">
        <f>IFERROR(VLOOKUP(E616,SETTINGS!A:B,2,0),"No Value")</f>
        <v/>
      </c>
      <c r="G185" s="5" t="n"/>
      <c r="H185" s="5" t="n"/>
      <c r="I185" s="5" t="n"/>
    </row>
    <row r="186" ht="15.75" customHeight="1" s="184">
      <c r="A186" s="19" t="n"/>
      <c r="B186" s="21">
        <f>IFERROR(IF(A617&lt;=0,"",TEXT(A617,"MMM YY")),"")</f>
        <v/>
      </c>
      <c r="C186" s="22" t="n"/>
      <c r="D186" s="23" t="n"/>
      <c r="E186" s="22" t="n"/>
      <c r="F186" s="25">
        <f>IFERROR(VLOOKUP(E617,SETTINGS!A:B,2,0),"No Value")</f>
        <v/>
      </c>
      <c r="G186" s="5" t="n"/>
      <c r="H186" s="5" t="n"/>
      <c r="I186" s="5" t="n"/>
    </row>
    <row r="187" ht="15.75" customHeight="1" s="184">
      <c r="A187" s="19" t="n"/>
      <c r="B187" s="21">
        <f>IFERROR(IF(A618&lt;=0,"",TEXT(A618,"MMM YY")),"")</f>
        <v/>
      </c>
      <c r="C187" s="22" t="n"/>
      <c r="D187" s="23" t="n"/>
      <c r="E187" s="22" t="n"/>
      <c r="F187" s="25">
        <f>IFERROR(VLOOKUP(E618,SETTINGS!A:B,2,0),"No Value")</f>
        <v/>
      </c>
      <c r="G187" s="5" t="n"/>
      <c r="H187" s="5" t="n"/>
      <c r="I187" s="5" t="n"/>
    </row>
    <row r="188" ht="15.75" customHeight="1" s="184">
      <c r="A188" s="19" t="n"/>
      <c r="B188" s="21">
        <f>IFERROR(IF(A619&lt;=0,"",TEXT(A619,"MMM YY")),"")</f>
        <v/>
      </c>
      <c r="C188" s="22" t="n"/>
      <c r="D188" s="23" t="n"/>
      <c r="E188" s="22" t="n"/>
      <c r="F188" s="25">
        <f>IFERROR(VLOOKUP(E619,SETTINGS!A:B,2,0),"No Value")</f>
        <v/>
      </c>
      <c r="G188" s="5" t="n"/>
      <c r="H188" s="5" t="n"/>
      <c r="I188" s="5" t="n"/>
    </row>
    <row r="189" ht="15.75" customHeight="1" s="184">
      <c r="A189" s="19" t="n"/>
      <c r="B189" s="21">
        <f>IFERROR(IF(A620&lt;=0,"",TEXT(A620,"MMM YY")),"")</f>
        <v/>
      </c>
      <c r="C189" s="22" t="n"/>
      <c r="D189" s="23" t="n"/>
      <c r="E189" s="22" t="n"/>
      <c r="F189" s="25">
        <f>IFERROR(VLOOKUP(E620,SETTINGS!A:B,2,0),"No Value")</f>
        <v/>
      </c>
      <c r="G189" s="5" t="n"/>
      <c r="H189" s="5" t="n"/>
      <c r="I189" s="5" t="n"/>
    </row>
    <row r="190" ht="15.75" customHeight="1" s="184">
      <c r="A190" s="19" t="n"/>
      <c r="B190" s="21">
        <f>IFERROR(IF(A621&lt;=0,"",TEXT(A621,"MMM YY")),"")</f>
        <v/>
      </c>
      <c r="C190" s="22" t="n"/>
      <c r="D190" s="23" t="n"/>
      <c r="E190" s="22" t="n"/>
      <c r="F190" s="25">
        <f>IFERROR(VLOOKUP(E621,SETTINGS!A:B,2,0),"No Value")</f>
        <v/>
      </c>
      <c r="G190" s="5" t="n"/>
      <c r="H190" s="5" t="n"/>
      <c r="I190" s="5" t="n"/>
    </row>
    <row r="191" ht="15.75" customHeight="1" s="184">
      <c r="A191" s="19" t="n"/>
      <c r="B191" s="21">
        <f>IFERROR(IF(A622&lt;=0,"",TEXT(A622,"MMM YY")),"")</f>
        <v/>
      </c>
      <c r="C191" s="22" t="n"/>
      <c r="D191" s="23" t="n"/>
      <c r="E191" s="22" t="n"/>
      <c r="F191" s="25">
        <f>IFERROR(VLOOKUP(E622,SETTINGS!A:B,2,0),"No Value")</f>
        <v/>
      </c>
      <c r="G191" s="5" t="n"/>
      <c r="H191" s="5" t="n"/>
      <c r="I191" s="5" t="n"/>
    </row>
    <row r="192" ht="15.75" customHeight="1" s="184">
      <c r="A192" s="19" t="n"/>
      <c r="B192" s="21">
        <f>IFERROR(IF(A623&lt;=0,"",TEXT(A623,"MMM YY")),"")</f>
        <v/>
      </c>
      <c r="C192" s="22" t="n"/>
      <c r="D192" s="23" t="n"/>
      <c r="E192" s="22" t="n"/>
      <c r="F192" s="25">
        <f>IFERROR(VLOOKUP(E623,SETTINGS!A:B,2,0),"No Value")</f>
        <v/>
      </c>
      <c r="G192" s="5" t="n"/>
      <c r="H192" s="5" t="n"/>
      <c r="I192" s="5" t="n"/>
    </row>
    <row r="193" ht="15.75" customHeight="1" s="184">
      <c r="A193" s="19" t="n"/>
      <c r="B193" s="21">
        <f>IFERROR(IF(A624&lt;=0,"",TEXT(A624,"MMM YY")),"")</f>
        <v/>
      </c>
      <c r="C193" s="22" t="n"/>
      <c r="D193" s="23" t="n"/>
      <c r="E193" s="22" t="n"/>
      <c r="F193" s="25">
        <f>IFERROR(VLOOKUP(E624,SETTINGS!A:B,2,0),"No Value")</f>
        <v/>
      </c>
      <c r="G193" s="5" t="n"/>
      <c r="H193" s="5" t="n"/>
      <c r="I193" s="5" t="n"/>
    </row>
    <row r="194" ht="15.75" customHeight="1" s="184">
      <c r="A194" s="19" t="n"/>
      <c r="B194" s="21">
        <f>IFERROR(IF(A625&lt;=0,"",TEXT(A625,"MMM YY")),"")</f>
        <v/>
      </c>
      <c r="C194" s="22" t="n"/>
      <c r="D194" s="23" t="n"/>
      <c r="E194" s="22" t="n"/>
      <c r="F194" s="25">
        <f>IFERROR(VLOOKUP(E625,SETTINGS!A:B,2,0),"No Value")</f>
        <v/>
      </c>
      <c r="G194" s="5" t="n"/>
      <c r="H194" s="5" t="n"/>
      <c r="I194" s="5" t="n"/>
    </row>
    <row r="195" ht="15.75" customHeight="1" s="184">
      <c r="A195" s="19" t="n"/>
      <c r="B195" s="21">
        <f>IFERROR(IF(A626&lt;=0,"",TEXT(A626,"MMM YY")),"")</f>
        <v/>
      </c>
      <c r="C195" s="22" t="n"/>
      <c r="D195" s="23" t="n"/>
      <c r="E195" s="22" t="n"/>
      <c r="F195" s="25">
        <f>IFERROR(VLOOKUP(E626,SETTINGS!A:B,2,0),"No Value")</f>
        <v/>
      </c>
      <c r="G195" s="5" t="n"/>
      <c r="H195" s="5" t="n"/>
      <c r="I195" s="5" t="n"/>
    </row>
    <row r="196" ht="15.75" customHeight="1" s="184">
      <c r="A196" s="19" t="n"/>
      <c r="B196" s="21">
        <f>IFERROR(IF(A627&lt;=0,"",TEXT(A627,"MMM YY")),"")</f>
        <v/>
      </c>
      <c r="C196" s="22" t="n"/>
      <c r="D196" s="23" t="n"/>
      <c r="E196" s="22" t="n"/>
      <c r="F196" s="25">
        <f>IFERROR(VLOOKUP(E627,SETTINGS!A:B,2,0),"No Value")</f>
        <v/>
      </c>
      <c r="G196" s="5" t="n"/>
      <c r="H196" s="5" t="n"/>
      <c r="I196" s="5" t="n"/>
    </row>
    <row r="197" ht="15.75" customHeight="1" s="184">
      <c r="A197" s="19" t="n"/>
      <c r="B197" s="21">
        <f>IFERROR(IF(A628&lt;=0,"",TEXT(A628,"MMM YY")),"")</f>
        <v/>
      </c>
      <c r="C197" s="22" t="n"/>
      <c r="D197" s="23" t="n"/>
      <c r="E197" s="22" t="n"/>
      <c r="F197" s="25">
        <f>IFERROR(VLOOKUP(E628,SETTINGS!A:B,2,0),"No Value")</f>
        <v/>
      </c>
      <c r="G197" s="5" t="n"/>
      <c r="H197" s="5" t="n"/>
      <c r="I197" s="5" t="n"/>
    </row>
    <row r="198" ht="15.75" customHeight="1" s="184">
      <c r="A198" s="19" t="n"/>
      <c r="B198" s="21">
        <f>IFERROR(IF(A629&lt;=0,"",TEXT(A629,"MMM YY")),"")</f>
        <v/>
      </c>
      <c r="C198" s="22" t="n"/>
      <c r="D198" s="23" t="n"/>
      <c r="E198" s="22" t="n"/>
      <c r="F198" s="25">
        <f>IFERROR(VLOOKUP(E629,SETTINGS!A:B,2,0),"No Value")</f>
        <v/>
      </c>
      <c r="G198" s="5" t="n"/>
      <c r="H198" s="5" t="n"/>
      <c r="I198" s="5" t="n"/>
    </row>
    <row r="199" ht="15.75" customHeight="1" s="184">
      <c r="A199" s="19" t="n"/>
      <c r="B199" s="21">
        <f>IFERROR(IF(A630&lt;=0,"",TEXT(A630,"MMM YY")),"")</f>
        <v/>
      </c>
      <c r="C199" s="22" t="n"/>
      <c r="D199" s="23" t="n"/>
      <c r="E199" s="22" t="n"/>
      <c r="F199" s="25">
        <f>IFERROR(VLOOKUP(E630,SETTINGS!A:B,2,0),"No Value")</f>
        <v/>
      </c>
      <c r="G199" s="5" t="n"/>
      <c r="H199" s="5" t="n"/>
      <c r="I199" s="5" t="n"/>
    </row>
    <row r="200" ht="15.75" customHeight="1" s="184">
      <c r="A200" s="19" t="n"/>
      <c r="B200" s="21">
        <f>IFERROR(IF(A631&lt;=0,"",TEXT(A631,"MMM YY")),"")</f>
        <v/>
      </c>
      <c r="C200" s="22" t="n"/>
      <c r="D200" s="23" t="n"/>
      <c r="E200" s="22" t="n"/>
      <c r="F200" s="25">
        <f>IFERROR(VLOOKUP(E631,SETTINGS!A:B,2,0),"No Value")</f>
        <v/>
      </c>
      <c r="G200" s="5" t="n"/>
      <c r="H200" s="5" t="n"/>
      <c r="I200" s="5" t="n"/>
    </row>
    <row r="201" ht="15.75" customHeight="1" s="184">
      <c r="A201" s="19" t="n"/>
      <c r="B201" s="21">
        <f>IFERROR(IF(A632&lt;=0,"",TEXT(A632,"MMM YY")),"")</f>
        <v/>
      </c>
      <c r="C201" s="22" t="n"/>
      <c r="D201" s="23" t="n"/>
      <c r="E201" s="22" t="n"/>
      <c r="F201" s="25">
        <f>IFERROR(VLOOKUP(E632,SETTINGS!A:B,2,0),"No Value")</f>
        <v/>
      </c>
      <c r="G201" s="5" t="n"/>
      <c r="H201" s="5" t="n"/>
      <c r="I201" s="5" t="n"/>
    </row>
    <row r="202" ht="15.75" customHeight="1" s="184">
      <c r="A202" s="19" t="n"/>
      <c r="B202" s="21">
        <f>IFERROR(IF(A633&lt;=0,"",TEXT(A633,"MMM YY")),"")</f>
        <v/>
      </c>
      <c r="C202" s="22" t="n"/>
      <c r="D202" s="23" t="n"/>
      <c r="E202" s="22" t="n"/>
      <c r="F202" s="25">
        <f>IFERROR(VLOOKUP(E633,SETTINGS!A:B,2,0),"No Value")</f>
        <v/>
      </c>
      <c r="G202" s="5" t="n"/>
      <c r="H202" s="5" t="n"/>
      <c r="I202" s="5" t="n"/>
    </row>
    <row r="203" ht="15.75" customHeight="1" s="184">
      <c r="A203" s="19" t="n"/>
      <c r="B203" s="21">
        <f>IFERROR(IF(A634&lt;=0,"",TEXT(A634,"MMM YY")),"")</f>
        <v/>
      </c>
      <c r="C203" s="22" t="n"/>
      <c r="D203" s="23" t="n"/>
      <c r="E203" s="22" t="n"/>
      <c r="F203" s="25">
        <f>IFERROR(VLOOKUP(E634,SETTINGS!A:B,2,0),"No Value")</f>
        <v/>
      </c>
      <c r="G203" s="5" t="n"/>
      <c r="H203" s="5" t="n"/>
      <c r="I203" s="5" t="n"/>
    </row>
    <row r="204" ht="15.75" customHeight="1" s="184">
      <c r="A204" s="19" t="n"/>
      <c r="B204" s="21">
        <f>IFERROR(IF(A635&lt;=0,"",TEXT(A635,"MMM YY")),"")</f>
        <v/>
      </c>
      <c r="C204" s="22" t="n"/>
      <c r="D204" s="23" t="n"/>
      <c r="E204" s="22" t="n"/>
      <c r="F204" s="25">
        <f>IFERROR(VLOOKUP(E635,SETTINGS!A:B,2,0),"No Value")</f>
        <v/>
      </c>
      <c r="G204" s="5" t="n"/>
      <c r="H204" s="5" t="n"/>
      <c r="I204" s="5" t="n"/>
    </row>
    <row r="205" ht="15.75" customHeight="1" s="184">
      <c r="A205" s="19" t="n"/>
      <c r="B205" s="21">
        <f>IFERROR(IF(A636&lt;=0,"",TEXT(A636,"MMM YY")),"")</f>
        <v/>
      </c>
      <c r="C205" s="22" t="n"/>
      <c r="D205" s="23" t="n"/>
      <c r="E205" s="22" t="n"/>
      <c r="F205" s="25">
        <f>IFERROR(VLOOKUP(E636,SETTINGS!A:B,2,0),"No Value")</f>
        <v/>
      </c>
      <c r="G205" s="5" t="n"/>
      <c r="H205" s="5" t="n"/>
      <c r="I205" s="5" t="n"/>
    </row>
    <row r="206" ht="15.75" customHeight="1" s="184">
      <c r="A206" s="19" t="n"/>
      <c r="B206" s="21">
        <f>IFERROR(IF(A637&lt;=0,"",TEXT(A637,"MMM YY")),"")</f>
        <v/>
      </c>
      <c r="C206" s="22" t="n"/>
      <c r="D206" s="23" t="n"/>
      <c r="E206" s="22" t="n"/>
      <c r="F206" s="25">
        <f>IFERROR(VLOOKUP(E637,SETTINGS!A:B,2,0),"No Value")</f>
        <v/>
      </c>
      <c r="G206" s="5" t="n"/>
      <c r="H206" s="5" t="n"/>
      <c r="I206" s="5" t="n"/>
    </row>
    <row r="207" ht="15.75" customHeight="1" s="184">
      <c r="A207" s="19" t="n"/>
      <c r="B207" s="21">
        <f>IFERROR(IF(A638&lt;=0,"",TEXT(A638,"MMM YY")),"")</f>
        <v/>
      </c>
      <c r="C207" s="22" t="n"/>
      <c r="D207" s="23" t="n"/>
      <c r="E207" s="22" t="n"/>
      <c r="F207" s="25">
        <f>IFERROR(VLOOKUP(E638,SETTINGS!A:B,2,0),"No Value")</f>
        <v/>
      </c>
      <c r="G207" s="5" t="n"/>
      <c r="H207" s="5" t="n"/>
      <c r="I207" s="5" t="n"/>
    </row>
    <row r="208" ht="15.75" customHeight="1" s="184">
      <c r="A208" s="19" t="n"/>
      <c r="B208" s="21">
        <f>IFERROR(IF(A639&lt;=0,"",TEXT(A639,"MMM YY")),"")</f>
        <v/>
      </c>
      <c r="C208" s="22" t="n"/>
      <c r="D208" s="23" t="n"/>
      <c r="E208" s="22" t="n"/>
      <c r="F208" s="25">
        <f>IFERROR(VLOOKUP(E639,SETTINGS!A:B,2,0),"No Value")</f>
        <v/>
      </c>
      <c r="G208" s="5" t="n"/>
      <c r="H208" s="5" t="n"/>
      <c r="I208" s="5" t="n"/>
    </row>
    <row r="209" ht="15.75" customHeight="1" s="184">
      <c r="A209" s="19" t="n"/>
      <c r="B209" s="21">
        <f>IFERROR(IF(A640&lt;=0,"",TEXT(A640,"MMM YY")),"")</f>
        <v/>
      </c>
      <c r="C209" s="22" t="n"/>
      <c r="D209" s="23" t="n"/>
      <c r="E209" s="22" t="n"/>
      <c r="F209" s="25">
        <f>IFERROR(VLOOKUP(E640,SETTINGS!A:B,2,0),"No Value")</f>
        <v/>
      </c>
      <c r="G209" s="5" t="n"/>
      <c r="H209" s="5" t="n"/>
      <c r="I209" s="5" t="n"/>
    </row>
    <row r="210" ht="15.75" customHeight="1" s="184">
      <c r="A210" s="19" t="n"/>
      <c r="B210" s="21">
        <f>IFERROR(IF(A641&lt;=0,"",TEXT(A641,"MMM YY")),"")</f>
        <v/>
      </c>
      <c r="C210" s="22" t="n"/>
      <c r="D210" s="23" t="n"/>
      <c r="E210" s="22" t="n"/>
      <c r="F210" s="25">
        <f>IFERROR(VLOOKUP(E641,SETTINGS!A:B,2,0),"No Value")</f>
        <v/>
      </c>
      <c r="G210" s="5" t="n"/>
      <c r="H210" s="5" t="n"/>
      <c r="I210" s="5" t="n"/>
    </row>
    <row r="211" ht="15.75" customHeight="1" s="184">
      <c r="A211" s="19" t="n"/>
      <c r="B211" s="21">
        <f>IFERROR(IF(A642&lt;=0,"",TEXT(A642,"MMM YY")),"")</f>
        <v/>
      </c>
      <c r="C211" s="22" t="n"/>
      <c r="D211" s="23" t="n"/>
      <c r="E211" s="22" t="n"/>
      <c r="F211" s="25">
        <f>IFERROR(VLOOKUP(E642,SETTINGS!A:B,2,0),"No Value")</f>
        <v/>
      </c>
      <c r="G211" s="5" t="n"/>
      <c r="H211" s="5" t="n"/>
      <c r="I211" s="5" t="n"/>
    </row>
    <row r="212" ht="15.75" customHeight="1" s="184">
      <c r="A212" s="19" t="n"/>
      <c r="B212" s="21">
        <f>IFERROR(IF(A643&lt;=0,"",TEXT(A643,"MMM YY")),"")</f>
        <v/>
      </c>
      <c r="C212" s="22" t="n"/>
      <c r="D212" s="23" t="n"/>
      <c r="E212" s="22" t="n"/>
      <c r="F212" s="25">
        <f>IFERROR(VLOOKUP(E643,SETTINGS!A:B,2,0),"No Value")</f>
        <v/>
      </c>
      <c r="G212" s="5" t="n"/>
      <c r="H212" s="5" t="n"/>
      <c r="I212" s="5" t="n"/>
    </row>
    <row r="213" ht="15.75" customHeight="1" s="184">
      <c r="A213" s="19" t="n"/>
      <c r="B213" s="21">
        <f>IFERROR(IF(A644&lt;=0,"",TEXT(A644,"MMM YY")),"")</f>
        <v/>
      </c>
      <c r="C213" s="22" t="n"/>
      <c r="D213" s="23" t="n"/>
      <c r="E213" s="22" t="n"/>
      <c r="F213" s="25">
        <f>IFERROR(VLOOKUP(E644,SETTINGS!A:B,2,0),"No Value")</f>
        <v/>
      </c>
      <c r="G213" s="5" t="n"/>
      <c r="H213" s="5" t="n"/>
      <c r="I213" s="5" t="n"/>
    </row>
    <row r="214" ht="15.75" customHeight="1" s="184">
      <c r="A214" s="19" t="n"/>
      <c r="B214" s="21">
        <f>IFERROR(IF(A645&lt;=0,"",TEXT(A645,"MMM YY")),"")</f>
        <v/>
      </c>
      <c r="C214" s="22" t="n"/>
      <c r="D214" s="23" t="n"/>
      <c r="E214" s="22" t="n"/>
      <c r="F214" s="25">
        <f>IFERROR(VLOOKUP(E645,SETTINGS!A:B,2,0),"No Value")</f>
        <v/>
      </c>
      <c r="G214" s="5" t="n"/>
      <c r="H214" s="5" t="n"/>
      <c r="I214" s="5" t="n"/>
    </row>
    <row r="215" ht="15.75" customHeight="1" s="184">
      <c r="A215" s="19" t="n"/>
      <c r="B215" s="21">
        <f>IFERROR(IF(A646&lt;=0,"",TEXT(A646,"MMM YY")),"")</f>
        <v/>
      </c>
      <c r="C215" s="22" t="n"/>
      <c r="D215" s="23" t="n"/>
      <c r="E215" s="22" t="n"/>
      <c r="F215" s="25">
        <f>IFERROR(VLOOKUP(E646,SETTINGS!A:B,2,0),"No Value")</f>
        <v/>
      </c>
      <c r="G215" s="5" t="n"/>
      <c r="H215" s="5" t="n"/>
      <c r="I215" s="5" t="n"/>
    </row>
    <row r="216" ht="15.75" customHeight="1" s="184">
      <c r="A216" s="19" t="n"/>
      <c r="B216" s="21">
        <f>IFERROR(IF(A647&lt;=0,"",TEXT(A647,"MMM YY")),"")</f>
        <v/>
      </c>
      <c r="C216" s="22" t="n"/>
      <c r="D216" s="23" t="n"/>
      <c r="E216" s="22" t="n"/>
      <c r="F216" s="25">
        <f>IFERROR(VLOOKUP(E647,SETTINGS!A:B,2,0),"No Value")</f>
        <v/>
      </c>
      <c r="G216" s="5" t="n"/>
      <c r="H216" s="5" t="n"/>
      <c r="I216" s="5" t="n"/>
    </row>
    <row r="217" ht="15.75" customHeight="1" s="184">
      <c r="A217" s="19" t="n"/>
      <c r="B217" s="21">
        <f>IFERROR(IF(A648&lt;=0,"",TEXT(A648,"MMM YY")),"")</f>
        <v/>
      </c>
      <c r="C217" s="22" t="n"/>
      <c r="D217" s="23" t="n"/>
      <c r="E217" s="22" t="n"/>
      <c r="F217" s="25">
        <f>IFERROR(VLOOKUP(E648,SETTINGS!A:B,2,0),"No Value")</f>
        <v/>
      </c>
      <c r="G217" s="5" t="n"/>
      <c r="H217" s="5" t="n"/>
      <c r="I217" s="5" t="n"/>
    </row>
    <row r="218" ht="15.75" customHeight="1" s="184">
      <c r="A218" s="19" t="n"/>
      <c r="B218" s="21">
        <f>IFERROR(IF(A649&lt;=0,"",TEXT(A649,"MMM YY")),"")</f>
        <v/>
      </c>
      <c r="C218" s="22" t="n"/>
      <c r="D218" s="23" t="n"/>
      <c r="E218" s="22" t="n"/>
      <c r="F218" s="25">
        <f>IFERROR(VLOOKUP(E649,SETTINGS!A:B,2,0),"No Value")</f>
        <v/>
      </c>
      <c r="G218" s="5" t="n"/>
      <c r="H218" s="5" t="n"/>
      <c r="I218" s="5" t="n"/>
    </row>
    <row r="219" ht="15.75" customHeight="1" s="184">
      <c r="A219" s="19" t="n"/>
      <c r="B219" s="21">
        <f>IFERROR(IF(A650&lt;=0,"",TEXT(A650,"MMM YY")),"")</f>
        <v/>
      </c>
      <c r="C219" s="22" t="n"/>
      <c r="D219" s="23" t="n"/>
      <c r="E219" s="22" t="n"/>
      <c r="F219" s="25">
        <f>IFERROR(VLOOKUP(E650,SETTINGS!A:B,2,0),"No Value")</f>
        <v/>
      </c>
      <c r="G219" s="5" t="n"/>
      <c r="H219" s="5" t="n"/>
      <c r="I219" s="5" t="n"/>
    </row>
    <row r="220" ht="15.75" customHeight="1" s="184">
      <c r="A220" s="19" t="n"/>
      <c r="B220" s="21">
        <f>IFERROR(IF(A651&lt;=0,"",TEXT(A651,"MMM YY")),"")</f>
        <v/>
      </c>
      <c r="C220" s="22" t="n"/>
      <c r="D220" s="23" t="n"/>
      <c r="E220" s="22" t="n"/>
      <c r="F220" s="25">
        <f>IFERROR(VLOOKUP(E651,SETTINGS!A:B,2,0),"No Value")</f>
        <v/>
      </c>
      <c r="G220" s="5" t="n"/>
      <c r="H220" s="5" t="n"/>
      <c r="I220" s="5" t="n"/>
    </row>
    <row r="221" ht="15.75" customHeight="1" s="184">
      <c r="A221" s="19" t="n"/>
      <c r="B221" s="21">
        <f>IFERROR(IF(A652&lt;=0,"",TEXT(A652,"MMM YY")),"")</f>
        <v/>
      </c>
      <c r="C221" s="22" t="n"/>
      <c r="D221" s="23" t="n"/>
      <c r="E221" s="22" t="n"/>
      <c r="F221" s="25">
        <f>IFERROR(VLOOKUP(E652,SETTINGS!A:B,2,0),"No Value")</f>
        <v/>
      </c>
      <c r="G221" s="5" t="n"/>
      <c r="H221" s="5" t="n"/>
      <c r="I221" s="5" t="n"/>
    </row>
    <row r="222" ht="15.75" customHeight="1" s="184">
      <c r="A222" s="19" t="n"/>
      <c r="B222" s="21">
        <f>IFERROR(IF(A653&lt;=0,"",TEXT(A653,"MMM YY")),"")</f>
        <v/>
      </c>
      <c r="C222" s="22" t="n"/>
      <c r="D222" s="23" t="n"/>
      <c r="E222" s="22" t="n"/>
      <c r="F222" s="25">
        <f>IFERROR(VLOOKUP(E653,SETTINGS!A:B,2,0),"No Value")</f>
        <v/>
      </c>
      <c r="G222" s="5" t="n"/>
      <c r="H222" s="5" t="n"/>
      <c r="I222" s="5" t="n"/>
    </row>
    <row r="223" ht="15.75" customHeight="1" s="184">
      <c r="A223" s="19" t="n"/>
      <c r="B223" s="21">
        <f>IFERROR(IF(A654&lt;=0,"",TEXT(A654,"MMM YY")),"")</f>
        <v/>
      </c>
      <c r="C223" s="22" t="n"/>
      <c r="D223" s="23" t="n"/>
      <c r="E223" s="22" t="n"/>
      <c r="F223" s="25">
        <f>IFERROR(VLOOKUP(E654,SETTINGS!A:B,2,0),"No Value")</f>
        <v/>
      </c>
      <c r="G223" s="5" t="n"/>
      <c r="H223" s="5" t="n"/>
      <c r="I223" s="5" t="n"/>
    </row>
    <row r="224" ht="15.75" customHeight="1" s="184">
      <c r="A224" s="19" t="n"/>
      <c r="B224" s="21">
        <f>IFERROR(IF(A655&lt;=0,"",TEXT(A655,"MMM YY")),"")</f>
        <v/>
      </c>
      <c r="C224" s="22" t="n"/>
      <c r="D224" s="23" t="n"/>
      <c r="E224" s="22" t="n"/>
      <c r="F224" s="25">
        <f>IFERROR(VLOOKUP(E655,SETTINGS!A:B,2,0),"No Value")</f>
        <v/>
      </c>
      <c r="G224" s="5" t="n"/>
      <c r="H224" s="5" t="n"/>
      <c r="I224" s="5" t="n"/>
    </row>
    <row r="225" ht="15.75" customHeight="1" s="184">
      <c r="A225" s="19" t="n"/>
      <c r="B225" s="21">
        <f>IFERROR(IF(A656&lt;=0,"",TEXT(A656,"MMM YY")),"")</f>
        <v/>
      </c>
      <c r="C225" s="22" t="n"/>
      <c r="D225" s="23" t="n"/>
      <c r="E225" s="22" t="n"/>
      <c r="F225" s="25">
        <f>IFERROR(VLOOKUP(E656,SETTINGS!A:B,2,0),"No Value")</f>
        <v/>
      </c>
      <c r="G225" s="5" t="n"/>
      <c r="H225" s="5" t="n"/>
      <c r="I225" s="5" t="n"/>
    </row>
    <row r="226" ht="15.75" customHeight="1" s="184">
      <c r="A226" s="19" t="n"/>
      <c r="B226" s="21">
        <f>IFERROR(IF(A657&lt;=0,"",TEXT(A657,"MMM YY")),"")</f>
        <v/>
      </c>
      <c r="C226" s="22" t="n"/>
      <c r="D226" s="23" t="n"/>
      <c r="E226" s="22" t="n"/>
      <c r="F226" s="25">
        <f>IFERROR(VLOOKUP(E657,SETTINGS!A:B,2,0),"No Value")</f>
        <v/>
      </c>
      <c r="G226" s="5" t="n"/>
      <c r="H226" s="5" t="n"/>
      <c r="I226" s="5" t="n"/>
    </row>
    <row r="227" ht="15.75" customHeight="1" s="184">
      <c r="A227" s="19" t="n"/>
      <c r="B227" s="21">
        <f>IFERROR(IF(A658&lt;=0,"",TEXT(A658,"MMM YY")),"")</f>
        <v/>
      </c>
      <c r="C227" s="22" t="n"/>
      <c r="D227" s="23" t="n"/>
      <c r="E227" s="22" t="n"/>
      <c r="F227" s="25">
        <f>IFERROR(VLOOKUP(E658,SETTINGS!A:B,2,0),"No Value")</f>
        <v/>
      </c>
      <c r="G227" s="5" t="n"/>
      <c r="H227" s="5" t="n"/>
      <c r="I227" s="5" t="n"/>
    </row>
    <row r="228" ht="15.75" customHeight="1" s="184">
      <c r="A228" s="19" t="n"/>
      <c r="B228" s="21">
        <f>IFERROR(IF(A659&lt;=0,"",TEXT(A659,"MMM YY")),"")</f>
        <v/>
      </c>
      <c r="C228" s="22" t="n"/>
      <c r="D228" s="23" t="n"/>
      <c r="E228" s="22" t="n"/>
      <c r="F228" s="25">
        <f>IFERROR(VLOOKUP(E659,SETTINGS!A:B,2,0),"No Value")</f>
        <v/>
      </c>
      <c r="G228" s="5" t="n"/>
      <c r="H228" s="5" t="n"/>
      <c r="I228" s="5" t="n"/>
    </row>
    <row r="229" ht="15.75" customHeight="1" s="184">
      <c r="A229" s="19" t="n"/>
      <c r="B229" s="21">
        <f>IFERROR(IF(A660&lt;=0,"",TEXT(A660,"MMM YY")),"")</f>
        <v/>
      </c>
      <c r="C229" s="22" t="n"/>
      <c r="D229" s="23" t="n"/>
      <c r="E229" s="22" t="n"/>
      <c r="F229" s="25">
        <f>IFERROR(VLOOKUP(E660,SETTINGS!A:B,2,0),"No Value")</f>
        <v/>
      </c>
      <c r="G229" s="5" t="n"/>
      <c r="H229" s="5" t="n"/>
      <c r="I229" s="5" t="n"/>
    </row>
    <row r="230" ht="15.75" customHeight="1" s="184">
      <c r="A230" s="19" t="n"/>
      <c r="B230" s="21">
        <f>IFERROR(IF(A661&lt;=0,"",TEXT(A661,"MMM YY")),"")</f>
        <v/>
      </c>
      <c r="C230" s="22" t="n"/>
      <c r="D230" s="23" t="n"/>
      <c r="E230" s="22" t="n"/>
      <c r="F230" s="25">
        <f>IFERROR(VLOOKUP(E661,SETTINGS!A:B,2,0),"No Value")</f>
        <v/>
      </c>
      <c r="G230" s="5" t="n"/>
      <c r="H230" s="5" t="n"/>
      <c r="I230" s="5" t="n"/>
    </row>
    <row r="231" ht="15.75" customHeight="1" s="184">
      <c r="A231" s="19" t="n"/>
      <c r="B231" s="21">
        <f>IFERROR(IF(A662&lt;=0,"",TEXT(A662,"MMM YY")),"")</f>
        <v/>
      </c>
      <c r="C231" s="22" t="n"/>
      <c r="D231" s="23" t="n"/>
      <c r="E231" s="22" t="n"/>
      <c r="F231" s="25">
        <f>IFERROR(VLOOKUP(E662,SETTINGS!A:B,2,0),"No Value")</f>
        <v/>
      </c>
      <c r="G231" s="5" t="n"/>
      <c r="H231" s="5" t="n"/>
      <c r="I231" s="5" t="n"/>
    </row>
    <row r="232" ht="15.75" customHeight="1" s="184">
      <c r="A232" s="19" t="n"/>
      <c r="B232" s="21">
        <f>IFERROR(IF(A663&lt;=0,"",TEXT(A663,"MMM YY")),"")</f>
        <v/>
      </c>
      <c r="C232" s="22" t="n"/>
      <c r="D232" s="23" t="n"/>
      <c r="E232" s="22" t="n"/>
      <c r="F232" s="25">
        <f>IFERROR(VLOOKUP(E663,SETTINGS!A:B,2,0),"No Value")</f>
        <v/>
      </c>
      <c r="G232" s="5" t="n"/>
      <c r="H232" s="5" t="n"/>
      <c r="I232" s="5" t="n"/>
    </row>
    <row r="233" ht="15.75" customHeight="1" s="184">
      <c r="A233" s="19" t="n"/>
      <c r="B233" s="21">
        <f>IFERROR(IF(A664&lt;=0,"",TEXT(A664,"MMM YY")),"")</f>
        <v/>
      </c>
      <c r="C233" s="22" t="n"/>
      <c r="D233" s="23" t="n"/>
      <c r="E233" s="22" t="n"/>
      <c r="F233" s="25">
        <f>IFERROR(VLOOKUP(E664,SETTINGS!A:B,2,0),"No Value")</f>
        <v/>
      </c>
      <c r="G233" s="5" t="n"/>
      <c r="H233" s="5" t="n"/>
      <c r="I233" s="5" t="n"/>
    </row>
    <row r="234" ht="15.75" customHeight="1" s="184">
      <c r="A234" s="19" t="n"/>
      <c r="B234" s="21">
        <f>IFERROR(IF(A665&lt;=0,"",TEXT(A665,"MMM YY")),"")</f>
        <v/>
      </c>
      <c r="C234" s="22" t="n"/>
      <c r="D234" s="23" t="n"/>
      <c r="E234" s="22" t="n"/>
      <c r="F234" s="25">
        <f>IFERROR(VLOOKUP(E665,SETTINGS!A:B,2,0),"No Value")</f>
        <v/>
      </c>
      <c r="G234" s="5" t="n"/>
      <c r="H234" s="5" t="n"/>
      <c r="I234" s="5" t="n"/>
    </row>
    <row r="235" ht="15.75" customHeight="1" s="184">
      <c r="A235" s="19" t="n"/>
      <c r="B235" s="21">
        <f>IFERROR(IF(A666&lt;=0,"",TEXT(A666,"MMM YY")),"")</f>
        <v/>
      </c>
      <c r="C235" s="22" t="n"/>
      <c r="D235" s="23" t="n"/>
      <c r="E235" s="22" t="n"/>
      <c r="F235" s="25">
        <f>IFERROR(VLOOKUP(E666,SETTINGS!A:B,2,0),"No Value")</f>
        <v/>
      </c>
      <c r="G235" s="5" t="n"/>
      <c r="H235" s="5" t="n"/>
      <c r="I235" s="5" t="n"/>
    </row>
    <row r="236" ht="15.75" customHeight="1" s="184">
      <c r="A236" s="19" t="n"/>
      <c r="B236" s="21">
        <f>IFERROR(IF(A667&lt;=0,"",TEXT(A667,"MMM YY")),"")</f>
        <v/>
      </c>
      <c r="C236" s="22" t="n"/>
      <c r="D236" s="23" t="n"/>
      <c r="E236" s="22" t="n"/>
      <c r="F236" s="25">
        <f>IFERROR(VLOOKUP(E667,SETTINGS!A:B,2,0),"No Value")</f>
        <v/>
      </c>
      <c r="G236" s="5" t="n"/>
      <c r="H236" s="5" t="n"/>
      <c r="I236" s="5" t="n"/>
    </row>
    <row r="237" ht="15.75" customHeight="1" s="184">
      <c r="A237" s="19" t="n"/>
      <c r="B237" s="21">
        <f>IFERROR(IF(A668&lt;=0,"",TEXT(A668,"MMM YY")),"")</f>
        <v/>
      </c>
      <c r="C237" s="22" t="n"/>
      <c r="D237" s="23" t="n"/>
      <c r="E237" s="22" t="n"/>
      <c r="F237" s="25">
        <f>IFERROR(VLOOKUP(E668,SETTINGS!A:B,2,0),"No Value")</f>
        <v/>
      </c>
      <c r="G237" s="5" t="n"/>
      <c r="H237" s="5" t="n"/>
      <c r="I237" s="5" t="n"/>
    </row>
    <row r="238" ht="15.75" customHeight="1" s="184">
      <c r="A238" s="19" t="n"/>
      <c r="B238" s="21">
        <f>IFERROR(IF(A669&lt;=0,"",TEXT(A669,"MMM YY")),"")</f>
        <v/>
      </c>
      <c r="C238" s="22" t="n"/>
      <c r="D238" s="23" t="n"/>
      <c r="E238" s="22" t="n"/>
      <c r="F238" s="25">
        <f>IFERROR(VLOOKUP(E669,SETTINGS!A:B,2,0),"No Value")</f>
        <v/>
      </c>
      <c r="G238" s="5" t="n"/>
      <c r="H238" s="5" t="n"/>
      <c r="I238" s="5" t="n"/>
    </row>
    <row r="239" ht="15.75" customHeight="1" s="184">
      <c r="A239" s="19" t="n"/>
      <c r="B239" s="21">
        <f>IFERROR(IF(A670&lt;=0,"",TEXT(A670,"MMM YY")),"")</f>
        <v/>
      </c>
      <c r="C239" s="22" t="n"/>
      <c r="D239" s="23" t="n"/>
      <c r="E239" s="22" t="n"/>
      <c r="F239" s="25">
        <f>IFERROR(VLOOKUP(E670,SETTINGS!A:B,2,0),"No Value")</f>
        <v/>
      </c>
      <c r="G239" s="5" t="n"/>
      <c r="H239" s="5" t="n"/>
      <c r="I239" s="5" t="n"/>
    </row>
    <row r="240" ht="15.75" customHeight="1" s="184">
      <c r="A240" s="19" t="n"/>
      <c r="B240" s="21">
        <f>IFERROR(IF(A671&lt;=0,"",TEXT(A671,"MMM YY")),"")</f>
        <v/>
      </c>
      <c r="C240" s="22" t="n"/>
      <c r="D240" s="23" t="n"/>
      <c r="E240" s="22" t="n"/>
      <c r="F240" s="25">
        <f>IFERROR(VLOOKUP(E671,SETTINGS!A:B,2,0),"No Value")</f>
        <v/>
      </c>
      <c r="G240" s="5" t="n"/>
      <c r="H240" s="5" t="n"/>
      <c r="I240" s="5" t="n"/>
    </row>
    <row r="241" ht="15.75" customHeight="1" s="184">
      <c r="A241" s="19" t="n"/>
      <c r="B241" s="21">
        <f>IFERROR(IF(A672&lt;=0,"",TEXT(A672,"MMM YY")),"")</f>
        <v/>
      </c>
      <c r="C241" s="22" t="n"/>
      <c r="D241" s="23" t="n"/>
      <c r="E241" s="22" t="n"/>
      <c r="F241" s="25">
        <f>IFERROR(VLOOKUP(E672,SETTINGS!A:B,2,0),"No Value")</f>
        <v/>
      </c>
      <c r="G241" s="5" t="n"/>
      <c r="H241" s="5" t="n"/>
      <c r="I241" s="5" t="n"/>
    </row>
    <row r="242" ht="15.75" customHeight="1" s="184">
      <c r="A242" s="19" t="n"/>
      <c r="B242" s="21">
        <f>IFERROR(IF(A673&lt;=0,"",TEXT(A673,"MMM YY")),"")</f>
        <v/>
      </c>
      <c r="C242" s="22" t="n"/>
      <c r="D242" s="23" t="n"/>
      <c r="E242" s="22" t="n"/>
      <c r="F242" s="25">
        <f>IFERROR(VLOOKUP(E673,SETTINGS!A:B,2,0),"No Value")</f>
        <v/>
      </c>
      <c r="G242" s="5" t="n"/>
      <c r="H242" s="5" t="n"/>
      <c r="I242" s="5" t="n"/>
    </row>
    <row r="243" ht="15.75" customHeight="1" s="184">
      <c r="A243" s="19" t="n"/>
      <c r="B243" s="21">
        <f>IFERROR(IF(A674&lt;=0,"",TEXT(A674,"MMM YY")),"")</f>
        <v/>
      </c>
      <c r="C243" s="22" t="n"/>
      <c r="D243" s="23" t="n"/>
      <c r="E243" s="22" t="n"/>
      <c r="F243" s="25">
        <f>IFERROR(VLOOKUP(E674,SETTINGS!A:B,2,0),"No Value")</f>
        <v/>
      </c>
      <c r="G243" s="5" t="n"/>
      <c r="H243" s="5" t="n"/>
      <c r="I243" s="5" t="n"/>
    </row>
    <row r="244" ht="15.75" customHeight="1" s="184">
      <c r="A244" s="19" t="n"/>
      <c r="B244" s="21">
        <f>IFERROR(IF(A675&lt;=0,"",TEXT(A675,"MMM YY")),"")</f>
        <v/>
      </c>
      <c r="C244" s="22" t="n"/>
      <c r="D244" s="23" t="n"/>
      <c r="E244" s="22" t="n"/>
      <c r="F244" s="25">
        <f>IFERROR(VLOOKUP(E675,SETTINGS!A:B,2,0),"No Value")</f>
        <v/>
      </c>
      <c r="G244" s="5" t="n"/>
      <c r="H244" s="5" t="n"/>
      <c r="I244" s="5" t="n"/>
    </row>
    <row r="245" ht="15.75" customHeight="1" s="184">
      <c r="A245" s="19" t="n"/>
      <c r="B245" s="21">
        <f>IFERROR(IF(A676&lt;=0,"",TEXT(A676,"MMM YY")),"")</f>
        <v/>
      </c>
      <c r="C245" s="22" t="n"/>
      <c r="D245" s="23" t="n"/>
      <c r="E245" s="22" t="n"/>
      <c r="F245" s="25">
        <f>IFERROR(VLOOKUP(E676,SETTINGS!A:B,2,0),"No Value")</f>
        <v/>
      </c>
      <c r="G245" s="5" t="n"/>
      <c r="H245" s="5" t="n"/>
      <c r="I245" s="5" t="n"/>
    </row>
    <row r="246" ht="15.75" customHeight="1" s="184">
      <c r="A246" s="19" t="n"/>
      <c r="B246" s="21">
        <f>IFERROR(IF(A677&lt;=0,"",TEXT(A677,"MMM YY")),"")</f>
        <v/>
      </c>
      <c r="C246" s="22" t="n"/>
      <c r="D246" s="23" t="n"/>
      <c r="E246" s="22" t="n"/>
      <c r="F246" s="25">
        <f>IFERROR(VLOOKUP(E677,SETTINGS!A:B,2,0),"No Value")</f>
        <v/>
      </c>
      <c r="G246" s="5" t="n"/>
      <c r="H246" s="5" t="n"/>
      <c r="I246" s="5" t="n"/>
    </row>
    <row r="247" ht="15.75" customHeight="1" s="184">
      <c r="A247" s="19" t="n"/>
      <c r="B247" s="21">
        <f>IFERROR(IF(A678&lt;=0,"",TEXT(A678,"MMM YY")),"")</f>
        <v/>
      </c>
      <c r="C247" s="22" t="n"/>
      <c r="D247" s="23" t="n"/>
      <c r="E247" s="22" t="n"/>
      <c r="F247" s="25">
        <f>IFERROR(VLOOKUP(E678,SETTINGS!A:B,2,0),"No Value")</f>
        <v/>
      </c>
      <c r="G247" s="5" t="n"/>
      <c r="H247" s="5" t="n"/>
      <c r="I247" s="5" t="n"/>
    </row>
    <row r="248" ht="15.75" customHeight="1" s="184">
      <c r="A248" s="19" t="n"/>
      <c r="B248" s="21">
        <f>IFERROR(IF(A679&lt;=0,"",TEXT(A679,"MMM YY")),"")</f>
        <v/>
      </c>
      <c r="C248" s="22" t="n"/>
      <c r="D248" s="23" t="n"/>
      <c r="E248" s="22" t="n"/>
      <c r="F248" s="25">
        <f>IFERROR(VLOOKUP(E679,SETTINGS!A:B,2,0),"No Value")</f>
        <v/>
      </c>
      <c r="G248" s="5" t="n"/>
      <c r="H248" s="5" t="n"/>
      <c r="I248" s="5" t="n"/>
    </row>
    <row r="249" ht="15.75" customHeight="1" s="184">
      <c r="A249" s="19" t="n"/>
      <c r="B249" s="21">
        <f>IFERROR(IF(A680&lt;=0,"",TEXT(A680,"MMM YY")),"")</f>
        <v/>
      </c>
      <c r="C249" s="22" t="n"/>
      <c r="D249" s="23" t="n"/>
      <c r="E249" s="22" t="n"/>
      <c r="F249" s="25">
        <f>IFERROR(VLOOKUP(E680,SETTINGS!A:B,2,0),"No Value")</f>
        <v/>
      </c>
      <c r="G249" s="5" t="n"/>
      <c r="H249" s="5" t="n"/>
      <c r="I249" s="5" t="n"/>
    </row>
    <row r="250" ht="15.75" customHeight="1" s="184">
      <c r="A250" s="19" t="n"/>
      <c r="B250" s="21">
        <f>IFERROR(IF(A681&lt;=0,"",TEXT(A681,"MMM YY")),"")</f>
        <v/>
      </c>
      <c r="C250" s="22" t="n"/>
      <c r="D250" s="23" t="n"/>
      <c r="E250" s="22" t="n"/>
      <c r="F250" s="25">
        <f>IFERROR(VLOOKUP(E681,SETTINGS!A:B,2,0),"No Value")</f>
        <v/>
      </c>
      <c r="G250" s="5" t="n"/>
      <c r="H250" s="5" t="n"/>
      <c r="I250" s="5" t="n"/>
    </row>
    <row r="251" ht="15.75" customHeight="1" s="184">
      <c r="A251" s="19" t="n"/>
      <c r="B251" s="21">
        <f>IFERROR(IF(A682&lt;=0,"",TEXT(A682,"MMM YY")),"")</f>
        <v/>
      </c>
      <c r="C251" s="22" t="n"/>
      <c r="D251" s="23" t="n"/>
      <c r="E251" s="22" t="n"/>
      <c r="F251" s="25">
        <f>IFERROR(VLOOKUP(E682,SETTINGS!A:B,2,0),"No Value")</f>
        <v/>
      </c>
      <c r="G251" s="5" t="n"/>
      <c r="H251" s="5" t="n"/>
      <c r="I251" s="5" t="n"/>
    </row>
    <row r="252" ht="15.75" customHeight="1" s="184">
      <c r="A252" s="19" t="n"/>
      <c r="B252" s="21">
        <f>IFERROR(IF(A683&lt;=0,"",TEXT(A683,"MMM YY")),"")</f>
        <v/>
      </c>
      <c r="C252" s="22" t="n"/>
      <c r="D252" s="23" t="n"/>
      <c r="E252" s="22" t="n"/>
      <c r="F252" s="25">
        <f>IFERROR(VLOOKUP(E683,SETTINGS!A:B,2,0),"No Value")</f>
        <v/>
      </c>
      <c r="G252" s="5" t="n"/>
      <c r="H252" s="5" t="n"/>
      <c r="I252" s="5" t="n"/>
    </row>
    <row r="253" ht="15.75" customHeight="1" s="184">
      <c r="A253" s="19" t="n"/>
      <c r="B253" s="21">
        <f>IFERROR(IF(A684&lt;=0,"",TEXT(A684,"MMM YY")),"")</f>
        <v/>
      </c>
      <c r="C253" s="22" t="n"/>
      <c r="D253" s="23" t="n"/>
      <c r="E253" s="22" t="n"/>
      <c r="F253" s="25">
        <f>IFERROR(VLOOKUP(E684,SETTINGS!A:B,2,0),"No Value")</f>
        <v/>
      </c>
      <c r="G253" s="5" t="n"/>
      <c r="H253" s="5" t="n"/>
      <c r="I253" s="5" t="n"/>
    </row>
    <row r="254" ht="15.75" customHeight="1" s="184">
      <c r="A254" s="19" t="n"/>
      <c r="B254" s="21">
        <f>IFERROR(IF(A685&lt;=0,"",TEXT(A685,"MMM YY")),"")</f>
        <v/>
      </c>
      <c r="C254" s="22" t="n"/>
      <c r="D254" s="23" t="n"/>
      <c r="E254" s="22" t="n"/>
      <c r="F254" s="25">
        <f>IFERROR(VLOOKUP(E685,SETTINGS!A:B,2,0),"No Value")</f>
        <v/>
      </c>
      <c r="G254" s="5" t="n"/>
      <c r="H254" s="5" t="n"/>
      <c r="I254" s="5" t="n"/>
    </row>
    <row r="255" ht="15.75" customHeight="1" s="184">
      <c r="A255" s="19" t="n"/>
      <c r="B255" s="21">
        <f>IFERROR(IF(A686&lt;=0,"",TEXT(A686,"MMM YY")),"")</f>
        <v/>
      </c>
      <c r="C255" s="22" t="n"/>
      <c r="D255" s="23" t="n"/>
      <c r="E255" s="22" t="n"/>
      <c r="F255" s="25">
        <f>IFERROR(VLOOKUP(E686,SETTINGS!A:B,2,0),"No Value")</f>
        <v/>
      </c>
      <c r="G255" s="5" t="n"/>
      <c r="H255" s="5" t="n"/>
      <c r="I255" s="5" t="n"/>
    </row>
    <row r="256" ht="15.75" customHeight="1" s="184">
      <c r="A256" s="19" t="n"/>
      <c r="B256" s="21">
        <f>IFERROR(IF(A687&lt;=0,"",TEXT(A687,"MMM YY")),"")</f>
        <v/>
      </c>
      <c r="C256" s="22" t="n"/>
      <c r="D256" s="23" t="n"/>
      <c r="E256" s="22" t="n"/>
      <c r="F256" s="25">
        <f>IFERROR(VLOOKUP(E687,SETTINGS!A:B,2,0),"No Value")</f>
        <v/>
      </c>
      <c r="G256" s="5" t="n"/>
      <c r="H256" s="5" t="n"/>
      <c r="I256" s="5" t="n"/>
    </row>
    <row r="257" ht="15.75" customHeight="1" s="184">
      <c r="A257" s="19" t="n"/>
      <c r="B257" s="21">
        <f>IFERROR(IF(A688&lt;=0,"",TEXT(A688,"MMM YY")),"")</f>
        <v/>
      </c>
      <c r="C257" s="22" t="n"/>
      <c r="D257" s="23" t="n"/>
      <c r="E257" s="22" t="n"/>
      <c r="F257" s="25">
        <f>IFERROR(VLOOKUP(E688,SETTINGS!A:B,2,0),"No Value")</f>
        <v/>
      </c>
      <c r="G257" s="5" t="n"/>
      <c r="H257" s="5" t="n"/>
      <c r="I257" s="5" t="n"/>
    </row>
    <row r="258" ht="15.75" customHeight="1" s="184">
      <c r="A258" s="19" t="n"/>
      <c r="B258" s="21">
        <f>IFERROR(IF(A689&lt;=0,"",TEXT(A689,"MMM YY")),"")</f>
        <v/>
      </c>
      <c r="C258" s="22" t="n"/>
      <c r="D258" s="23" t="n"/>
      <c r="E258" s="22" t="n"/>
      <c r="F258" s="25">
        <f>IFERROR(VLOOKUP(E689,SETTINGS!A:B,2,0),"No Value")</f>
        <v/>
      </c>
      <c r="G258" s="5" t="n"/>
      <c r="H258" s="5" t="n"/>
      <c r="I258" s="5" t="n"/>
    </row>
    <row r="259" ht="15.75" customHeight="1" s="184">
      <c r="A259" s="19" t="n"/>
      <c r="B259" s="21">
        <f>IFERROR(IF(A690&lt;=0,"",TEXT(A690,"MMM YY")),"")</f>
        <v/>
      </c>
      <c r="C259" s="22" t="n"/>
      <c r="D259" s="23" t="n"/>
      <c r="E259" s="22" t="n"/>
      <c r="F259" s="25">
        <f>IFERROR(VLOOKUP(E690,SETTINGS!A:B,2,0),"No Value")</f>
        <v/>
      </c>
      <c r="G259" s="5" t="n"/>
      <c r="H259" s="5" t="n"/>
      <c r="I259" s="5" t="n"/>
    </row>
    <row r="260" ht="15.75" customHeight="1" s="184">
      <c r="A260" s="19" t="n"/>
      <c r="B260" s="21">
        <f>IFERROR(IF(A691&lt;=0,"",TEXT(A691,"MMM YY")),"")</f>
        <v/>
      </c>
      <c r="C260" s="22" t="n"/>
      <c r="D260" s="23" t="n"/>
      <c r="E260" s="22" t="n"/>
      <c r="F260" s="25">
        <f>IFERROR(VLOOKUP(E691,SETTINGS!A:B,2,0),"No Value")</f>
        <v/>
      </c>
      <c r="G260" s="5" t="n"/>
      <c r="H260" s="5" t="n"/>
      <c r="I260" s="5" t="n"/>
    </row>
    <row r="261" ht="15.75" customHeight="1" s="184">
      <c r="A261" s="19" t="n"/>
      <c r="B261" s="21">
        <f>IFERROR(IF(A692&lt;=0,"",TEXT(A692,"MMM YY")),"")</f>
        <v/>
      </c>
      <c r="C261" s="22" t="n"/>
      <c r="D261" s="23" t="n"/>
      <c r="E261" s="22" t="n"/>
      <c r="F261" s="25">
        <f>IFERROR(VLOOKUP(E692,SETTINGS!A:B,2,0),"No Value")</f>
        <v/>
      </c>
      <c r="G261" s="5" t="n"/>
      <c r="H261" s="5" t="n"/>
      <c r="I261" s="5" t="n"/>
    </row>
    <row r="262" ht="15.75" customHeight="1" s="184">
      <c r="A262" s="19" t="n"/>
      <c r="B262" s="21">
        <f>IFERROR(IF(A693&lt;=0,"",TEXT(A693,"MMM YY")),"")</f>
        <v/>
      </c>
      <c r="C262" s="22" t="n"/>
      <c r="D262" s="23" t="n"/>
      <c r="E262" s="22" t="n"/>
      <c r="F262" s="25">
        <f>IFERROR(VLOOKUP(E693,SETTINGS!A:B,2,0),"No Value")</f>
        <v/>
      </c>
      <c r="G262" s="5" t="n"/>
      <c r="H262" s="5" t="n"/>
      <c r="I262" s="5" t="n"/>
    </row>
    <row r="263" ht="15.75" customHeight="1" s="184">
      <c r="A263" s="19" t="n"/>
      <c r="B263" s="21">
        <f>IFERROR(IF(A694&lt;=0,"",TEXT(A694,"MMM YY")),"")</f>
        <v/>
      </c>
      <c r="C263" s="22" t="n"/>
      <c r="D263" s="23" t="n"/>
      <c r="E263" s="22" t="n"/>
      <c r="F263" s="25">
        <f>IFERROR(VLOOKUP(E694,SETTINGS!A:B,2,0),"No Value")</f>
        <v/>
      </c>
      <c r="G263" s="5" t="n"/>
      <c r="H263" s="5" t="n"/>
      <c r="I263" s="5" t="n"/>
    </row>
    <row r="264" ht="15.75" customHeight="1" s="184">
      <c r="A264" s="19" t="n"/>
      <c r="B264" s="21">
        <f>IFERROR(IF(A695&lt;=0,"",TEXT(A695,"MMM YY")),"")</f>
        <v/>
      </c>
      <c r="C264" s="22" t="n"/>
      <c r="D264" s="23" t="n"/>
      <c r="E264" s="22" t="n"/>
      <c r="F264" s="25">
        <f>IFERROR(VLOOKUP(E695,SETTINGS!A:B,2,0),"No Value")</f>
        <v/>
      </c>
      <c r="G264" s="5" t="n"/>
      <c r="H264" s="5" t="n"/>
      <c r="I264" s="5" t="n"/>
    </row>
    <row r="265" ht="15.75" customHeight="1" s="184">
      <c r="A265" s="19" t="n"/>
      <c r="B265" s="21">
        <f>IFERROR(IF(A696&lt;=0,"",TEXT(A696,"MMM YY")),"")</f>
        <v/>
      </c>
      <c r="C265" s="22" t="n"/>
      <c r="D265" s="23" t="n"/>
      <c r="E265" s="22" t="n"/>
      <c r="F265" s="25">
        <f>IFERROR(VLOOKUP(E696,SETTINGS!A:B,2,0),"No Value")</f>
        <v/>
      </c>
      <c r="G265" s="5" t="n"/>
      <c r="H265" s="5" t="n"/>
      <c r="I265" s="5" t="n"/>
    </row>
    <row r="266" ht="15.75" customHeight="1" s="184">
      <c r="A266" s="19" t="n"/>
      <c r="B266" s="21">
        <f>IFERROR(IF(A697&lt;=0,"",TEXT(A697,"MMM YY")),"")</f>
        <v/>
      </c>
      <c r="C266" s="22" t="n"/>
      <c r="D266" s="23" t="n"/>
      <c r="E266" s="22" t="n"/>
      <c r="F266" s="25">
        <f>IFERROR(VLOOKUP(E697,SETTINGS!A:B,2,0),"No Value")</f>
        <v/>
      </c>
      <c r="G266" s="5" t="n"/>
      <c r="H266" s="5" t="n"/>
      <c r="I266" s="5" t="n"/>
    </row>
    <row r="267" ht="15.75" customHeight="1" s="184">
      <c r="A267" s="19" t="n"/>
      <c r="B267" s="21">
        <f>IFERROR(IF(A698&lt;=0,"",TEXT(A698,"MMM YY")),"")</f>
        <v/>
      </c>
      <c r="C267" s="22" t="n"/>
      <c r="D267" s="23" t="n"/>
      <c r="E267" s="22" t="n"/>
      <c r="F267" s="25">
        <f>IFERROR(VLOOKUP(E698,SETTINGS!A:B,2,0),"No Value")</f>
        <v/>
      </c>
      <c r="G267" s="5" t="n"/>
      <c r="H267" s="5" t="n"/>
      <c r="I267" s="5" t="n"/>
    </row>
    <row r="268" ht="15.75" customHeight="1" s="184">
      <c r="A268" s="19" t="n"/>
      <c r="B268" s="21">
        <f>IFERROR(IF(A699&lt;=0,"",TEXT(A699,"MMM YY")),"")</f>
        <v/>
      </c>
      <c r="C268" s="22" t="n"/>
      <c r="D268" s="23" t="n"/>
      <c r="E268" s="22" t="n"/>
      <c r="F268" s="25">
        <f>IFERROR(VLOOKUP(E699,SETTINGS!A:B,2,0),"No Value")</f>
        <v/>
      </c>
      <c r="G268" s="5" t="n"/>
      <c r="H268" s="5" t="n"/>
      <c r="I268" s="5" t="n"/>
    </row>
    <row r="269" ht="15.75" customHeight="1" s="184">
      <c r="A269" s="19" t="n"/>
      <c r="B269" s="21">
        <f>IFERROR(IF(A700&lt;=0,"",TEXT(A700,"MMM YY")),"")</f>
        <v/>
      </c>
      <c r="C269" s="22" t="n"/>
      <c r="D269" s="23" t="n"/>
      <c r="E269" s="22" t="n"/>
      <c r="F269" s="25">
        <f>IFERROR(VLOOKUP(E700,SETTINGS!A:B,2,0),"No Value")</f>
        <v/>
      </c>
      <c r="G269" s="5" t="n"/>
      <c r="H269" s="5" t="n"/>
      <c r="I269" s="5" t="n"/>
    </row>
    <row r="270" ht="15.75" customHeight="1" s="184">
      <c r="A270" s="19" t="n"/>
      <c r="B270" s="21">
        <f>IFERROR(IF(A701&lt;=0,"",TEXT(A701,"MMM YY")),"")</f>
        <v/>
      </c>
      <c r="C270" s="22" t="n"/>
      <c r="D270" s="23" t="n"/>
      <c r="E270" s="22" t="n"/>
      <c r="F270" s="25">
        <f>IFERROR(VLOOKUP(E701,SETTINGS!A:B,2,0),"No Value")</f>
        <v/>
      </c>
      <c r="G270" s="5" t="n"/>
      <c r="H270" s="5" t="n"/>
      <c r="I270" s="5" t="n"/>
    </row>
    <row r="271" ht="15.75" customHeight="1" s="184">
      <c r="A271" s="19" t="n"/>
      <c r="B271" s="21">
        <f>IFERROR(IF(A702&lt;=0,"",TEXT(A702,"MMM YY")),"")</f>
        <v/>
      </c>
      <c r="C271" s="22" t="n"/>
      <c r="D271" s="23" t="n"/>
      <c r="E271" s="22" t="n"/>
      <c r="F271" s="25">
        <f>IFERROR(VLOOKUP(E702,SETTINGS!A:B,2,0),"No Value")</f>
        <v/>
      </c>
      <c r="G271" s="5" t="n"/>
      <c r="H271" s="5" t="n"/>
      <c r="I271" s="5" t="n"/>
    </row>
    <row r="272" ht="15.75" customHeight="1" s="184">
      <c r="A272" s="19" t="n"/>
      <c r="B272" s="21">
        <f>IFERROR(IF(A703&lt;=0,"",TEXT(A703,"MMM YY")),"")</f>
        <v/>
      </c>
      <c r="C272" s="22" t="n"/>
      <c r="D272" s="23" t="n"/>
      <c r="E272" s="22" t="n"/>
      <c r="F272" s="25">
        <f>IFERROR(VLOOKUP(E703,SETTINGS!A:B,2,0),"No Value")</f>
        <v/>
      </c>
      <c r="G272" s="5" t="n"/>
      <c r="H272" s="5" t="n"/>
      <c r="I272" s="5" t="n"/>
    </row>
    <row r="273" ht="15.75" customHeight="1" s="184">
      <c r="A273" s="19" t="n"/>
      <c r="B273" s="21">
        <f>IFERROR(IF(A704&lt;=0,"",TEXT(A704,"MMM YY")),"")</f>
        <v/>
      </c>
      <c r="C273" s="22" t="n"/>
      <c r="D273" s="23" t="n"/>
      <c r="E273" s="22" t="n"/>
      <c r="F273" s="25">
        <f>IFERROR(VLOOKUP(E704,SETTINGS!A:B,2,0),"No Value")</f>
        <v/>
      </c>
      <c r="G273" s="5" t="n"/>
      <c r="H273" s="5" t="n"/>
      <c r="I273" s="5" t="n"/>
    </row>
    <row r="274" ht="15.75" customHeight="1" s="184">
      <c r="A274" s="19" t="n"/>
      <c r="B274" s="21">
        <f>IFERROR(IF(A705&lt;=0,"",TEXT(A705,"MMM YY")),"")</f>
        <v/>
      </c>
      <c r="C274" s="22" t="n"/>
      <c r="D274" s="23" t="n"/>
      <c r="E274" s="22" t="n"/>
      <c r="F274" s="25">
        <f>IFERROR(VLOOKUP(E705,SETTINGS!A:B,2,0),"No Value")</f>
        <v/>
      </c>
      <c r="G274" s="5" t="n"/>
      <c r="H274" s="5" t="n"/>
      <c r="I274" s="5" t="n"/>
    </row>
    <row r="275" ht="15.75" customHeight="1" s="184">
      <c r="A275" s="19" t="n"/>
      <c r="B275" s="21">
        <f>IFERROR(IF(A706&lt;=0,"",TEXT(A706,"MMM YY")),"")</f>
        <v/>
      </c>
      <c r="C275" s="22" t="n"/>
      <c r="D275" s="23" t="n"/>
      <c r="E275" s="22" t="n"/>
      <c r="F275" s="25">
        <f>IFERROR(VLOOKUP(E706,SETTINGS!A:B,2,0),"No Value")</f>
        <v/>
      </c>
      <c r="G275" s="5" t="n"/>
      <c r="H275" s="5" t="n"/>
      <c r="I275" s="5" t="n"/>
    </row>
    <row r="276" ht="15.75" customHeight="1" s="184">
      <c r="A276" s="19" t="n"/>
      <c r="B276" s="21">
        <f>IFERROR(IF(A707&lt;=0,"",TEXT(A707,"MMM YY")),"")</f>
        <v/>
      </c>
      <c r="C276" s="22" t="n"/>
      <c r="D276" s="23" t="n"/>
      <c r="E276" s="22" t="n"/>
      <c r="F276" s="25">
        <f>IFERROR(VLOOKUP(E707,SETTINGS!A:B,2,0),"No Value")</f>
        <v/>
      </c>
      <c r="G276" s="5" t="n"/>
      <c r="H276" s="5" t="n"/>
      <c r="I276" s="5" t="n"/>
    </row>
    <row r="277" ht="15.75" customHeight="1" s="184">
      <c r="A277" s="19" t="n"/>
      <c r="B277" s="21">
        <f>IFERROR(IF(A708&lt;=0,"",TEXT(A708,"MMM YY")),"")</f>
        <v/>
      </c>
      <c r="C277" s="22" t="n"/>
      <c r="D277" s="23" t="n"/>
      <c r="E277" s="22" t="n"/>
      <c r="F277" s="25">
        <f>IFERROR(VLOOKUP(E708,SETTINGS!A:B,2,0),"No Value")</f>
        <v/>
      </c>
      <c r="G277" s="5" t="n"/>
      <c r="H277" s="5" t="n"/>
      <c r="I277" s="5" t="n"/>
    </row>
    <row r="278" ht="15.75" customHeight="1" s="184">
      <c r="A278" s="19" t="n"/>
      <c r="B278" s="21">
        <f>IFERROR(IF(A709&lt;=0,"",TEXT(A709,"MMM YY")),"")</f>
        <v/>
      </c>
      <c r="C278" s="22" t="n"/>
      <c r="D278" s="23" t="n"/>
      <c r="E278" s="22" t="n"/>
      <c r="F278" s="25">
        <f>IFERROR(VLOOKUP(E709,SETTINGS!A:B,2,0),"No Value")</f>
        <v/>
      </c>
      <c r="G278" s="5" t="n"/>
      <c r="H278" s="5" t="n"/>
      <c r="I278" s="5" t="n"/>
    </row>
    <row r="279" ht="15.75" customHeight="1" s="184">
      <c r="A279" s="19" t="n"/>
      <c r="B279" s="21">
        <f>IFERROR(IF(A710&lt;=0,"",TEXT(A710,"MMM YY")),"")</f>
        <v/>
      </c>
      <c r="C279" s="22" t="n"/>
      <c r="D279" s="23" t="n"/>
      <c r="E279" s="22" t="n"/>
      <c r="F279" s="25">
        <f>IFERROR(VLOOKUP(E710,SETTINGS!A:B,2,0),"No Value")</f>
        <v/>
      </c>
      <c r="G279" s="5" t="n"/>
      <c r="H279" s="5" t="n"/>
      <c r="I279" s="5" t="n"/>
    </row>
    <row r="280" ht="15.75" customHeight="1" s="184">
      <c r="A280" s="19" t="n"/>
      <c r="B280" s="21">
        <f>IFERROR(IF(A711&lt;=0,"",TEXT(A711,"MMM YY")),"")</f>
        <v/>
      </c>
      <c r="C280" s="22" t="n"/>
      <c r="D280" s="23" t="n"/>
      <c r="E280" s="22" t="n"/>
      <c r="F280" s="25">
        <f>IFERROR(VLOOKUP(E711,SETTINGS!A:B,2,0),"No Value")</f>
        <v/>
      </c>
      <c r="G280" s="5" t="n"/>
      <c r="H280" s="5" t="n"/>
      <c r="I280" s="5" t="n"/>
    </row>
    <row r="281" ht="15.75" customHeight="1" s="184">
      <c r="A281" s="19" t="n"/>
      <c r="B281" s="21">
        <f>IFERROR(IF(A712&lt;=0,"",TEXT(A712,"MMM YY")),"")</f>
        <v/>
      </c>
      <c r="C281" s="22" t="n"/>
      <c r="D281" s="23" t="n"/>
      <c r="E281" s="22" t="n"/>
      <c r="F281" s="25">
        <f>IFERROR(VLOOKUP(E712,SETTINGS!A:B,2,0),"No Value")</f>
        <v/>
      </c>
      <c r="G281" s="5" t="n"/>
      <c r="H281" s="5" t="n"/>
      <c r="I281" s="5" t="n"/>
    </row>
    <row r="282" ht="15.75" customHeight="1" s="184">
      <c r="A282" s="19" t="n"/>
      <c r="B282" s="21">
        <f>IFERROR(IF(A713&lt;=0,"",TEXT(A713,"MMM YY")),"")</f>
        <v/>
      </c>
      <c r="C282" s="22" t="n"/>
      <c r="D282" s="23" t="n"/>
      <c r="E282" s="22" t="n"/>
      <c r="F282" s="25">
        <f>IFERROR(VLOOKUP(E713,SETTINGS!A:B,2,0),"No Value")</f>
        <v/>
      </c>
      <c r="G282" s="5" t="n"/>
      <c r="H282" s="5" t="n"/>
      <c r="I282" s="5" t="n"/>
    </row>
    <row r="283" ht="15.75" customHeight="1" s="184">
      <c r="A283" s="19" t="n"/>
      <c r="B283" s="21">
        <f>IFERROR(IF(A714&lt;=0,"",TEXT(A714,"MMM YY")),"")</f>
        <v/>
      </c>
      <c r="C283" s="22" t="n"/>
      <c r="D283" s="23" t="n"/>
      <c r="E283" s="22" t="n"/>
      <c r="F283" s="25">
        <f>IFERROR(VLOOKUP(E714,SETTINGS!A:B,2,0),"No Value")</f>
        <v/>
      </c>
      <c r="G283" s="5" t="n"/>
      <c r="H283" s="5" t="n"/>
      <c r="I283" s="5" t="n"/>
    </row>
    <row r="284" ht="15.75" customHeight="1" s="184">
      <c r="A284" s="19" t="n"/>
      <c r="B284" s="21">
        <f>IFERROR(IF(A715&lt;=0,"",TEXT(A715,"MMM YY")),"")</f>
        <v/>
      </c>
      <c r="C284" s="22" t="n"/>
      <c r="D284" s="23" t="n"/>
      <c r="E284" s="22" t="n"/>
      <c r="F284" s="25">
        <f>IFERROR(VLOOKUP(E715,SETTINGS!A:B,2,0),"No Value")</f>
        <v/>
      </c>
      <c r="G284" s="5" t="n"/>
      <c r="H284" s="5" t="n"/>
      <c r="I284" s="5" t="n"/>
    </row>
    <row r="285" ht="15.75" customHeight="1" s="184">
      <c r="A285" s="19" t="n"/>
      <c r="B285" s="21">
        <f>IFERROR(IF(A716&lt;=0,"",TEXT(A716,"MMM YY")),"")</f>
        <v/>
      </c>
      <c r="C285" s="22" t="n"/>
      <c r="D285" s="23" t="n"/>
      <c r="E285" s="22" t="n"/>
      <c r="F285" s="25">
        <f>IFERROR(VLOOKUP(E716,SETTINGS!A:B,2,0),"No Value")</f>
        <v/>
      </c>
      <c r="G285" s="5" t="n"/>
      <c r="H285" s="5" t="n"/>
      <c r="I285" s="5" t="n"/>
    </row>
    <row r="286" ht="15.75" customHeight="1" s="184">
      <c r="A286" s="19" t="n"/>
      <c r="B286" s="21">
        <f>IFERROR(IF(A717&lt;=0,"",TEXT(A717,"MMM YY")),"")</f>
        <v/>
      </c>
      <c r="C286" s="22" t="n"/>
      <c r="D286" s="23" t="n"/>
      <c r="E286" s="22" t="n"/>
      <c r="F286" s="25">
        <f>IFERROR(VLOOKUP(E717,SETTINGS!A:B,2,0),"No Value")</f>
        <v/>
      </c>
      <c r="G286" s="5" t="n"/>
      <c r="H286" s="5" t="n"/>
      <c r="I286" s="5" t="n"/>
    </row>
    <row r="287" ht="15.75" customHeight="1" s="184">
      <c r="A287" s="19" t="n"/>
      <c r="B287" s="21">
        <f>IFERROR(IF(A718&lt;=0,"",TEXT(A718,"MMM YY")),"")</f>
        <v/>
      </c>
      <c r="C287" s="22" t="n"/>
      <c r="D287" s="23" t="n"/>
      <c r="E287" s="22" t="n"/>
      <c r="F287" s="25">
        <f>IFERROR(VLOOKUP(E718,SETTINGS!A:B,2,0),"No Value")</f>
        <v/>
      </c>
      <c r="G287" s="5" t="n"/>
      <c r="H287" s="5" t="n"/>
      <c r="I287" s="5" t="n"/>
    </row>
    <row r="288" ht="15.75" customHeight="1" s="184">
      <c r="A288" s="19" t="n"/>
      <c r="B288" s="21">
        <f>IFERROR(IF(A719&lt;=0,"",TEXT(A719,"MMM YY")),"")</f>
        <v/>
      </c>
      <c r="C288" s="22" t="n"/>
      <c r="D288" s="23" t="n"/>
      <c r="E288" s="22" t="n"/>
      <c r="F288" s="25">
        <f>IFERROR(VLOOKUP(E719,SETTINGS!A:B,2,0),"No Value")</f>
        <v/>
      </c>
      <c r="G288" s="5" t="n"/>
      <c r="H288" s="5" t="n"/>
      <c r="I288" s="5" t="n"/>
    </row>
    <row r="289" ht="15.75" customHeight="1" s="184">
      <c r="A289" s="19" t="n"/>
      <c r="B289" s="21">
        <f>IFERROR(IF(A720&lt;=0,"",TEXT(A720,"MMM YY")),"")</f>
        <v/>
      </c>
      <c r="C289" s="22" t="n"/>
      <c r="D289" s="23" t="n"/>
      <c r="E289" s="22" t="n"/>
      <c r="F289" s="25">
        <f>IFERROR(VLOOKUP(E720,SETTINGS!A:B,2,0),"No Value")</f>
        <v/>
      </c>
      <c r="G289" s="5" t="n"/>
      <c r="H289" s="5" t="n"/>
      <c r="I289" s="5" t="n"/>
    </row>
    <row r="290" ht="15.75" customHeight="1" s="184">
      <c r="A290" s="19" t="n"/>
      <c r="B290" s="21">
        <f>IFERROR(IF(A721&lt;=0,"",TEXT(A721,"MMM YY")),"")</f>
        <v/>
      </c>
      <c r="C290" s="22" t="n"/>
      <c r="D290" s="23" t="n"/>
      <c r="E290" s="22" t="n"/>
      <c r="F290" s="25">
        <f>IFERROR(VLOOKUP(E721,SETTINGS!A:B,2,0),"No Value")</f>
        <v/>
      </c>
      <c r="G290" s="5" t="n"/>
      <c r="H290" s="5" t="n"/>
      <c r="I290" s="5" t="n"/>
    </row>
    <row r="291" ht="15.75" customHeight="1" s="184">
      <c r="A291" s="19" t="n"/>
      <c r="B291" s="21">
        <f>IFERROR(IF(A722&lt;=0,"",TEXT(A722,"MMM YY")),"")</f>
        <v/>
      </c>
      <c r="C291" s="22" t="n"/>
      <c r="D291" s="23" t="n"/>
      <c r="E291" s="22" t="n"/>
      <c r="F291" s="25">
        <f>IFERROR(VLOOKUP(E722,SETTINGS!A:B,2,0),"No Value")</f>
        <v/>
      </c>
      <c r="G291" s="5" t="n"/>
      <c r="H291" s="5" t="n"/>
      <c r="I291" s="5" t="n"/>
    </row>
    <row r="292" ht="15.75" customHeight="1" s="184">
      <c r="A292" s="19" t="n"/>
      <c r="B292" s="21">
        <f>IFERROR(IF(A723&lt;=0,"",TEXT(A723,"MMM YY")),"")</f>
        <v/>
      </c>
      <c r="C292" s="22" t="n"/>
      <c r="D292" s="23" t="n"/>
      <c r="E292" s="22" t="n"/>
      <c r="F292" s="25">
        <f>IFERROR(VLOOKUP(E723,SETTINGS!A:B,2,0),"No Value")</f>
        <v/>
      </c>
      <c r="G292" s="5" t="n"/>
      <c r="H292" s="5" t="n"/>
      <c r="I292" s="5" t="n"/>
    </row>
    <row r="293" ht="15.75" customHeight="1" s="184">
      <c r="A293" s="19" t="n"/>
      <c r="B293" s="21">
        <f>IFERROR(IF(A724&lt;=0,"",TEXT(A724,"MMM YY")),"")</f>
        <v/>
      </c>
      <c r="C293" s="22" t="n"/>
      <c r="D293" s="23" t="n"/>
      <c r="E293" s="22" t="n"/>
      <c r="F293" s="25">
        <f>IFERROR(VLOOKUP(E724,SETTINGS!A:B,2,0),"No Value")</f>
        <v/>
      </c>
      <c r="G293" s="5" t="n"/>
      <c r="H293" s="5" t="n"/>
      <c r="I293" s="5" t="n"/>
    </row>
    <row r="294" ht="15.75" customHeight="1" s="184">
      <c r="A294" s="19" t="n"/>
      <c r="B294" s="21">
        <f>IFERROR(IF(A725&lt;=0,"",TEXT(A725,"MMM YY")),"")</f>
        <v/>
      </c>
      <c r="C294" s="22" t="n"/>
      <c r="D294" s="23" t="n"/>
      <c r="E294" s="22" t="n"/>
      <c r="F294" s="25">
        <f>IFERROR(VLOOKUP(E725,SETTINGS!A:B,2,0),"No Value")</f>
        <v/>
      </c>
      <c r="G294" s="5" t="n"/>
      <c r="H294" s="5" t="n"/>
      <c r="I294" s="5" t="n"/>
    </row>
    <row r="295" ht="15.75" customHeight="1" s="184">
      <c r="A295" s="19" t="n"/>
      <c r="B295" s="21">
        <f>IFERROR(IF(A726&lt;=0,"",TEXT(A726,"MMM YY")),"")</f>
        <v/>
      </c>
      <c r="C295" s="22" t="n"/>
      <c r="D295" s="23" t="n"/>
      <c r="E295" s="22" t="n"/>
      <c r="F295" s="25">
        <f>IFERROR(VLOOKUP(E726,SETTINGS!A:B,2,0),"No Value")</f>
        <v/>
      </c>
      <c r="G295" s="5" t="n"/>
      <c r="H295" s="5" t="n"/>
      <c r="I295" s="5" t="n"/>
    </row>
    <row r="296" ht="15.75" customHeight="1" s="184">
      <c r="A296" s="19" t="n"/>
      <c r="B296" s="21">
        <f>IFERROR(IF(A727&lt;=0,"",TEXT(A727,"MMM YY")),"")</f>
        <v/>
      </c>
      <c r="C296" s="22" t="n"/>
      <c r="D296" s="23" t="n"/>
      <c r="E296" s="22" t="n"/>
      <c r="F296" s="25">
        <f>IFERROR(VLOOKUP(E727,SETTINGS!A:B,2,0),"No Value")</f>
        <v/>
      </c>
      <c r="G296" s="5" t="n"/>
      <c r="H296" s="5" t="n"/>
      <c r="I296" s="5" t="n"/>
    </row>
    <row r="297" ht="15.75" customHeight="1" s="184">
      <c r="A297" s="19" t="n"/>
      <c r="B297" s="21">
        <f>IFERROR(IF(A728&lt;=0,"",TEXT(A728,"MMM YY")),"")</f>
        <v/>
      </c>
      <c r="C297" s="22" t="n"/>
      <c r="D297" s="23" t="n"/>
      <c r="E297" s="22" t="n"/>
      <c r="F297" s="25">
        <f>IFERROR(VLOOKUP(E728,SETTINGS!A:B,2,0),"No Value")</f>
        <v/>
      </c>
      <c r="G297" s="5" t="n"/>
      <c r="H297" s="5" t="n"/>
      <c r="I297" s="5" t="n"/>
    </row>
    <row r="298" ht="15.75" customHeight="1" s="184">
      <c r="A298" s="19" t="n"/>
      <c r="B298" s="21">
        <f>IFERROR(IF(A729&lt;=0,"",TEXT(A729,"MMM YY")),"")</f>
        <v/>
      </c>
      <c r="C298" s="22" t="n"/>
      <c r="D298" s="23" t="n"/>
      <c r="E298" s="22" t="n"/>
      <c r="F298" s="25">
        <f>IFERROR(VLOOKUP(E729,SETTINGS!A:B,2,0),"No Value")</f>
        <v/>
      </c>
      <c r="G298" s="5" t="n"/>
      <c r="H298" s="5" t="n"/>
      <c r="I298" s="5" t="n"/>
    </row>
    <row r="299" ht="15.75" customHeight="1" s="184">
      <c r="A299" s="19" t="n"/>
      <c r="B299" s="21">
        <f>IFERROR(IF(A730&lt;=0,"",TEXT(A730,"MMM YY")),"")</f>
        <v/>
      </c>
      <c r="C299" s="22" t="n"/>
      <c r="D299" s="23" t="n"/>
      <c r="E299" s="22" t="n"/>
      <c r="F299" s="25">
        <f>IFERROR(VLOOKUP(E730,SETTINGS!A:B,2,0),"No Value")</f>
        <v/>
      </c>
      <c r="G299" s="5" t="n"/>
      <c r="H299" s="5" t="n"/>
      <c r="I299" s="5" t="n"/>
    </row>
    <row r="300" ht="15.75" customHeight="1" s="184">
      <c r="A300" s="19" t="n"/>
      <c r="B300" s="21">
        <f>IFERROR(IF(A731&lt;=0,"",TEXT(A731,"MMM YY")),"")</f>
        <v/>
      </c>
      <c r="C300" s="22" t="n"/>
      <c r="D300" s="23" t="n"/>
      <c r="E300" s="22" t="n"/>
      <c r="F300" s="25">
        <f>IFERROR(VLOOKUP(E731,SETTINGS!A:B,2,0),"No Value")</f>
        <v/>
      </c>
      <c r="G300" s="5" t="n"/>
      <c r="H300" s="5" t="n"/>
      <c r="I300" s="5" t="n"/>
    </row>
    <row r="301" ht="15.75" customHeight="1" s="184">
      <c r="A301" s="19" t="n"/>
      <c r="B301" s="21">
        <f>IFERROR(IF(A732&lt;=0,"",TEXT(A732,"MMM YY")),"")</f>
        <v/>
      </c>
      <c r="C301" s="22" t="n"/>
      <c r="D301" s="23" t="n"/>
      <c r="E301" s="22" t="n"/>
      <c r="F301" s="25">
        <f>IFERROR(VLOOKUP(E732,SETTINGS!A:B,2,0),"No Value")</f>
        <v/>
      </c>
      <c r="G301" s="5" t="n"/>
      <c r="H301" s="5" t="n"/>
      <c r="I301" s="5" t="n"/>
    </row>
    <row r="302" ht="15.75" customHeight="1" s="184">
      <c r="A302" s="19" t="n"/>
      <c r="B302" s="21">
        <f>IFERROR(IF(A733&lt;=0,"",TEXT(A733,"MMM YY")),"")</f>
        <v/>
      </c>
      <c r="C302" s="22" t="n"/>
      <c r="D302" s="23" t="n"/>
      <c r="E302" s="22" t="n"/>
      <c r="F302" s="25">
        <f>IFERROR(VLOOKUP(E733,SETTINGS!A:B,2,0),"No Value")</f>
        <v/>
      </c>
      <c r="G302" s="5" t="n"/>
      <c r="H302" s="5" t="n"/>
      <c r="I302" s="5" t="n"/>
    </row>
    <row r="303" ht="15.75" customHeight="1" s="184">
      <c r="A303" s="19" t="n"/>
      <c r="B303" s="21">
        <f>IFERROR(IF(A734&lt;=0,"",TEXT(A734,"MMM YY")),"")</f>
        <v/>
      </c>
      <c r="C303" s="22" t="n"/>
      <c r="D303" s="23" t="n"/>
      <c r="E303" s="22" t="n"/>
      <c r="F303" s="25">
        <f>IFERROR(VLOOKUP(E734,SETTINGS!A:B,2,0),"No Value")</f>
        <v/>
      </c>
      <c r="G303" s="5" t="n"/>
      <c r="H303" s="5" t="n"/>
      <c r="I303" s="5" t="n"/>
    </row>
    <row r="304" ht="15.75" customHeight="1" s="184">
      <c r="A304" s="19" t="n"/>
      <c r="B304" s="21">
        <f>IFERROR(IF(A735&lt;=0,"",TEXT(A735,"MMM YY")),"")</f>
        <v/>
      </c>
      <c r="C304" s="22" t="n"/>
      <c r="D304" s="23" t="n"/>
      <c r="E304" s="22" t="n"/>
      <c r="F304" s="25">
        <f>IFERROR(VLOOKUP(E735,SETTINGS!A:B,2,0),"No Value")</f>
        <v/>
      </c>
      <c r="G304" s="5" t="n"/>
      <c r="H304" s="5" t="n"/>
      <c r="I304" s="5" t="n"/>
    </row>
    <row r="305" ht="15.75" customHeight="1" s="184">
      <c r="A305" s="19" t="n"/>
      <c r="B305" s="21">
        <f>IFERROR(IF(A736&lt;=0,"",TEXT(A736,"MMM YY")),"")</f>
        <v/>
      </c>
      <c r="C305" s="22" t="n"/>
      <c r="D305" s="23" t="n"/>
      <c r="E305" s="22" t="n"/>
      <c r="F305" s="25">
        <f>IFERROR(VLOOKUP(E736,SETTINGS!A:B,2,0),"No Value")</f>
        <v/>
      </c>
      <c r="G305" s="5" t="n"/>
      <c r="H305" s="5" t="n"/>
      <c r="I305" s="5" t="n"/>
    </row>
    <row r="306" ht="15.75" customHeight="1" s="184">
      <c r="A306" s="19" t="n"/>
      <c r="B306" s="21">
        <f>IFERROR(IF(A737&lt;=0,"",TEXT(A737,"MMM YY")),"")</f>
        <v/>
      </c>
      <c r="C306" s="22" t="n"/>
      <c r="D306" s="23" t="n"/>
      <c r="E306" s="22" t="n"/>
      <c r="F306" s="25">
        <f>IFERROR(VLOOKUP(E737,SETTINGS!A:B,2,0),"No Value")</f>
        <v/>
      </c>
      <c r="G306" s="5" t="n"/>
      <c r="H306" s="5" t="n"/>
      <c r="I306" s="5" t="n"/>
    </row>
    <row r="307" ht="15.75" customHeight="1" s="184">
      <c r="A307" s="19" t="n"/>
      <c r="B307" s="21">
        <f>IFERROR(IF(A738&lt;=0,"",TEXT(A738,"MMM YY")),"")</f>
        <v/>
      </c>
      <c r="C307" s="22" t="n"/>
      <c r="D307" s="23" t="n"/>
      <c r="E307" s="22" t="n"/>
      <c r="F307" s="25">
        <f>IFERROR(VLOOKUP(E738,SETTINGS!A:B,2,0),"No Value")</f>
        <v/>
      </c>
      <c r="G307" s="5" t="n"/>
      <c r="H307" s="5" t="n"/>
      <c r="I307" s="5" t="n"/>
    </row>
    <row r="308" ht="15.75" customHeight="1" s="184">
      <c r="A308" s="19" t="n"/>
      <c r="B308" s="21">
        <f>IFERROR(IF(A739&lt;=0,"",TEXT(A739,"MMM YY")),"")</f>
        <v/>
      </c>
      <c r="C308" s="22" t="n"/>
      <c r="D308" s="23" t="n"/>
      <c r="E308" s="22" t="n"/>
      <c r="F308" s="25">
        <f>IFERROR(VLOOKUP(E739,SETTINGS!A:B,2,0),"No Value")</f>
        <v/>
      </c>
      <c r="G308" s="5" t="n"/>
      <c r="H308" s="5" t="n"/>
      <c r="I308" s="5" t="n"/>
    </row>
    <row r="309" ht="15.75" customHeight="1" s="184">
      <c r="A309" s="19" t="n"/>
      <c r="B309" s="21">
        <f>IFERROR(IF(A740&lt;=0,"",TEXT(A740,"MMM YY")),"")</f>
        <v/>
      </c>
      <c r="C309" s="22" t="n"/>
      <c r="D309" s="23" t="n"/>
      <c r="E309" s="22" t="n"/>
      <c r="F309" s="25">
        <f>IFERROR(VLOOKUP(E740,SETTINGS!A:B,2,0),"No Value")</f>
        <v/>
      </c>
      <c r="G309" s="5" t="n"/>
      <c r="H309" s="5" t="n"/>
      <c r="I309" s="5" t="n"/>
    </row>
    <row r="310" ht="15.75" customHeight="1" s="184">
      <c r="A310" s="19" t="n"/>
      <c r="B310" s="21">
        <f>IFERROR(IF(A741&lt;=0,"",TEXT(A741,"MMM YY")),"")</f>
        <v/>
      </c>
      <c r="C310" s="22" t="n"/>
      <c r="D310" s="23" t="n"/>
      <c r="E310" s="22" t="n"/>
      <c r="F310" s="25">
        <f>IFERROR(VLOOKUP(E741,SETTINGS!A:B,2,0),"No Value")</f>
        <v/>
      </c>
      <c r="G310" s="5" t="n"/>
      <c r="H310" s="5" t="n"/>
      <c r="I310" s="5" t="n"/>
    </row>
    <row r="311" ht="15.75" customHeight="1" s="184">
      <c r="A311" s="19" t="n"/>
      <c r="B311" s="21">
        <f>IFERROR(IF(A742&lt;=0,"",TEXT(A742,"MMM YY")),"")</f>
        <v/>
      </c>
      <c r="C311" s="22" t="n"/>
      <c r="D311" s="23" t="n"/>
      <c r="E311" s="22" t="n"/>
      <c r="F311" s="25">
        <f>IFERROR(VLOOKUP(E742,SETTINGS!A:B,2,0),"No Value")</f>
        <v/>
      </c>
      <c r="G311" s="5" t="n"/>
      <c r="H311" s="5" t="n"/>
      <c r="I311" s="5" t="n"/>
    </row>
    <row r="312" ht="15.75" customHeight="1" s="184">
      <c r="A312" s="19" t="n"/>
      <c r="B312" s="21">
        <f>IFERROR(IF(A743&lt;=0,"",TEXT(A743,"MMM YY")),"")</f>
        <v/>
      </c>
      <c r="C312" s="22" t="n"/>
      <c r="D312" s="23" t="n"/>
      <c r="E312" s="22" t="n"/>
      <c r="F312" s="25">
        <f>IFERROR(VLOOKUP(E743,SETTINGS!A:B,2,0),"No Value")</f>
        <v/>
      </c>
      <c r="G312" s="5" t="n"/>
      <c r="H312" s="5" t="n"/>
      <c r="I312" s="5" t="n"/>
    </row>
    <row r="313" ht="15.75" customHeight="1" s="184">
      <c r="A313" s="19" t="n"/>
      <c r="B313" s="21">
        <f>IFERROR(IF(A744&lt;=0,"",TEXT(A744,"MMM YY")),"")</f>
        <v/>
      </c>
      <c r="C313" s="22" t="n"/>
      <c r="D313" s="23" t="n"/>
      <c r="E313" s="22" t="n"/>
      <c r="F313" s="25">
        <f>IFERROR(VLOOKUP(E744,SETTINGS!A:B,2,0),"No Value")</f>
        <v/>
      </c>
      <c r="G313" s="5" t="n"/>
      <c r="H313" s="5" t="n"/>
      <c r="I313" s="5" t="n"/>
    </row>
    <row r="314" ht="15.75" customHeight="1" s="184">
      <c r="A314" s="19" t="n"/>
      <c r="B314" s="21">
        <f>IFERROR(IF(A745&lt;=0,"",TEXT(A745,"MMM YY")),"")</f>
        <v/>
      </c>
      <c r="C314" s="22" t="n"/>
      <c r="D314" s="23" t="n"/>
      <c r="E314" s="22" t="n"/>
      <c r="F314" s="25">
        <f>IFERROR(VLOOKUP(E745,SETTINGS!A:B,2,0),"No Value")</f>
        <v/>
      </c>
      <c r="G314" s="5" t="n"/>
      <c r="H314" s="5" t="n"/>
      <c r="I314" s="5" t="n"/>
    </row>
    <row r="315" ht="15.75" customHeight="1" s="184">
      <c r="A315" s="19" t="n"/>
      <c r="B315" s="21">
        <f>IFERROR(IF(A746&lt;=0,"",TEXT(A746,"MMM YY")),"")</f>
        <v/>
      </c>
      <c r="C315" s="22" t="n"/>
      <c r="D315" s="23" t="n"/>
      <c r="E315" s="22" t="n"/>
      <c r="F315" s="25">
        <f>IFERROR(VLOOKUP(E746,SETTINGS!A:B,2,0),"No Value")</f>
        <v/>
      </c>
      <c r="G315" s="5" t="n"/>
      <c r="H315" s="5" t="n"/>
      <c r="I315" s="5" t="n"/>
    </row>
    <row r="316" ht="15.75" customHeight="1" s="184">
      <c r="A316" s="19" t="n"/>
      <c r="B316" s="21">
        <f>IFERROR(IF(A747&lt;=0,"",TEXT(A747,"MMM YY")),"")</f>
        <v/>
      </c>
      <c r="C316" s="22" t="n"/>
      <c r="D316" s="23" t="n"/>
      <c r="E316" s="22" t="n"/>
      <c r="F316" s="25">
        <f>IFERROR(VLOOKUP(E747,SETTINGS!A:B,2,0),"No Value")</f>
        <v/>
      </c>
      <c r="G316" s="5" t="n"/>
      <c r="H316" s="5" t="n"/>
      <c r="I316" s="5" t="n"/>
    </row>
    <row r="317" ht="15.75" customHeight="1" s="184">
      <c r="A317" s="19" t="n"/>
      <c r="B317" s="21">
        <f>IFERROR(IF(A748&lt;=0,"",TEXT(A748,"MMM YY")),"")</f>
        <v/>
      </c>
      <c r="C317" s="22" t="n"/>
      <c r="D317" s="23" t="n"/>
      <c r="E317" s="22" t="n"/>
      <c r="F317" s="25">
        <f>IFERROR(VLOOKUP(E748,SETTINGS!A:B,2,0),"No Value")</f>
        <v/>
      </c>
      <c r="G317" s="5" t="n"/>
      <c r="H317" s="5" t="n"/>
      <c r="I317" s="5" t="n"/>
    </row>
    <row r="318" ht="15.75" customHeight="1" s="184">
      <c r="A318" s="19" t="n"/>
      <c r="B318" s="21">
        <f>IFERROR(IF(A749&lt;=0,"",TEXT(A749,"MMM YY")),"")</f>
        <v/>
      </c>
      <c r="C318" s="22" t="n"/>
      <c r="D318" s="23" t="n"/>
      <c r="E318" s="22" t="n"/>
      <c r="F318" s="25">
        <f>IFERROR(VLOOKUP(E749,SETTINGS!A:B,2,0),"No Value")</f>
        <v/>
      </c>
      <c r="G318" s="5" t="n"/>
      <c r="H318" s="5" t="n"/>
      <c r="I318" s="5" t="n"/>
    </row>
    <row r="319" ht="15.75" customHeight="1" s="184">
      <c r="A319" s="19" t="n"/>
      <c r="B319" s="21">
        <f>IFERROR(IF(A750&lt;=0,"",TEXT(A750,"MMM YY")),"")</f>
        <v/>
      </c>
      <c r="C319" s="22" t="n"/>
      <c r="D319" s="23" t="n"/>
      <c r="E319" s="22" t="n"/>
      <c r="F319" s="25">
        <f>IFERROR(VLOOKUP(E750,SETTINGS!A:B,2,0),"No Value")</f>
        <v/>
      </c>
      <c r="G319" s="5" t="n"/>
      <c r="H319" s="5" t="n"/>
      <c r="I319" s="5" t="n"/>
    </row>
    <row r="320" ht="15.75" customHeight="1" s="184">
      <c r="A320" s="19" t="n"/>
      <c r="B320" s="21">
        <f>IFERROR(IF(A751&lt;=0,"",TEXT(A751,"MMM YY")),"")</f>
        <v/>
      </c>
      <c r="C320" s="22" t="n"/>
      <c r="D320" s="23" t="n"/>
      <c r="E320" s="22" t="n"/>
      <c r="F320" s="25">
        <f>IFERROR(VLOOKUP(E751,SETTINGS!A:B,2,0),"No Value")</f>
        <v/>
      </c>
      <c r="G320" s="5" t="n"/>
      <c r="H320" s="5" t="n"/>
      <c r="I320" s="5" t="n"/>
    </row>
    <row r="321" ht="15.75" customHeight="1" s="184">
      <c r="A321" s="19" t="n"/>
      <c r="B321" s="21">
        <f>IFERROR(IF(A752&lt;=0,"",TEXT(A752,"MMM YY")),"")</f>
        <v/>
      </c>
      <c r="C321" s="22" t="n"/>
      <c r="D321" s="23" t="n"/>
      <c r="E321" s="22" t="n"/>
      <c r="F321" s="25">
        <f>IFERROR(VLOOKUP(E752,SETTINGS!A:B,2,0),"No Value")</f>
        <v/>
      </c>
      <c r="G321" s="5" t="n"/>
      <c r="H321" s="5" t="n"/>
      <c r="I321" s="5" t="n"/>
    </row>
    <row r="322" ht="15.75" customHeight="1" s="184">
      <c r="A322" s="19" t="n"/>
      <c r="B322" s="21">
        <f>IFERROR(IF(A753&lt;=0,"",TEXT(A753,"MMM YY")),"")</f>
        <v/>
      </c>
      <c r="C322" s="22" t="n"/>
      <c r="D322" s="23" t="n"/>
      <c r="E322" s="22" t="n"/>
      <c r="F322" s="25">
        <f>IFERROR(VLOOKUP(E753,SETTINGS!A:B,2,0),"No Value")</f>
        <v/>
      </c>
      <c r="G322" s="5" t="n"/>
      <c r="H322" s="5" t="n"/>
      <c r="I322" s="5" t="n"/>
    </row>
    <row r="323" ht="15.75" customHeight="1" s="184">
      <c r="A323" s="19" t="n"/>
      <c r="B323" s="21">
        <f>IFERROR(IF(A754&lt;=0,"",TEXT(A754,"MMM YY")),"")</f>
        <v/>
      </c>
      <c r="C323" s="22" t="n"/>
      <c r="D323" s="23" t="n"/>
      <c r="E323" s="22" t="n"/>
      <c r="F323" s="25">
        <f>IFERROR(VLOOKUP(E754,SETTINGS!A:B,2,0),"No Value")</f>
        <v/>
      </c>
      <c r="G323" s="5" t="n"/>
      <c r="H323" s="5" t="n"/>
      <c r="I323" s="5" t="n"/>
    </row>
    <row r="324" ht="15.75" customHeight="1" s="184">
      <c r="A324" s="19" t="n"/>
      <c r="B324" s="21">
        <f>IFERROR(IF(A755&lt;=0,"",TEXT(A755,"MMM YY")),"")</f>
        <v/>
      </c>
      <c r="C324" s="22" t="n"/>
      <c r="D324" s="23" t="n"/>
      <c r="E324" s="22" t="n"/>
      <c r="F324" s="25">
        <f>IFERROR(VLOOKUP(E755,SETTINGS!A:B,2,0),"No Value")</f>
        <v/>
      </c>
      <c r="G324" s="5" t="n"/>
      <c r="H324" s="5" t="n"/>
      <c r="I324" s="5" t="n"/>
    </row>
    <row r="325" ht="15.75" customHeight="1" s="184">
      <c r="A325" s="19" t="n"/>
      <c r="B325" s="21">
        <f>IFERROR(IF(A756&lt;=0,"",TEXT(A756,"MMM YY")),"")</f>
        <v/>
      </c>
      <c r="C325" s="22" t="n"/>
      <c r="D325" s="23" t="n"/>
      <c r="E325" s="22" t="n"/>
      <c r="F325" s="25">
        <f>IFERROR(VLOOKUP(E756,SETTINGS!A:B,2,0),"No Value")</f>
        <v/>
      </c>
      <c r="G325" s="5" t="n"/>
      <c r="H325" s="5" t="n"/>
      <c r="I325" s="5" t="n"/>
    </row>
    <row r="326" ht="15.75" customHeight="1" s="184">
      <c r="A326" s="19" t="n"/>
      <c r="B326" s="21">
        <f>IFERROR(IF(A757&lt;=0,"",TEXT(A757,"MMM YY")),"")</f>
        <v/>
      </c>
      <c r="C326" s="22" t="n"/>
      <c r="D326" s="23" t="n"/>
      <c r="E326" s="22" t="n"/>
      <c r="F326" s="25">
        <f>IFERROR(VLOOKUP(E757,SETTINGS!A:B,2,0),"No Value")</f>
        <v/>
      </c>
      <c r="G326" s="5" t="n"/>
      <c r="H326" s="5" t="n"/>
      <c r="I326" s="5" t="n"/>
    </row>
    <row r="327" ht="15.75" customHeight="1" s="184">
      <c r="A327" s="19" t="n"/>
      <c r="B327" s="21">
        <f>IFERROR(IF(A758&lt;=0,"",TEXT(A758,"MMM YY")),"")</f>
        <v/>
      </c>
      <c r="C327" s="22" t="n"/>
      <c r="D327" s="23" t="n"/>
      <c r="E327" s="22" t="n"/>
      <c r="F327" s="25">
        <f>IFERROR(VLOOKUP(E758,SETTINGS!A:B,2,0),"No Value")</f>
        <v/>
      </c>
      <c r="G327" s="5" t="n"/>
      <c r="H327" s="5" t="n"/>
      <c r="I327" s="5" t="n"/>
    </row>
    <row r="328" ht="15.75" customHeight="1" s="184">
      <c r="A328" s="19" t="n"/>
      <c r="B328" s="21">
        <f>IFERROR(IF(A759&lt;=0,"",TEXT(A759,"MMM YY")),"")</f>
        <v/>
      </c>
      <c r="C328" s="22" t="n"/>
      <c r="D328" s="23" t="n"/>
      <c r="E328" s="22" t="n"/>
      <c r="F328" s="25">
        <f>IFERROR(VLOOKUP(E759,SETTINGS!A:B,2,0),"No Value")</f>
        <v/>
      </c>
      <c r="G328" s="5" t="n"/>
      <c r="H328" s="5" t="n"/>
      <c r="I328" s="5" t="n"/>
    </row>
    <row r="329" ht="15.75" customHeight="1" s="184">
      <c r="A329" s="19" t="n"/>
      <c r="B329" s="21">
        <f>IFERROR(IF(A760&lt;=0,"",TEXT(A760,"MMM YY")),"")</f>
        <v/>
      </c>
      <c r="C329" s="22" t="n"/>
      <c r="D329" s="23" t="n"/>
      <c r="E329" s="22" t="n"/>
      <c r="F329" s="25">
        <f>IFERROR(VLOOKUP(E760,SETTINGS!A:B,2,0),"No Value")</f>
        <v/>
      </c>
      <c r="G329" s="5" t="n"/>
      <c r="H329" s="5" t="n"/>
      <c r="I329" s="5" t="n"/>
    </row>
    <row r="330" ht="15.75" customHeight="1" s="184">
      <c r="A330" s="19" t="n"/>
      <c r="B330" s="21">
        <f>IFERROR(IF(A761&lt;=0,"",TEXT(A761,"MMM YY")),"")</f>
        <v/>
      </c>
      <c r="C330" s="22" t="n"/>
      <c r="D330" s="23" t="n"/>
      <c r="E330" s="22" t="n"/>
      <c r="F330" s="25">
        <f>IFERROR(VLOOKUP(E761,SETTINGS!A:B,2,0),"No Value")</f>
        <v/>
      </c>
      <c r="G330" s="5" t="n"/>
      <c r="H330" s="5" t="n"/>
      <c r="I330" s="5" t="n"/>
    </row>
    <row r="331" ht="15.75" customHeight="1" s="184">
      <c r="A331" s="19" t="n"/>
      <c r="B331" s="21">
        <f>IFERROR(IF(A762&lt;=0,"",TEXT(A762,"MMM YY")),"")</f>
        <v/>
      </c>
      <c r="C331" s="22" t="n"/>
      <c r="D331" s="23" t="n"/>
      <c r="E331" s="22" t="n"/>
      <c r="F331" s="25">
        <f>IFERROR(VLOOKUP(E762,SETTINGS!A:B,2,0),"No Value")</f>
        <v/>
      </c>
      <c r="G331" s="5" t="n"/>
      <c r="H331" s="5" t="n"/>
      <c r="I331" s="5" t="n"/>
    </row>
    <row r="332" ht="15.75" customHeight="1" s="184">
      <c r="A332" s="19" t="n"/>
      <c r="B332" s="21">
        <f>IFERROR(IF(A763&lt;=0,"",TEXT(A763,"MMM YY")),"")</f>
        <v/>
      </c>
      <c r="C332" s="22" t="n"/>
      <c r="D332" s="23" t="n"/>
      <c r="E332" s="22" t="n"/>
      <c r="F332" s="25">
        <f>IFERROR(VLOOKUP(E763,SETTINGS!A:B,2,0),"No Value")</f>
        <v/>
      </c>
      <c r="G332" s="5" t="n"/>
      <c r="H332" s="5" t="n"/>
      <c r="I332" s="5" t="n"/>
    </row>
    <row r="333" ht="15.75" customHeight="1" s="184">
      <c r="A333" s="19" t="n"/>
      <c r="B333" s="21">
        <f>IFERROR(IF(A764&lt;=0,"",TEXT(A764,"MMM YY")),"")</f>
        <v/>
      </c>
      <c r="C333" s="22" t="n"/>
      <c r="D333" s="23" t="n"/>
      <c r="E333" s="22" t="n"/>
      <c r="F333" s="25">
        <f>IFERROR(VLOOKUP(E764,SETTINGS!A:B,2,0),"No Value")</f>
        <v/>
      </c>
      <c r="G333" s="5" t="n"/>
      <c r="H333" s="5" t="n"/>
      <c r="I333" s="5" t="n"/>
    </row>
    <row r="334" ht="15.75" customHeight="1" s="184">
      <c r="A334" s="19" t="n"/>
      <c r="B334" s="21">
        <f>IFERROR(IF(A765&lt;=0,"",TEXT(A765,"MMM YY")),"")</f>
        <v/>
      </c>
      <c r="C334" s="22" t="n"/>
      <c r="D334" s="23" t="n"/>
      <c r="E334" s="22" t="n"/>
      <c r="F334" s="25">
        <f>IFERROR(VLOOKUP(E765,SETTINGS!A:B,2,0),"No Value")</f>
        <v/>
      </c>
      <c r="G334" s="5" t="n"/>
      <c r="H334" s="5" t="n"/>
      <c r="I334" s="5" t="n"/>
    </row>
    <row r="335" ht="15.75" customHeight="1" s="184">
      <c r="A335" s="19" t="n"/>
      <c r="B335" s="21">
        <f>IFERROR(IF(A766&lt;=0,"",TEXT(A766,"MMM YY")),"")</f>
        <v/>
      </c>
      <c r="C335" s="22" t="n"/>
      <c r="D335" s="23" t="n"/>
      <c r="E335" s="22" t="n"/>
      <c r="F335" s="25">
        <f>IFERROR(VLOOKUP(E766,SETTINGS!A:B,2,0),"No Value")</f>
        <v/>
      </c>
      <c r="G335" s="5" t="n"/>
      <c r="H335" s="5" t="n"/>
      <c r="I335" s="5" t="n"/>
    </row>
    <row r="336" ht="15.75" customHeight="1" s="184">
      <c r="A336" s="19" t="n"/>
      <c r="B336" s="21">
        <f>IFERROR(IF(A767&lt;=0,"",TEXT(A767,"MMM YY")),"")</f>
        <v/>
      </c>
      <c r="C336" s="22" t="n"/>
      <c r="D336" s="23" t="n"/>
      <c r="E336" s="22" t="n"/>
      <c r="F336" s="25">
        <f>IFERROR(VLOOKUP(E767,SETTINGS!A:B,2,0),"No Value")</f>
        <v/>
      </c>
      <c r="G336" s="5" t="n"/>
      <c r="H336" s="5" t="n"/>
      <c r="I336" s="5" t="n"/>
    </row>
    <row r="337" ht="15.75" customHeight="1" s="184">
      <c r="A337" s="19" t="n"/>
      <c r="B337" s="21">
        <f>IFERROR(IF(A768&lt;=0,"",TEXT(A768,"MMM YY")),"")</f>
        <v/>
      </c>
      <c r="C337" s="22" t="n"/>
      <c r="D337" s="23" t="n"/>
      <c r="E337" s="22" t="n"/>
      <c r="F337" s="25">
        <f>IFERROR(VLOOKUP(E768,SETTINGS!A:B,2,0),"No Value")</f>
        <v/>
      </c>
      <c r="G337" s="5" t="n"/>
      <c r="H337" s="5" t="n"/>
      <c r="I337" s="5" t="n"/>
    </row>
    <row r="338" ht="15.75" customHeight="1" s="184">
      <c r="A338" s="19" t="n"/>
      <c r="B338" s="21">
        <f>IFERROR(IF(A769&lt;=0,"",TEXT(A769,"MMM YY")),"")</f>
        <v/>
      </c>
      <c r="C338" s="22" t="n"/>
      <c r="D338" s="23" t="n"/>
      <c r="E338" s="22" t="n"/>
      <c r="F338" s="25">
        <f>IFERROR(VLOOKUP(E769,SETTINGS!A:B,2,0),"No Value")</f>
        <v/>
      </c>
      <c r="G338" s="5" t="n"/>
      <c r="H338" s="5" t="n"/>
      <c r="I338" s="5" t="n"/>
    </row>
    <row r="339" ht="15.75" customHeight="1" s="184">
      <c r="A339" s="19" t="n"/>
      <c r="B339" s="21">
        <f>IFERROR(IF(A770&lt;=0,"",TEXT(A770,"MMM YY")),"")</f>
        <v/>
      </c>
      <c r="C339" s="22" t="n"/>
      <c r="D339" s="23" t="n"/>
      <c r="E339" s="22" t="n"/>
      <c r="F339" s="25">
        <f>IFERROR(VLOOKUP(E770,SETTINGS!A:B,2,0),"No Value")</f>
        <v/>
      </c>
      <c r="G339" s="5" t="n"/>
      <c r="H339" s="5" t="n"/>
      <c r="I339" s="5" t="n"/>
    </row>
    <row r="340" ht="15.75" customHeight="1" s="184">
      <c r="A340" s="19" t="n"/>
      <c r="B340" s="21">
        <f>IFERROR(IF(A771&lt;=0,"",TEXT(A771,"MMM YY")),"")</f>
        <v/>
      </c>
      <c r="C340" s="22" t="n"/>
      <c r="D340" s="23" t="n"/>
      <c r="E340" s="22" t="n"/>
      <c r="F340" s="25">
        <f>IFERROR(VLOOKUP(E771,SETTINGS!A:B,2,0),"No Value")</f>
        <v/>
      </c>
      <c r="G340" s="5" t="n"/>
      <c r="H340" s="5" t="n"/>
      <c r="I340" s="5" t="n"/>
    </row>
    <row r="341" ht="15.75" customHeight="1" s="184">
      <c r="A341" s="19" t="n"/>
      <c r="B341" s="21">
        <f>IFERROR(IF(A772&lt;=0,"",TEXT(A772,"MMM YY")),"")</f>
        <v/>
      </c>
      <c r="C341" s="22" t="n"/>
      <c r="D341" s="23" t="n"/>
      <c r="E341" s="22" t="n"/>
      <c r="F341" s="25">
        <f>IFERROR(VLOOKUP(E772,SETTINGS!A:B,2,0),"No Value")</f>
        <v/>
      </c>
      <c r="G341" s="5" t="n"/>
      <c r="H341" s="5" t="n"/>
      <c r="I341" s="5" t="n"/>
    </row>
    <row r="342" ht="15.75" customHeight="1" s="184">
      <c r="A342" s="19" t="n"/>
      <c r="B342" s="21">
        <f>IFERROR(IF(A773&lt;=0,"",TEXT(A773,"MMM YY")),"")</f>
        <v/>
      </c>
      <c r="C342" s="22" t="n"/>
      <c r="D342" s="23" t="n"/>
      <c r="E342" s="22" t="n"/>
      <c r="F342" s="25">
        <f>IFERROR(VLOOKUP(E773,SETTINGS!A:B,2,0),"No Value")</f>
        <v/>
      </c>
      <c r="G342" s="5" t="n"/>
      <c r="H342" s="5" t="n"/>
      <c r="I342" s="5" t="n"/>
    </row>
    <row r="343" ht="15.75" customHeight="1" s="184">
      <c r="A343" s="19" t="n"/>
      <c r="B343" s="21">
        <f>IFERROR(IF(A774&lt;=0,"",TEXT(A774,"MMM YY")),"")</f>
        <v/>
      </c>
      <c r="C343" s="22" t="n"/>
      <c r="D343" s="23" t="n"/>
      <c r="E343" s="22" t="n"/>
      <c r="F343" s="25">
        <f>IFERROR(VLOOKUP(E774,SETTINGS!A:B,2,0),"No Value")</f>
        <v/>
      </c>
      <c r="G343" s="5" t="n"/>
      <c r="H343" s="5" t="n"/>
      <c r="I343" s="5" t="n"/>
    </row>
    <row r="344" ht="15.75" customHeight="1" s="184">
      <c r="A344" s="19" t="n"/>
      <c r="B344" s="21">
        <f>IFERROR(IF(A775&lt;=0,"",TEXT(A775,"MMM YY")),"")</f>
        <v/>
      </c>
      <c r="C344" s="22" t="n"/>
      <c r="D344" s="23" t="n"/>
      <c r="E344" s="22" t="n"/>
      <c r="F344" s="25">
        <f>IFERROR(VLOOKUP(E775,SETTINGS!A:B,2,0),"No Value")</f>
        <v/>
      </c>
      <c r="G344" s="5" t="n"/>
      <c r="H344" s="5" t="n"/>
      <c r="I344" s="5" t="n"/>
    </row>
    <row r="345" ht="15.75" customHeight="1" s="184">
      <c r="A345" s="19" t="n"/>
      <c r="B345" s="21">
        <f>IFERROR(IF(A776&lt;=0,"",TEXT(A776,"MMM YY")),"")</f>
        <v/>
      </c>
      <c r="C345" s="22" t="n"/>
      <c r="D345" s="23" t="n"/>
      <c r="E345" s="22" t="n"/>
      <c r="F345" s="25">
        <f>IFERROR(VLOOKUP(E776,SETTINGS!A:B,2,0),"No Value")</f>
        <v/>
      </c>
      <c r="G345" s="5" t="n"/>
      <c r="H345" s="5" t="n"/>
      <c r="I345" s="5" t="n"/>
    </row>
    <row r="346" ht="15.75" customHeight="1" s="184">
      <c r="A346" s="19" t="n"/>
      <c r="B346" s="21">
        <f>IFERROR(IF(A777&lt;=0,"",TEXT(A777,"MMM YY")),"")</f>
        <v/>
      </c>
      <c r="C346" s="22" t="n"/>
      <c r="D346" s="23" t="n"/>
      <c r="E346" s="22" t="n"/>
      <c r="F346" s="25">
        <f>IFERROR(VLOOKUP(E777,SETTINGS!A:B,2,0),"No Value")</f>
        <v/>
      </c>
      <c r="G346" s="5" t="n"/>
      <c r="H346" s="5" t="n"/>
      <c r="I346" s="5" t="n"/>
    </row>
    <row r="347" ht="15.75" customHeight="1" s="184">
      <c r="A347" s="19" t="n"/>
      <c r="B347" s="21">
        <f>IFERROR(IF(A778&lt;=0,"",TEXT(A778,"MMM YY")),"")</f>
        <v/>
      </c>
      <c r="C347" s="22" t="n"/>
      <c r="D347" s="23" t="n"/>
      <c r="E347" s="22" t="n"/>
      <c r="F347" s="25">
        <f>IFERROR(VLOOKUP(E778,SETTINGS!A:B,2,0),"No Value")</f>
        <v/>
      </c>
      <c r="G347" s="5" t="n"/>
      <c r="H347" s="5" t="n"/>
      <c r="I347" s="5" t="n"/>
    </row>
    <row r="348" ht="15.75" customHeight="1" s="184">
      <c r="A348" s="19" t="n"/>
      <c r="B348" s="21">
        <f>IFERROR(IF(A779&lt;=0,"",TEXT(A779,"MMM YY")),"")</f>
        <v/>
      </c>
      <c r="C348" s="22" t="n"/>
      <c r="D348" s="23" t="n"/>
      <c r="E348" s="22" t="n"/>
      <c r="F348" s="25">
        <f>IFERROR(VLOOKUP(E779,SETTINGS!A:B,2,0),"No Value")</f>
        <v/>
      </c>
      <c r="G348" s="5" t="n"/>
      <c r="H348" s="5" t="n"/>
      <c r="I348" s="5" t="n"/>
    </row>
    <row r="349" ht="15.75" customHeight="1" s="184">
      <c r="A349" s="19" t="n"/>
      <c r="B349" s="21">
        <f>IFERROR(IF(A780&lt;=0,"",TEXT(A780,"MMM YY")),"")</f>
        <v/>
      </c>
      <c r="C349" s="22" t="n"/>
      <c r="D349" s="23" t="n"/>
      <c r="E349" s="22" t="n"/>
      <c r="F349" s="25">
        <f>IFERROR(VLOOKUP(E780,SETTINGS!A:B,2,0),"No Value")</f>
        <v/>
      </c>
      <c r="G349" s="5" t="n"/>
      <c r="H349" s="5" t="n"/>
      <c r="I349" s="5" t="n"/>
    </row>
    <row r="350" ht="15.75" customHeight="1" s="184">
      <c r="A350" s="19" t="n"/>
      <c r="B350" s="21">
        <f>IFERROR(IF(A781&lt;=0,"",TEXT(A781,"MMM YY")),"")</f>
        <v/>
      </c>
      <c r="C350" s="22" t="n"/>
      <c r="D350" s="23" t="n"/>
      <c r="E350" s="22" t="n"/>
      <c r="F350" s="25">
        <f>IFERROR(VLOOKUP(E781,SETTINGS!A:B,2,0),"No Value")</f>
        <v/>
      </c>
      <c r="G350" s="5" t="n"/>
      <c r="H350" s="5" t="n"/>
      <c r="I350" s="5" t="n"/>
    </row>
    <row r="351" ht="15.75" customHeight="1" s="184">
      <c r="A351" s="19" t="n"/>
      <c r="B351" s="21">
        <f>IFERROR(IF(A782&lt;=0,"",TEXT(A782,"MMM YY")),"")</f>
        <v/>
      </c>
      <c r="C351" s="22" t="n"/>
      <c r="D351" s="23" t="n"/>
      <c r="E351" s="22" t="n"/>
      <c r="F351" s="25">
        <f>IFERROR(VLOOKUP(E782,SETTINGS!A:B,2,0),"No Value")</f>
        <v/>
      </c>
      <c r="G351" s="5" t="n"/>
      <c r="H351" s="5" t="n"/>
      <c r="I351" s="5" t="n"/>
    </row>
    <row r="352" ht="15.75" customHeight="1" s="184">
      <c r="A352" s="19" t="n"/>
      <c r="B352" s="21">
        <f>IFERROR(IF(A783&lt;=0,"",TEXT(A783,"MMM YY")),"")</f>
        <v/>
      </c>
      <c r="C352" s="22" t="n"/>
      <c r="D352" s="23" t="n"/>
      <c r="E352" s="22" t="n"/>
      <c r="F352" s="25">
        <f>IFERROR(VLOOKUP(E783,SETTINGS!A:B,2,0),"No Value")</f>
        <v/>
      </c>
      <c r="G352" s="5" t="n"/>
      <c r="H352" s="5" t="n"/>
      <c r="I352" s="5" t="n"/>
    </row>
    <row r="353" ht="15.75" customHeight="1" s="184">
      <c r="A353" s="19" t="n"/>
      <c r="B353" s="21">
        <f>IFERROR(IF(A784&lt;=0,"",TEXT(A784,"MMM YY")),"")</f>
        <v/>
      </c>
      <c r="C353" s="22" t="n"/>
      <c r="D353" s="23" t="n"/>
      <c r="E353" s="22" t="n"/>
      <c r="F353" s="25">
        <f>IFERROR(VLOOKUP(E784,SETTINGS!A:B,2,0),"No Value")</f>
        <v/>
      </c>
      <c r="G353" s="5" t="n"/>
      <c r="H353" s="5" t="n"/>
      <c r="I353" s="5" t="n"/>
    </row>
    <row r="354" ht="15.75" customHeight="1" s="184">
      <c r="A354" s="19" t="n"/>
      <c r="B354" s="21">
        <f>IFERROR(IF(A785&lt;=0,"",TEXT(A785,"MMM YY")),"")</f>
        <v/>
      </c>
      <c r="C354" s="22" t="n"/>
      <c r="D354" s="23" t="n"/>
      <c r="E354" s="22" t="n"/>
      <c r="F354" s="25">
        <f>IFERROR(VLOOKUP(E785,SETTINGS!A:B,2,0),"No Value")</f>
        <v/>
      </c>
      <c r="G354" s="5" t="n"/>
      <c r="H354" s="5" t="n"/>
      <c r="I354" s="5" t="n"/>
    </row>
    <row r="355" ht="15.75" customHeight="1" s="184">
      <c r="A355" s="19" t="n"/>
      <c r="B355" s="21">
        <f>IFERROR(IF(A786&lt;=0,"",TEXT(A786,"MMM YY")),"")</f>
        <v/>
      </c>
      <c r="C355" s="22" t="n"/>
      <c r="D355" s="23" t="n"/>
      <c r="E355" s="22" t="n"/>
      <c r="F355" s="25">
        <f>IFERROR(VLOOKUP(E786,SETTINGS!A:B,2,0),"No Value")</f>
        <v/>
      </c>
      <c r="G355" s="5" t="n"/>
      <c r="H355" s="5" t="n"/>
      <c r="I355" s="5" t="n"/>
    </row>
    <row r="356" ht="15.75" customHeight="1" s="184">
      <c r="A356" s="19" t="n"/>
      <c r="B356" s="21">
        <f>IFERROR(IF(A787&lt;=0,"",TEXT(A787,"MMM YY")),"")</f>
        <v/>
      </c>
      <c r="C356" s="22" t="n"/>
      <c r="D356" s="23" t="n"/>
      <c r="E356" s="22" t="n"/>
      <c r="F356" s="25">
        <f>IFERROR(VLOOKUP(E787,SETTINGS!A:B,2,0),"No Value")</f>
        <v/>
      </c>
      <c r="G356" s="5" t="n"/>
      <c r="H356" s="5" t="n"/>
      <c r="I356" s="5" t="n"/>
    </row>
    <row r="357" ht="15.75" customHeight="1" s="184">
      <c r="A357" s="19" t="n"/>
      <c r="B357" s="21">
        <f>IFERROR(IF(A788&lt;=0,"",TEXT(A788,"MMM YY")),"")</f>
        <v/>
      </c>
      <c r="C357" s="22" t="n"/>
      <c r="D357" s="23" t="n"/>
      <c r="E357" s="22" t="n"/>
      <c r="F357" s="25">
        <f>IFERROR(VLOOKUP(E788,SETTINGS!A:B,2,0),"No Value")</f>
        <v/>
      </c>
      <c r="G357" s="5" t="n"/>
      <c r="H357" s="5" t="n"/>
      <c r="I357" s="5" t="n"/>
    </row>
    <row r="358" ht="15.75" customHeight="1" s="184">
      <c r="A358" s="19" t="n"/>
      <c r="B358" s="21">
        <f>IFERROR(IF(A789&lt;=0,"",TEXT(A789,"MMM YY")),"")</f>
        <v/>
      </c>
      <c r="C358" s="22" t="n"/>
      <c r="D358" s="23" t="n"/>
      <c r="E358" s="22" t="n"/>
      <c r="F358" s="25">
        <f>IFERROR(VLOOKUP(E789,SETTINGS!A:B,2,0),"No Value")</f>
        <v/>
      </c>
      <c r="G358" s="5" t="n"/>
      <c r="H358" s="5" t="n"/>
      <c r="I358" s="5" t="n"/>
    </row>
    <row r="359" ht="15.75" customHeight="1" s="184">
      <c r="A359" s="19" t="n"/>
      <c r="B359" s="21">
        <f>IFERROR(IF(A790&lt;=0,"",TEXT(A790,"MMM YY")),"")</f>
        <v/>
      </c>
      <c r="C359" s="22" t="n"/>
      <c r="D359" s="23" t="n"/>
      <c r="E359" s="22" t="n"/>
      <c r="F359" s="25">
        <f>IFERROR(VLOOKUP(E790,SETTINGS!A:B,2,0),"No Value")</f>
        <v/>
      </c>
      <c r="G359" s="5" t="n"/>
      <c r="H359" s="5" t="n"/>
      <c r="I359" s="5" t="n"/>
    </row>
    <row r="360" ht="15.75" customHeight="1" s="184">
      <c r="A360" s="19" t="n"/>
      <c r="B360" s="21">
        <f>IFERROR(IF(A791&lt;=0,"",TEXT(A791,"MMM YY")),"")</f>
        <v/>
      </c>
      <c r="C360" s="22" t="n"/>
      <c r="D360" s="23" t="n"/>
      <c r="E360" s="22" t="n"/>
      <c r="F360" s="25">
        <f>IFERROR(VLOOKUP(E791,SETTINGS!A:B,2,0),"No Value")</f>
        <v/>
      </c>
      <c r="G360" s="5" t="n"/>
      <c r="H360" s="5" t="n"/>
      <c r="I360" s="5" t="n"/>
    </row>
    <row r="361" ht="15.75" customHeight="1" s="184">
      <c r="A361" s="19" t="n"/>
      <c r="B361" s="21">
        <f>IFERROR(IF(A792&lt;=0,"",TEXT(A792,"MMM YY")),"")</f>
        <v/>
      </c>
      <c r="C361" s="22" t="n"/>
      <c r="D361" s="23" t="n"/>
      <c r="E361" s="22" t="n"/>
      <c r="F361" s="25">
        <f>IFERROR(VLOOKUP(E792,SETTINGS!A:B,2,0),"No Value")</f>
        <v/>
      </c>
      <c r="G361" s="5" t="n"/>
      <c r="H361" s="5" t="n"/>
      <c r="I361" s="5" t="n"/>
    </row>
    <row r="362" ht="15.75" customHeight="1" s="184">
      <c r="A362" s="19" t="n"/>
      <c r="B362" s="21">
        <f>IFERROR(IF(A793&lt;=0,"",TEXT(A793,"MMM YY")),"")</f>
        <v/>
      </c>
      <c r="C362" s="22" t="n"/>
      <c r="D362" s="23" t="n"/>
      <c r="E362" s="22" t="n"/>
      <c r="F362" s="25">
        <f>IFERROR(VLOOKUP(E793,SETTINGS!A:B,2,0),"No Value")</f>
        <v/>
      </c>
      <c r="G362" s="5" t="n"/>
      <c r="H362" s="5" t="n"/>
      <c r="I362" s="5" t="n"/>
    </row>
    <row r="363" ht="15.75" customHeight="1" s="184">
      <c r="A363" s="19" t="n"/>
      <c r="B363" s="21">
        <f>IFERROR(IF(A794&lt;=0,"",TEXT(A794,"MMM YY")),"")</f>
        <v/>
      </c>
      <c r="C363" s="22" t="n"/>
      <c r="D363" s="23" t="n"/>
      <c r="E363" s="22" t="n"/>
      <c r="F363" s="25">
        <f>IFERROR(VLOOKUP(E794,SETTINGS!A:B,2,0),"No Value")</f>
        <v/>
      </c>
      <c r="G363" s="5" t="n"/>
      <c r="H363" s="5" t="n"/>
      <c r="I363" s="5" t="n"/>
    </row>
    <row r="364" ht="15.75" customHeight="1" s="184">
      <c r="A364" s="19" t="n"/>
      <c r="B364" s="21">
        <f>IFERROR(IF(A795&lt;=0,"",TEXT(A795,"MMM YY")),"")</f>
        <v/>
      </c>
      <c r="C364" s="22" t="n"/>
      <c r="D364" s="23" t="n"/>
      <c r="E364" s="22" t="n"/>
      <c r="F364" s="25">
        <f>IFERROR(VLOOKUP(E795,SETTINGS!A:B,2,0),"No Value")</f>
        <v/>
      </c>
      <c r="G364" s="5" t="n"/>
      <c r="H364" s="5" t="n"/>
      <c r="I364" s="5" t="n"/>
    </row>
    <row r="365" ht="15.75" customHeight="1" s="184">
      <c r="A365" s="19" t="n"/>
      <c r="B365" s="21">
        <f>IFERROR(IF(A796&lt;=0,"",TEXT(A796,"MMM YY")),"")</f>
        <v/>
      </c>
      <c r="C365" s="22" t="n"/>
      <c r="D365" s="23" t="n"/>
      <c r="E365" s="22" t="n"/>
      <c r="F365" s="25">
        <f>IFERROR(VLOOKUP(E796,SETTINGS!A:B,2,0),"No Value")</f>
        <v/>
      </c>
      <c r="G365" s="5" t="n"/>
      <c r="H365" s="5" t="n"/>
      <c r="I365" s="5" t="n"/>
    </row>
    <row r="366" ht="15.75" customHeight="1" s="184">
      <c r="A366" s="19" t="n"/>
      <c r="B366" s="21">
        <f>IFERROR(IF(A797&lt;=0,"",TEXT(A797,"MMM YY")),"")</f>
        <v/>
      </c>
      <c r="C366" s="22" t="n"/>
      <c r="D366" s="23" t="n"/>
      <c r="E366" s="22" t="n"/>
      <c r="F366" s="25">
        <f>IFERROR(VLOOKUP(E797,SETTINGS!A:B,2,0),"No Value")</f>
        <v/>
      </c>
      <c r="G366" s="5" t="n"/>
      <c r="H366" s="5" t="n"/>
      <c r="I366" s="5" t="n"/>
    </row>
    <row r="367" ht="15.75" customHeight="1" s="184">
      <c r="A367" s="19" t="n"/>
      <c r="B367" s="21">
        <f>IFERROR(IF(A798&lt;=0,"",TEXT(A798,"MMM YY")),"")</f>
        <v/>
      </c>
      <c r="C367" s="22" t="n"/>
      <c r="D367" s="23" t="n"/>
      <c r="E367" s="22" t="n"/>
      <c r="F367" s="25">
        <f>IFERROR(VLOOKUP(E798,SETTINGS!A:B,2,0),"No Value")</f>
        <v/>
      </c>
      <c r="G367" s="5" t="n"/>
      <c r="H367" s="5" t="n"/>
      <c r="I367" s="5" t="n"/>
    </row>
    <row r="368" ht="15.75" customHeight="1" s="184">
      <c r="A368" s="19" t="n"/>
      <c r="B368" s="21">
        <f>IFERROR(IF(A799&lt;=0,"",TEXT(A799,"MMM YY")),"")</f>
        <v/>
      </c>
      <c r="C368" s="22" t="n"/>
      <c r="D368" s="23" t="n"/>
      <c r="E368" s="22" t="n"/>
      <c r="F368" s="25">
        <f>IFERROR(VLOOKUP(E799,SETTINGS!A:B,2,0),"No Value")</f>
        <v/>
      </c>
      <c r="G368" s="5" t="n"/>
      <c r="H368" s="5" t="n"/>
      <c r="I368" s="5" t="n"/>
    </row>
    <row r="369" ht="15.75" customHeight="1" s="184">
      <c r="A369" s="19" t="n"/>
      <c r="B369" s="21">
        <f>IFERROR(IF(A800&lt;=0,"",TEXT(A800,"MMM YY")),"")</f>
        <v/>
      </c>
      <c r="C369" s="22" t="n"/>
      <c r="D369" s="23" t="n"/>
      <c r="E369" s="22" t="n"/>
      <c r="F369" s="25">
        <f>IFERROR(VLOOKUP(E800,SETTINGS!A:B,2,0),"No Value")</f>
        <v/>
      </c>
      <c r="G369" s="5" t="n"/>
      <c r="H369" s="5" t="n"/>
      <c r="I369" s="5" t="n"/>
    </row>
    <row r="370" ht="15.75" customHeight="1" s="184">
      <c r="A370" s="19" t="n"/>
      <c r="B370" s="21">
        <f>IFERROR(IF(A801&lt;=0,"",TEXT(A801,"MMM YY")),"")</f>
        <v/>
      </c>
      <c r="C370" s="22" t="n"/>
      <c r="D370" s="23" t="n"/>
      <c r="E370" s="22" t="n"/>
      <c r="F370" s="25">
        <f>IFERROR(VLOOKUP(E801,SETTINGS!A:B,2,0),"No Value")</f>
        <v/>
      </c>
      <c r="G370" s="5" t="n"/>
      <c r="H370" s="5" t="n"/>
      <c r="I370" s="5" t="n"/>
    </row>
    <row r="371" ht="15.75" customHeight="1" s="184">
      <c r="A371" s="19" t="n"/>
      <c r="B371" s="21">
        <f>IFERROR(IF(A802&lt;=0,"",TEXT(A802,"MMM YY")),"")</f>
        <v/>
      </c>
      <c r="C371" s="22" t="n"/>
      <c r="D371" s="23" t="n"/>
      <c r="E371" s="22" t="n"/>
      <c r="F371" s="25">
        <f>IFERROR(VLOOKUP(E802,SETTINGS!A:B,2,0),"No Value")</f>
        <v/>
      </c>
      <c r="G371" s="5" t="n"/>
      <c r="H371" s="5" t="n"/>
      <c r="I371" s="5" t="n"/>
    </row>
    <row r="372" ht="15.75" customHeight="1" s="184">
      <c r="A372" s="19" t="n"/>
      <c r="B372" s="21">
        <f>IFERROR(IF(A803&lt;=0,"",TEXT(A803,"MMM YY")),"")</f>
        <v/>
      </c>
      <c r="C372" s="22" t="n"/>
      <c r="D372" s="23" t="n"/>
      <c r="E372" s="22" t="n"/>
      <c r="F372" s="25">
        <f>IFERROR(VLOOKUP(E803,SETTINGS!A:B,2,0),"No Value")</f>
        <v/>
      </c>
      <c r="G372" s="5" t="n"/>
      <c r="H372" s="5" t="n"/>
      <c r="I372" s="5" t="n"/>
    </row>
    <row r="373" ht="15.75" customHeight="1" s="184">
      <c r="A373" s="19" t="n"/>
      <c r="B373" s="21">
        <f>IFERROR(IF(A804&lt;=0,"",TEXT(A804,"MMM YY")),"")</f>
        <v/>
      </c>
      <c r="C373" s="22" t="n"/>
      <c r="D373" s="23" t="n"/>
      <c r="E373" s="22" t="n"/>
      <c r="F373" s="25">
        <f>IFERROR(VLOOKUP(E804,SETTINGS!A:B,2,0),"No Value")</f>
        <v/>
      </c>
      <c r="G373" s="5" t="n"/>
      <c r="H373" s="5" t="n"/>
      <c r="I373" s="5" t="n"/>
    </row>
    <row r="374" ht="15.75" customHeight="1" s="184">
      <c r="A374" s="19" t="n"/>
      <c r="B374" s="21">
        <f>IFERROR(IF(A805&lt;=0,"",TEXT(A805,"MMM YY")),"")</f>
        <v/>
      </c>
      <c r="C374" s="22" t="n"/>
      <c r="D374" s="23" t="n"/>
      <c r="E374" s="22" t="n"/>
      <c r="F374" s="25">
        <f>IFERROR(VLOOKUP(E805,SETTINGS!A:B,2,0),"No Value")</f>
        <v/>
      </c>
      <c r="G374" s="5" t="n"/>
      <c r="H374" s="5" t="n"/>
      <c r="I374" s="5" t="n"/>
    </row>
    <row r="375" ht="15.75" customHeight="1" s="184">
      <c r="A375" s="19" t="n"/>
      <c r="B375" s="21">
        <f>IFERROR(IF(A806&lt;=0,"",TEXT(A806,"MMM YY")),"")</f>
        <v/>
      </c>
      <c r="C375" s="22" t="n"/>
      <c r="D375" s="23" t="n"/>
      <c r="E375" s="22" t="n"/>
      <c r="F375" s="25">
        <f>IFERROR(VLOOKUP(E806,SETTINGS!A:B,2,0),"No Value")</f>
        <v/>
      </c>
      <c r="G375" s="5" t="n"/>
      <c r="H375" s="5" t="n"/>
      <c r="I375" s="5" t="n"/>
    </row>
    <row r="376" ht="15.75" customHeight="1" s="184">
      <c r="A376" s="19" t="n"/>
      <c r="B376" s="21">
        <f>IFERROR(IF(A807&lt;=0,"",TEXT(A807,"MMM YY")),"")</f>
        <v/>
      </c>
      <c r="C376" s="22" t="n"/>
      <c r="D376" s="23" t="n"/>
      <c r="E376" s="22" t="n"/>
      <c r="F376" s="25">
        <f>IFERROR(VLOOKUP(E807,SETTINGS!A:B,2,0),"No Value")</f>
        <v/>
      </c>
      <c r="G376" s="5" t="n"/>
      <c r="H376" s="5" t="n"/>
      <c r="I376" s="5" t="n"/>
    </row>
    <row r="377" ht="15.75" customHeight="1" s="184">
      <c r="A377" s="19" t="n"/>
      <c r="B377" s="21">
        <f>IFERROR(IF(A808&lt;=0,"",TEXT(A808,"MMM YY")),"")</f>
        <v/>
      </c>
      <c r="C377" s="22" t="n"/>
      <c r="D377" s="23" t="n"/>
      <c r="E377" s="22" t="n"/>
      <c r="F377" s="25">
        <f>IFERROR(VLOOKUP(E808,SETTINGS!A:B,2,0),"No Value")</f>
        <v/>
      </c>
      <c r="G377" s="5" t="n"/>
      <c r="H377" s="5" t="n"/>
      <c r="I377" s="5" t="n"/>
    </row>
    <row r="378" ht="15.75" customHeight="1" s="184">
      <c r="A378" s="19" t="n"/>
      <c r="B378" s="21">
        <f>IFERROR(IF(A809&lt;=0,"",TEXT(A809,"MMM YY")),"")</f>
        <v/>
      </c>
      <c r="C378" s="22" t="n"/>
      <c r="D378" s="23" t="n"/>
      <c r="E378" s="22" t="n"/>
      <c r="F378" s="25">
        <f>IFERROR(VLOOKUP(E809,SETTINGS!A:B,2,0),"No Value")</f>
        <v/>
      </c>
      <c r="G378" s="5" t="n"/>
      <c r="H378" s="5" t="n"/>
      <c r="I378" s="5" t="n"/>
    </row>
    <row r="379" ht="15.75" customHeight="1" s="184">
      <c r="A379" s="19" t="n"/>
      <c r="B379" s="21">
        <f>IFERROR(IF(A810&lt;=0,"",TEXT(A810,"MMM YY")),"")</f>
        <v/>
      </c>
      <c r="C379" s="22" t="n"/>
      <c r="D379" s="23" t="n"/>
      <c r="E379" s="22" t="n"/>
      <c r="F379" s="25">
        <f>IFERROR(VLOOKUP(E810,SETTINGS!A:B,2,0),"No Value")</f>
        <v/>
      </c>
      <c r="G379" s="5" t="n"/>
      <c r="H379" s="5" t="n"/>
      <c r="I379" s="5" t="n"/>
    </row>
    <row r="380" ht="15.75" customHeight="1" s="184">
      <c r="A380" s="19" t="n"/>
      <c r="B380" s="21">
        <f>IFERROR(IF(A811&lt;=0,"",TEXT(A811,"MMM YY")),"")</f>
        <v/>
      </c>
      <c r="C380" s="22" t="n"/>
      <c r="D380" s="23" t="n"/>
      <c r="E380" s="22" t="n"/>
      <c r="F380" s="25">
        <f>IFERROR(VLOOKUP(E811,SETTINGS!A:B,2,0),"No Value")</f>
        <v/>
      </c>
      <c r="G380" s="5" t="n"/>
      <c r="H380" s="5" t="n"/>
      <c r="I380" s="5" t="n"/>
    </row>
    <row r="381" ht="15.75" customHeight="1" s="184">
      <c r="A381" s="19" t="n"/>
      <c r="B381" s="21">
        <f>IFERROR(IF(A812&lt;=0,"",TEXT(A812,"MMM YY")),"")</f>
        <v/>
      </c>
      <c r="C381" s="22" t="n"/>
      <c r="D381" s="23" t="n"/>
      <c r="E381" s="22" t="n"/>
      <c r="F381" s="25">
        <f>IFERROR(VLOOKUP(E812,SETTINGS!A:B,2,0),"No Value")</f>
        <v/>
      </c>
      <c r="G381" s="5" t="n"/>
      <c r="H381" s="5" t="n"/>
      <c r="I381" s="5" t="n"/>
    </row>
    <row r="382" ht="15.75" customHeight="1" s="184">
      <c r="A382" s="19" t="n"/>
      <c r="B382" s="21">
        <f>IFERROR(IF(A813&lt;=0,"",TEXT(A813,"MMM YY")),"")</f>
        <v/>
      </c>
      <c r="C382" s="22" t="n"/>
      <c r="D382" s="23" t="n"/>
      <c r="E382" s="22" t="n"/>
      <c r="F382" s="25">
        <f>IFERROR(VLOOKUP(E813,SETTINGS!A:B,2,0),"No Value")</f>
        <v/>
      </c>
      <c r="G382" s="5" t="n"/>
      <c r="H382" s="5" t="n"/>
      <c r="I382" s="5" t="n"/>
    </row>
    <row r="383" ht="15.75" customHeight="1" s="184">
      <c r="A383" s="19" t="n"/>
      <c r="B383" s="21">
        <f>IFERROR(IF(A814&lt;=0,"",TEXT(A814,"MMM YY")),"")</f>
        <v/>
      </c>
      <c r="C383" s="22" t="n"/>
      <c r="D383" s="23" t="n"/>
      <c r="E383" s="22" t="n"/>
      <c r="F383" s="25">
        <f>IFERROR(VLOOKUP(E814,SETTINGS!A:B,2,0),"No Value")</f>
        <v/>
      </c>
      <c r="G383" s="5" t="n"/>
      <c r="H383" s="5" t="n"/>
      <c r="I383" s="5" t="n"/>
    </row>
    <row r="384" ht="15.75" customHeight="1" s="184">
      <c r="A384" s="19" t="n"/>
      <c r="B384" s="21">
        <f>IFERROR(IF(A815&lt;=0,"",TEXT(A815,"MMM YY")),"")</f>
        <v/>
      </c>
      <c r="C384" s="22" t="n"/>
      <c r="D384" s="23" t="n"/>
      <c r="E384" s="22" t="n"/>
      <c r="F384" s="25">
        <f>IFERROR(VLOOKUP(E815,SETTINGS!A:B,2,0),"No Value")</f>
        <v/>
      </c>
      <c r="G384" s="5" t="n"/>
      <c r="H384" s="5" t="n"/>
      <c r="I384" s="5" t="n"/>
    </row>
    <row r="385" ht="15.75" customHeight="1" s="184">
      <c r="A385" s="19" t="n"/>
      <c r="B385" s="21">
        <f>IFERROR(IF(A816&lt;=0,"",TEXT(A816,"MMM YY")),"")</f>
        <v/>
      </c>
      <c r="C385" s="22" t="n"/>
      <c r="D385" s="23" t="n"/>
      <c r="E385" s="22" t="n"/>
      <c r="F385" s="25">
        <f>IFERROR(VLOOKUP(E816,SETTINGS!A:B,2,0),"No Value")</f>
        <v/>
      </c>
      <c r="G385" s="5" t="n"/>
      <c r="H385" s="5" t="n"/>
      <c r="I385" s="5" t="n"/>
    </row>
    <row r="386" ht="15.75" customHeight="1" s="184">
      <c r="A386" s="19" t="n"/>
      <c r="B386" s="21">
        <f>IFERROR(IF(A817&lt;=0,"",TEXT(A817,"MMM YY")),"")</f>
        <v/>
      </c>
      <c r="C386" s="22" t="n"/>
      <c r="D386" s="23" t="n"/>
      <c r="E386" s="22" t="n"/>
      <c r="F386" s="25">
        <f>IFERROR(VLOOKUP(E817,SETTINGS!A:B,2,0),"No Value")</f>
        <v/>
      </c>
      <c r="G386" s="5" t="n"/>
      <c r="H386" s="5" t="n"/>
      <c r="I386" s="5" t="n"/>
    </row>
    <row r="387" ht="15.75" customHeight="1" s="184">
      <c r="A387" s="19" t="n"/>
      <c r="B387" s="21">
        <f>IFERROR(IF(A818&lt;=0,"",TEXT(A818,"MMM YY")),"")</f>
        <v/>
      </c>
      <c r="C387" s="22" t="n"/>
      <c r="D387" s="23" t="n"/>
      <c r="E387" s="22" t="n"/>
      <c r="F387" s="25">
        <f>IFERROR(VLOOKUP(E818,SETTINGS!A:B,2,0),"No Value")</f>
        <v/>
      </c>
      <c r="G387" s="5" t="n"/>
      <c r="H387" s="5" t="n"/>
      <c r="I387" s="5" t="n"/>
    </row>
    <row r="388" ht="15.75" customHeight="1" s="184">
      <c r="A388" s="19" t="n"/>
      <c r="B388" s="21">
        <f>IFERROR(IF(A819&lt;=0,"",TEXT(A819,"MMM YY")),"")</f>
        <v/>
      </c>
      <c r="C388" s="22" t="n"/>
      <c r="D388" s="23" t="n"/>
      <c r="E388" s="22" t="n"/>
      <c r="F388" s="25">
        <f>IFERROR(VLOOKUP(E819,SETTINGS!A:B,2,0),"No Value")</f>
        <v/>
      </c>
      <c r="G388" s="5" t="n"/>
      <c r="H388" s="5" t="n"/>
      <c r="I388" s="5" t="n"/>
    </row>
    <row r="389" ht="15.75" customHeight="1" s="184">
      <c r="A389" s="19" t="n"/>
      <c r="B389" s="21">
        <f>IFERROR(IF(A820&lt;=0,"",TEXT(A820,"MMM YY")),"")</f>
        <v/>
      </c>
      <c r="C389" s="22" t="n"/>
      <c r="D389" s="23" t="n"/>
      <c r="E389" s="22" t="n"/>
      <c r="F389" s="25">
        <f>IFERROR(VLOOKUP(E820,SETTINGS!A:B,2,0),"No Value")</f>
        <v/>
      </c>
      <c r="G389" s="5" t="n"/>
      <c r="H389" s="5" t="n"/>
      <c r="I389" s="5" t="n"/>
    </row>
    <row r="390" ht="15.75" customHeight="1" s="184">
      <c r="A390" s="19" t="n"/>
      <c r="B390" s="21">
        <f>IFERROR(IF(A821&lt;=0,"",TEXT(A821,"MMM YY")),"")</f>
        <v/>
      </c>
      <c r="C390" s="22" t="n"/>
      <c r="D390" s="23" t="n"/>
      <c r="E390" s="22" t="n"/>
      <c r="F390" s="25">
        <f>IFERROR(VLOOKUP(E821,SETTINGS!A:B,2,0),"No Value")</f>
        <v/>
      </c>
      <c r="G390" s="5" t="n"/>
      <c r="H390" s="5" t="n"/>
      <c r="I390" s="5" t="n"/>
    </row>
    <row r="391" ht="15.75" customHeight="1" s="184">
      <c r="A391" s="19" t="n"/>
      <c r="B391" s="21">
        <f>IFERROR(IF(A822&lt;=0,"",TEXT(A822,"MMM YY")),"")</f>
        <v/>
      </c>
      <c r="C391" s="22" t="n"/>
      <c r="D391" s="23" t="n"/>
      <c r="E391" s="22" t="n"/>
      <c r="F391" s="25">
        <f>IFERROR(VLOOKUP(E822,SETTINGS!A:B,2,0),"No Value")</f>
        <v/>
      </c>
      <c r="G391" s="5" t="n"/>
      <c r="H391" s="5" t="n"/>
      <c r="I391" s="5" t="n"/>
    </row>
    <row r="392" ht="15.75" customHeight="1" s="184">
      <c r="A392" s="19" t="n"/>
      <c r="B392" s="21">
        <f>IFERROR(IF(A823&lt;=0,"",TEXT(A823,"MMM YY")),"")</f>
        <v/>
      </c>
      <c r="C392" s="22" t="n"/>
      <c r="D392" s="23" t="n"/>
      <c r="E392" s="22" t="n"/>
      <c r="F392" s="25">
        <f>IFERROR(VLOOKUP(E823,SETTINGS!A:B,2,0),"No Value")</f>
        <v/>
      </c>
      <c r="G392" s="5" t="n"/>
      <c r="H392" s="5" t="n"/>
      <c r="I392" s="5" t="n"/>
    </row>
    <row r="393" ht="15.75" customHeight="1" s="184">
      <c r="A393" s="19" t="n"/>
      <c r="B393" s="21">
        <f>IFERROR(IF(A824&lt;=0,"",TEXT(A824,"MMM YY")),"")</f>
        <v/>
      </c>
      <c r="C393" s="22" t="n"/>
      <c r="D393" s="23" t="n"/>
      <c r="E393" s="22" t="n"/>
      <c r="F393" s="25">
        <f>IFERROR(VLOOKUP(E824,SETTINGS!A:B,2,0),"No Value")</f>
        <v/>
      </c>
      <c r="G393" s="5" t="n"/>
      <c r="H393" s="5" t="n"/>
      <c r="I393" s="5" t="n"/>
    </row>
    <row r="394" ht="15.75" customHeight="1" s="184">
      <c r="A394" s="19" t="n"/>
      <c r="B394" s="21">
        <f>IFERROR(IF(A825&lt;=0,"",TEXT(A825,"MMM YY")),"")</f>
        <v/>
      </c>
      <c r="C394" s="22" t="n"/>
      <c r="D394" s="23" t="n"/>
      <c r="E394" s="22" t="n"/>
      <c r="F394" s="25">
        <f>IFERROR(VLOOKUP(E825,SETTINGS!A:B,2,0),"No Value")</f>
        <v/>
      </c>
      <c r="G394" s="5" t="n"/>
      <c r="H394" s="5" t="n"/>
      <c r="I394" s="5" t="n"/>
    </row>
    <row r="395" ht="15.75" customHeight="1" s="184">
      <c r="A395" s="19" t="n"/>
      <c r="B395" s="21">
        <f>IFERROR(IF(A826&lt;=0,"",TEXT(A826,"MMM YY")),"")</f>
        <v/>
      </c>
      <c r="C395" s="22" t="n"/>
      <c r="D395" s="23" t="n"/>
      <c r="E395" s="22" t="n"/>
      <c r="F395" s="25">
        <f>IFERROR(VLOOKUP(E826,SETTINGS!A:B,2,0),"No Value")</f>
        <v/>
      </c>
      <c r="G395" s="5" t="n"/>
      <c r="H395" s="5" t="n"/>
      <c r="I395" s="5" t="n"/>
    </row>
    <row r="396" ht="15.75" customHeight="1" s="184">
      <c r="A396" s="19" t="n"/>
      <c r="B396" s="21">
        <f>IFERROR(IF(A827&lt;=0,"",TEXT(A827,"MMM YY")),"")</f>
        <v/>
      </c>
      <c r="C396" s="22" t="n"/>
      <c r="D396" s="23" t="n"/>
      <c r="E396" s="22" t="n"/>
      <c r="F396" s="25">
        <f>IFERROR(VLOOKUP(E827,SETTINGS!A:B,2,0),"No Value")</f>
        <v/>
      </c>
      <c r="G396" s="5" t="n"/>
      <c r="H396" s="5" t="n"/>
      <c r="I396" s="5" t="n"/>
    </row>
    <row r="397" ht="15.75" customHeight="1" s="184">
      <c r="A397" s="19" t="n"/>
      <c r="B397" s="21">
        <f>IFERROR(IF(A828&lt;=0,"",TEXT(A828,"MMM YY")),"")</f>
        <v/>
      </c>
      <c r="C397" s="22" t="n"/>
      <c r="D397" s="23" t="n"/>
      <c r="E397" s="22" t="n"/>
      <c r="F397" s="25">
        <f>IFERROR(VLOOKUP(E828,SETTINGS!A:B,2,0),"No Value")</f>
        <v/>
      </c>
      <c r="G397" s="5" t="n"/>
      <c r="H397" s="5" t="n"/>
      <c r="I397" s="5" t="n"/>
    </row>
    <row r="398" ht="15.75" customHeight="1" s="184">
      <c r="A398" s="19" t="n"/>
      <c r="B398" s="21">
        <f>IFERROR(IF(A829&lt;=0,"",TEXT(A829,"MMM YY")),"")</f>
        <v/>
      </c>
      <c r="C398" s="22" t="n"/>
      <c r="D398" s="23" t="n"/>
      <c r="E398" s="22" t="n"/>
      <c r="F398" s="25">
        <f>IFERROR(VLOOKUP(E829,SETTINGS!A:B,2,0),"No Value")</f>
        <v/>
      </c>
      <c r="G398" s="5" t="n"/>
      <c r="H398" s="5" t="n"/>
      <c r="I398" s="5" t="n"/>
    </row>
    <row r="399" ht="15.75" customHeight="1" s="184">
      <c r="A399" s="19" t="n"/>
      <c r="B399" s="21">
        <f>IFERROR(IF(A830&lt;=0,"",TEXT(A830,"MMM YY")),"")</f>
        <v/>
      </c>
      <c r="C399" s="22" t="n"/>
      <c r="D399" s="23" t="n"/>
      <c r="E399" s="22" t="n"/>
      <c r="F399" s="25">
        <f>IFERROR(VLOOKUP(E830,SETTINGS!A:B,2,0),"No Value")</f>
        <v/>
      </c>
      <c r="G399" s="5" t="n"/>
      <c r="H399" s="5" t="n"/>
      <c r="I399" s="5" t="n"/>
    </row>
    <row r="400" ht="15.75" customHeight="1" s="184">
      <c r="A400" s="19" t="n"/>
      <c r="B400" s="21">
        <f>IFERROR(IF(A831&lt;=0,"",TEXT(A831,"MMM YY")),"")</f>
        <v/>
      </c>
      <c r="C400" s="22" t="n"/>
      <c r="D400" s="23" t="n"/>
      <c r="E400" s="22" t="n"/>
      <c r="F400" s="25">
        <f>IFERROR(VLOOKUP(E831,SETTINGS!A:B,2,0),"No Value")</f>
        <v/>
      </c>
      <c r="G400" s="5" t="n"/>
      <c r="H400" s="5" t="n"/>
      <c r="I400" s="5" t="n"/>
    </row>
    <row r="401" ht="15.75" customHeight="1" s="184">
      <c r="A401" s="19" t="n"/>
      <c r="B401" s="21">
        <f>IFERROR(IF(A832&lt;=0,"",TEXT(A832,"MMM YY")),"")</f>
        <v/>
      </c>
      <c r="C401" s="22" t="n"/>
      <c r="D401" s="23" t="n"/>
      <c r="E401" s="22" t="n"/>
      <c r="F401" s="25">
        <f>IFERROR(VLOOKUP(E832,SETTINGS!A:B,2,0),"No Value")</f>
        <v/>
      </c>
      <c r="G401" s="5" t="n"/>
      <c r="H401" s="5" t="n"/>
      <c r="I401" s="5" t="n"/>
    </row>
    <row r="402" ht="15.75" customHeight="1" s="184">
      <c r="A402" s="19" t="n"/>
      <c r="B402" s="21">
        <f>IFERROR(IF(A833&lt;=0,"",TEXT(A833,"MMM YY")),"")</f>
        <v/>
      </c>
      <c r="C402" s="22" t="n"/>
      <c r="D402" s="23" t="n"/>
      <c r="E402" s="22" t="n"/>
      <c r="F402" s="25">
        <f>IFERROR(VLOOKUP(E833,SETTINGS!A:B,2,0),"No Value")</f>
        <v/>
      </c>
      <c r="G402" s="5" t="n"/>
      <c r="H402" s="5" t="n"/>
      <c r="I402" s="5" t="n"/>
    </row>
    <row r="403" ht="15.75" customHeight="1" s="184">
      <c r="A403" s="19" t="n"/>
      <c r="B403" s="21">
        <f>IFERROR(IF(A834&lt;=0,"",TEXT(A834,"MMM YY")),"")</f>
        <v/>
      </c>
      <c r="C403" s="22" t="n"/>
      <c r="D403" s="23" t="n"/>
      <c r="E403" s="22" t="n"/>
      <c r="F403" s="25">
        <f>IFERROR(VLOOKUP(E834,SETTINGS!A:B,2,0),"No Value")</f>
        <v/>
      </c>
      <c r="G403" s="5" t="n"/>
      <c r="H403" s="5" t="n"/>
      <c r="I403" s="5" t="n"/>
    </row>
    <row r="404" ht="15.75" customHeight="1" s="184">
      <c r="A404" s="19" t="n"/>
      <c r="B404" s="21">
        <f>IFERROR(IF(A835&lt;=0,"",TEXT(A835,"MMM YY")),"")</f>
        <v/>
      </c>
      <c r="C404" s="22" t="n"/>
      <c r="D404" s="23" t="n"/>
      <c r="E404" s="22" t="n"/>
      <c r="F404" s="25">
        <f>IFERROR(VLOOKUP(E835,SETTINGS!A:B,2,0),"No Value")</f>
        <v/>
      </c>
      <c r="G404" s="5" t="n"/>
      <c r="H404" s="5" t="n"/>
      <c r="I404" s="5" t="n"/>
    </row>
    <row r="405" ht="15.75" customHeight="1" s="184">
      <c r="A405" s="19" t="n"/>
      <c r="B405" s="21">
        <f>IFERROR(IF(A836&lt;=0,"",TEXT(A836,"MMM YY")),"")</f>
        <v/>
      </c>
      <c r="C405" s="22" t="n"/>
      <c r="D405" s="23" t="n"/>
      <c r="E405" s="22" t="n"/>
      <c r="F405" s="25">
        <f>IFERROR(VLOOKUP(E836,SETTINGS!A:B,2,0),"No Value")</f>
        <v/>
      </c>
      <c r="G405" s="5" t="n"/>
      <c r="H405" s="5" t="n"/>
      <c r="I405" s="5" t="n"/>
    </row>
    <row r="406" ht="15.75" customHeight="1" s="184">
      <c r="A406" s="19" t="n"/>
      <c r="B406" s="21">
        <f>IFERROR(IF(A837&lt;=0,"",TEXT(A837,"MMM YY")),"")</f>
        <v/>
      </c>
      <c r="C406" s="22" t="n"/>
      <c r="D406" s="23" t="n"/>
      <c r="E406" s="22" t="n"/>
      <c r="F406" s="25">
        <f>IFERROR(VLOOKUP(E837,SETTINGS!A:B,2,0),"No Value")</f>
        <v/>
      </c>
      <c r="G406" s="5" t="n"/>
      <c r="H406" s="5" t="n"/>
      <c r="I406" s="5" t="n"/>
    </row>
    <row r="407" ht="15.75" customHeight="1" s="184">
      <c r="A407" s="19" t="n"/>
      <c r="B407" s="21">
        <f>IFERROR(IF(A838&lt;=0,"",TEXT(A838,"MMM YY")),"")</f>
        <v/>
      </c>
      <c r="C407" s="22" t="n"/>
      <c r="D407" s="23" t="n"/>
      <c r="E407" s="22" t="n"/>
      <c r="F407" s="25">
        <f>IFERROR(VLOOKUP(E838,SETTINGS!A:B,2,0),"No Value")</f>
        <v/>
      </c>
      <c r="G407" s="5" t="n"/>
      <c r="H407" s="5" t="n"/>
      <c r="I407" s="5" t="n"/>
    </row>
    <row r="408" ht="15.75" customHeight="1" s="184">
      <c r="A408" s="19" t="n"/>
      <c r="B408" s="21">
        <f>IFERROR(IF(A839&lt;=0,"",TEXT(A839,"MMM YY")),"")</f>
        <v/>
      </c>
      <c r="C408" s="22" t="n"/>
      <c r="D408" s="23" t="n"/>
      <c r="E408" s="22" t="n"/>
      <c r="F408" s="25">
        <f>IFERROR(VLOOKUP(E839,SETTINGS!A:B,2,0),"No Value")</f>
        <v/>
      </c>
      <c r="G408" s="5" t="n"/>
      <c r="H408" s="5" t="n"/>
      <c r="I408" s="5" t="n"/>
    </row>
    <row r="409" ht="15.75" customHeight="1" s="184">
      <c r="A409" s="19" t="n"/>
      <c r="B409" s="21">
        <f>IFERROR(IF(A840&lt;=0,"",TEXT(A840,"MMM YY")),"")</f>
        <v/>
      </c>
      <c r="C409" s="22" t="n"/>
      <c r="D409" s="23" t="n"/>
      <c r="E409" s="22" t="n"/>
      <c r="F409" s="25">
        <f>IFERROR(VLOOKUP(E840,SETTINGS!A:B,2,0),"No Value")</f>
        <v/>
      </c>
      <c r="G409" s="5" t="n"/>
      <c r="H409" s="5" t="n"/>
      <c r="I409" s="5" t="n"/>
    </row>
    <row r="410" ht="15.75" customHeight="1" s="184">
      <c r="A410" s="19" t="n"/>
      <c r="B410" s="21">
        <f>IFERROR(IF(A841&lt;=0,"",TEXT(A841,"MMM YY")),"")</f>
        <v/>
      </c>
      <c r="C410" s="22" t="n"/>
      <c r="D410" s="23" t="n"/>
      <c r="E410" s="22" t="n"/>
      <c r="F410" s="25">
        <f>IFERROR(VLOOKUP(E841,SETTINGS!A:B,2,0),"No Value")</f>
        <v/>
      </c>
      <c r="G410" s="5" t="n"/>
      <c r="H410" s="5" t="n"/>
      <c r="I410" s="5" t="n"/>
    </row>
    <row r="411" ht="15.75" customHeight="1" s="184">
      <c r="A411" s="19" t="n"/>
      <c r="B411" s="21">
        <f>IFERROR(IF(A842&lt;=0,"",TEXT(A842,"MMM YY")),"")</f>
        <v/>
      </c>
      <c r="C411" s="22" t="n"/>
      <c r="D411" s="23" t="n"/>
      <c r="E411" s="22" t="n"/>
      <c r="F411" s="25">
        <f>IFERROR(VLOOKUP(E842,SETTINGS!A:B,2,0),"No Value")</f>
        <v/>
      </c>
      <c r="G411" s="5" t="n"/>
      <c r="H411" s="5" t="n"/>
      <c r="I411" s="5" t="n"/>
    </row>
    <row r="412" ht="15.75" customHeight="1" s="184">
      <c r="A412" s="19" t="n"/>
      <c r="B412" s="21">
        <f>IFERROR(IF(A843&lt;=0,"",TEXT(A843,"MMM YY")),"")</f>
        <v/>
      </c>
      <c r="C412" s="22" t="n"/>
      <c r="D412" s="23" t="n"/>
      <c r="E412" s="22" t="n"/>
      <c r="F412" s="25">
        <f>IFERROR(VLOOKUP(E843,SETTINGS!A:B,2,0),"No Value")</f>
        <v/>
      </c>
      <c r="G412" s="5" t="n"/>
      <c r="H412" s="5" t="n"/>
      <c r="I412" s="5" t="n"/>
    </row>
    <row r="413" ht="15.75" customHeight="1" s="184">
      <c r="A413" s="19" t="n"/>
      <c r="B413" s="21">
        <f>IFERROR(IF(A844&lt;=0,"",TEXT(A844,"MMM YY")),"")</f>
        <v/>
      </c>
      <c r="C413" s="22" t="n"/>
      <c r="D413" s="23" t="n"/>
      <c r="E413" s="22" t="n"/>
      <c r="F413" s="25">
        <f>IFERROR(VLOOKUP(E844,SETTINGS!A:B,2,0),"No Value")</f>
        <v/>
      </c>
      <c r="G413" s="5" t="n"/>
      <c r="H413" s="5" t="n"/>
      <c r="I413" s="5" t="n"/>
    </row>
    <row r="414" ht="15.75" customHeight="1" s="184">
      <c r="A414" s="19" t="n"/>
      <c r="B414" s="21">
        <f>IFERROR(IF(A845&lt;=0,"",TEXT(A845,"MMM YY")),"")</f>
        <v/>
      </c>
      <c r="C414" s="22" t="n"/>
      <c r="D414" s="23" t="n"/>
      <c r="E414" s="22" t="n"/>
      <c r="F414" s="25">
        <f>IFERROR(VLOOKUP(E845,SETTINGS!A:B,2,0),"No Value")</f>
        <v/>
      </c>
      <c r="G414" s="5" t="n"/>
      <c r="H414" s="5" t="n"/>
      <c r="I414" s="5" t="n"/>
    </row>
    <row r="415" ht="15.75" customHeight="1" s="184">
      <c r="A415" s="19" t="n"/>
      <c r="B415" s="21">
        <f>IFERROR(IF(A846&lt;=0,"",TEXT(A846,"MMM YY")),"")</f>
        <v/>
      </c>
      <c r="C415" s="22" t="n"/>
      <c r="D415" s="23" t="n"/>
      <c r="E415" s="22" t="n"/>
      <c r="F415" s="25">
        <f>IFERROR(VLOOKUP(E846,SETTINGS!A:B,2,0),"No Value")</f>
        <v/>
      </c>
      <c r="G415" s="5" t="n"/>
      <c r="H415" s="5" t="n"/>
      <c r="I415" s="5" t="n"/>
    </row>
    <row r="416" ht="15.75" customHeight="1" s="184">
      <c r="A416" s="19" t="n"/>
      <c r="B416" s="21">
        <f>IFERROR(IF(A847&lt;=0,"",TEXT(A847,"MMM YY")),"")</f>
        <v/>
      </c>
      <c r="C416" s="22" t="n"/>
      <c r="D416" s="23" t="n"/>
      <c r="E416" s="22" t="n"/>
      <c r="F416" s="25">
        <f>IFERROR(VLOOKUP(E847,SETTINGS!A:B,2,0),"No Value")</f>
        <v/>
      </c>
      <c r="G416" s="5" t="n"/>
      <c r="H416" s="5" t="n"/>
      <c r="I416" s="5" t="n"/>
    </row>
    <row r="417" ht="15.75" customHeight="1" s="184">
      <c r="A417" s="19" t="n"/>
      <c r="B417" s="21">
        <f>IFERROR(IF(A848&lt;=0,"",TEXT(A848,"MMM YY")),"")</f>
        <v/>
      </c>
      <c r="C417" s="22" t="n"/>
      <c r="D417" s="23" t="n"/>
      <c r="E417" s="22" t="n"/>
      <c r="F417" s="25">
        <f>IFERROR(VLOOKUP(E848,SETTINGS!A:B,2,0),"No Value")</f>
        <v/>
      </c>
      <c r="G417" s="5" t="n"/>
      <c r="H417" s="5" t="n"/>
      <c r="I417" s="5" t="n"/>
    </row>
    <row r="418" ht="15.75" customHeight="1" s="184">
      <c r="A418" s="19" t="n"/>
      <c r="B418" s="21">
        <f>IFERROR(IF(A849&lt;=0,"",TEXT(A849,"MMM YY")),"")</f>
        <v/>
      </c>
      <c r="C418" s="22" t="n"/>
      <c r="D418" s="23" t="n"/>
      <c r="E418" s="22" t="n"/>
      <c r="F418" s="25">
        <f>IFERROR(VLOOKUP(E849,SETTINGS!A:B,2,0),"No Value")</f>
        <v/>
      </c>
      <c r="G418" s="5" t="n"/>
      <c r="H418" s="5" t="n"/>
      <c r="I418" s="5" t="n"/>
    </row>
    <row r="419" ht="15.75" customHeight="1" s="184">
      <c r="A419" s="19" t="n"/>
      <c r="B419" s="21">
        <f>IFERROR(IF(A850&lt;=0,"",TEXT(A850,"MMM YY")),"")</f>
        <v/>
      </c>
      <c r="C419" s="22" t="n"/>
      <c r="D419" s="23" t="n"/>
      <c r="E419" s="22" t="n"/>
      <c r="F419" s="25">
        <f>IFERROR(VLOOKUP(E850,SETTINGS!A:B,2,0),"No Value")</f>
        <v/>
      </c>
      <c r="G419" s="5" t="n"/>
      <c r="H419" s="5" t="n"/>
      <c r="I419" s="5" t="n"/>
    </row>
    <row r="420" ht="15.75" customHeight="1" s="184">
      <c r="A420" s="19" t="n"/>
      <c r="B420" s="21">
        <f>IFERROR(IF(A851&lt;=0,"",TEXT(A851,"MMM YY")),"")</f>
        <v/>
      </c>
      <c r="C420" s="22" t="n"/>
      <c r="D420" s="23" t="n"/>
      <c r="E420" s="22" t="n"/>
      <c r="F420" s="25">
        <f>IFERROR(VLOOKUP(E851,SETTINGS!A:B,2,0),"No Value")</f>
        <v/>
      </c>
      <c r="G420" s="5" t="n"/>
      <c r="H420" s="5" t="n"/>
      <c r="I420" s="5" t="n"/>
    </row>
    <row r="421" ht="15.75" customHeight="1" s="184">
      <c r="A421" s="19" t="n"/>
      <c r="B421" s="21">
        <f>IFERROR(IF(A852&lt;=0,"",TEXT(A852,"MMM YY")),"")</f>
        <v/>
      </c>
      <c r="C421" s="22" t="n"/>
      <c r="D421" s="23" t="n"/>
      <c r="E421" s="22" t="n"/>
      <c r="F421" s="25">
        <f>IFERROR(VLOOKUP(E852,SETTINGS!A:B,2,0),"No Value")</f>
        <v/>
      </c>
      <c r="G421" s="5" t="n"/>
      <c r="H421" s="5" t="n"/>
      <c r="I421" s="5" t="n"/>
    </row>
    <row r="422" ht="15.75" customHeight="1" s="184">
      <c r="A422" s="19" t="n"/>
      <c r="B422" s="21">
        <f>IFERROR(IF(A853&lt;=0,"",TEXT(A853,"MMM YY")),"")</f>
        <v/>
      </c>
      <c r="C422" s="22" t="n"/>
      <c r="D422" s="23" t="n"/>
      <c r="E422" s="22" t="n"/>
      <c r="F422" s="25">
        <f>IFERROR(VLOOKUP(E853,SETTINGS!A:B,2,0),"No Value")</f>
        <v/>
      </c>
      <c r="G422" s="5" t="n"/>
      <c r="H422" s="5" t="n"/>
      <c r="I422" s="5" t="n"/>
    </row>
    <row r="423" ht="15.75" customHeight="1" s="184">
      <c r="A423" s="19" t="n"/>
      <c r="B423" s="21">
        <f>IFERROR(IF(A854&lt;=0,"",TEXT(A854,"MMM YY")),"")</f>
        <v/>
      </c>
      <c r="C423" s="22" t="n"/>
      <c r="D423" s="23" t="n"/>
      <c r="E423" s="22" t="n"/>
      <c r="F423" s="25">
        <f>IFERROR(VLOOKUP(E854,SETTINGS!A:B,2,0),"No Value")</f>
        <v/>
      </c>
      <c r="G423" s="5" t="n"/>
      <c r="H423" s="5" t="n"/>
      <c r="I423" s="5" t="n"/>
    </row>
    <row r="424" ht="15.75" customHeight="1" s="184">
      <c r="A424" s="19" t="n"/>
      <c r="B424" s="21">
        <f>IFERROR(IF(A855&lt;=0,"",TEXT(A855,"MMM YY")),"")</f>
        <v/>
      </c>
      <c r="C424" s="22" t="n"/>
      <c r="D424" s="23" t="n"/>
      <c r="E424" s="22" t="n"/>
      <c r="F424" s="25">
        <f>IFERROR(VLOOKUP(E855,SETTINGS!A:B,2,0),"No Value")</f>
        <v/>
      </c>
      <c r="G424" s="5" t="n"/>
      <c r="H424" s="5" t="n"/>
      <c r="I424" s="5" t="n"/>
    </row>
    <row r="425" ht="15.75" customHeight="1" s="184">
      <c r="A425" s="19" t="n"/>
      <c r="B425" s="21">
        <f>IFERROR(IF(A856&lt;=0,"",TEXT(A856,"MMM YY")),"")</f>
        <v/>
      </c>
      <c r="C425" s="22" t="n"/>
      <c r="D425" s="23" t="n"/>
      <c r="E425" s="22" t="n"/>
      <c r="F425" s="25">
        <f>IFERROR(VLOOKUP(E856,SETTINGS!A:B,2,0),"No Value")</f>
        <v/>
      </c>
      <c r="G425" s="5" t="n"/>
      <c r="H425" s="5" t="n"/>
      <c r="I425" s="5" t="n"/>
    </row>
    <row r="426" ht="15.75" customHeight="1" s="184">
      <c r="A426" s="19" t="n"/>
      <c r="B426" s="21">
        <f>IFERROR(IF(A857&lt;=0,"",TEXT(A857,"MMM YY")),"")</f>
        <v/>
      </c>
      <c r="C426" s="22" t="n"/>
      <c r="D426" s="23" t="n"/>
      <c r="E426" s="22" t="n"/>
      <c r="F426" s="25">
        <f>IFERROR(VLOOKUP(E857,SETTINGS!A:B,2,0),"No Value")</f>
        <v/>
      </c>
      <c r="G426" s="5" t="n"/>
      <c r="H426" s="5" t="n"/>
      <c r="I426" s="5" t="n"/>
    </row>
    <row r="427" ht="15.75" customHeight="1" s="184">
      <c r="A427" s="19" t="n"/>
      <c r="B427" s="21">
        <f>IFERROR(IF(A858&lt;=0,"",TEXT(A858,"MMM YY")),"")</f>
        <v/>
      </c>
      <c r="C427" s="22" t="n"/>
      <c r="D427" s="23" t="n"/>
      <c r="E427" s="22" t="n"/>
      <c r="F427" s="25">
        <f>IFERROR(VLOOKUP(E858,SETTINGS!A:B,2,0),"No Value")</f>
        <v/>
      </c>
      <c r="G427" s="5" t="n"/>
      <c r="H427" s="5" t="n"/>
      <c r="I427" s="5" t="n"/>
    </row>
    <row r="428" ht="15.75" customHeight="1" s="184">
      <c r="A428" s="19" t="n"/>
      <c r="B428" s="21">
        <f>IFERROR(IF(A859&lt;=0,"",TEXT(A859,"MMM YY")),"")</f>
        <v/>
      </c>
      <c r="C428" s="22" t="n"/>
      <c r="D428" s="23" t="n"/>
      <c r="E428" s="22" t="n"/>
      <c r="F428" s="25">
        <f>IFERROR(VLOOKUP(E859,SETTINGS!A:B,2,0),"No Value")</f>
        <v/>
      </c>
      <c r="G428" s="5" t="n"/>
      <c r="H428" s="5" t="n"/>
      <c r="I428" s="5" t="n"/>
    </row>
    <row r="429" ht="15.75" customHeight="1" s="184">
      <c r="A429" s="19" t="n"/>
      <c r="B429" s="21">
        <f>IFERROR(IF(A860&lt;=0,"",TEXT(A860,"MMM YY")),"")</f>
        <v/>
      </c>
      <c r="C429" s="22" t="n"/>
      <c r="D429" s="23" t="n"/>
      <c r="E429" s="22" t="n"/>
      <c r="F429" s="25">
        <f>IFERROR(VLOOKUP(E860,SETTINGS!A:B,2,0),"No Value")</f>
        <v/>
      </c>
      <c r="G429" s="5" t="n"/>
      <c r="H429" s="5" t="n"/>
      <c r="I429" s="5" t="n"/>
    </row>
    <row r="430" ht="15.75" customHeight="1" s="184">
      <c r="A430" s="19" t="n"/>
      <c r="B430" s="21">
        <f>IFERROR(IF(A861&lt;=0,"",TEXT(A861,"MMM YY")),"")</f>
        <v/>
      </c>
      <c r="C430" s="22" t="n"/>
      <c r="D430" s="23" t="n"/>
      <c r="E430" s="22" t="n"/>
      <c r="F430" s="25">
        <f>IFERROR(VLOOKUP(E861,SETTINGS!A:B,2,0),"No Value")</f>
        <v/>
      </c>
      <c r="G430" s="5" t="n"/>
      <c r="H430" s="5" t="n"/>
      <c r="I430" s="5" t="n"/>
    </row>
    <row r="431" ht="15.75" customHeight="1" s="184">
      <c r="A431" s="19" t="n"/>
      <c r="B431" s="21">
        <f>IFERROR(IF(A862&lt;=0,"",TEXT(A862,"MMM YY")),"")</f>
        <v/>
      </c>
      <c r="C431" s="22" t="n"/>
      <c r="D431" s="23" t="n"/>
      <c r="E431" s="22" t="n"/>
      <c r="F431" s="25">
        <f>IFERROR(VLOOKUP(E862,SETTINGS!A:B,2,0),"No Value")</f>
        <v/>
      </c>
      <c r="G431" s="5" t="n"/>
      <c r="H431" s="5" t="n"/>
      <c r="I431" s="5" t="n"/>
    </row>
    <row r="432" ht="15.75" customHeight="1" s="184">
      <c r="A432" s="19" t="n"/>
      <c r="B432" s="21">
        <f>IFERROR(IF(A863&lt;=0,"",TEXT(A863,"MMM YY")),"")</f>
        <v/>
      </c>
      <c r="C432" s="22" t="n"/>
      <c r="D432" s="23" t="n"/>
      <c r="E432" s="22" t="n"/>
      <c r="F432" s="25">
        <f>IFERROR(VLOOKUP(E863,SETTINGS!A:B,2,0),"No Value")</f>
        <v/>
      </c>
      <c r="G432" s="5" t="n"/>
      <c r="H432" s="5" t="n"/>
      <c r="I432" s="5" t="n"/>
    </row>
    <row r="433" ht="15.75" customHeight="1" s="184">
      <c r="A433" s="19" t="n"/>
      <c r="B433" s="21">
        <f>IFERROR(IF(A864&lt;=0,"",TEXT(A864,"MMM YY")),"")</f>
        <v/>
      </c>
      <c r="C433" s="22" t="n"/>
      <c r="D433" s="23" t="n"/>
      <c r="E433" s="22" t="n"/>
      <c r="F433" s="25">
        <f>IFERROR(VLOOKUP(E864,SETTINGS!A:B,2,0),"No Value")</f>
        <v/>
      </c>
      <c r="G433" s="5" t="n"/>
      <c r="H433" s="5" t="n"/>
      <c r="I433" s="5" t="n"/>
    </row>
    <row r="434" ht="15.75" customHeight="1" s="184">
      <c r="A434" s="19" t="n"/>
      <c r="B434" s="21">
        <f>IFERROR(IF(A865&lt;=0,"",TEXT(A865,"MMM YY")),"")</f>
        <v/>
      </c>
      <c r="C434" s="22" t="n"/>
      <c r="D434" s="23" t="n"/>
      <c r="E434" s="22" t="n"/>
      <c r="F434" s="25">
        <f>IFERROR(VLOOKUP(E865,SETTINGS!A:B,2,0),"No Value")</f>
        <v/>
      </c>
      <c r="G434" s="5" t="n"/>
      <c r="H434" s="5" t="n"/>
      <c r="I434" s="5" t="n"/>
    </row>
    <row r="435" ht="15.75" customHeight="1" s="184">
      <c r="A435" s="19" t="n"/>
      <c r="B435" s="21">
        <f>IFERROR(IF(A866&lt;=0,"",TEXT(A866,"MMM YY")),"")</f>
        <v/>
      </c>
      <c r="C435" s="22" t="n"/>
      <c r="D435" s="23" t="n"/>
      <c r="E435" s="22" t="n"/>
      <c r="F435" s="25">
        <f>IFERROR(VLOOKUP(E866,SETTINGS!A:B,2,0),"No Value")</f>
        <v/>
      </c>
      <c r="G435" s="5" t="n"/>
      <c r="H435" s="5" t="n"/>
      <c r="I435" s="5" t="n"/>
    </row>
    <row r="436" ht="15.75" customHeight="1" s="184">
      <c r="A436" s="19" t="n"/>
      <c r="B436" s="21">
        <f>IFERROR(IF(A867&lt;=0,"",TEXT(A867,"MMM YY")),"")</f>
        <v/>
      </c>
      <c r="C436" s="22" t="n"/>
      <c r="D436" s="23" t="n"/>
      <c r="E436" s="22" t="n"/>
      <c r="F436" s="25">
        <f>IFERROR(VLOOKUP(E867,SETTINGS!A:B,2,0),"No Value")</f>
        <v/>
      </c>
      <c r="G436" s="5" t="n"/>
      <c r="H436" s="5" t="n"/>
      <c r="I436" s="5" t="n"/>
    </row>
    <row r="437" ht="15.75" customHeight="1" s="184">
      <c r="A437" s="19" t="n"/>
      <c r="B437" s="21">
        <f>IFERROR(IF(A868&lt;=0,"",TEXT(A868,"MMM YY")),"")</f>
        <v/>
      </c>
      <c r="C437" s="22" t="n"/>
      <c r="D437" s="23" t="n"/>
      <c r="E437" s="22" t="n"/>
      <c r="F437" s="25">
        <f>IFERROR(VLOOKUP(E868,SETTINGS!A:B,2,0),"No Value")</f>
        <v/>
      </c>
      <c r="G437" s="5" t="n"/>
      <c r="H437" s="5" t="n"/>
      <c r="I437" s="5" t="n"/>
    </row>
    <row r="438" ht="15.75" customHeight="1" s="184">
      <c r="A438" s="19" t="n"/>
      <c r="B438" s="21">
        <f>IFERROR(IF(A869&lt;=0,"",TEXT(A869,"MMM YY")),"")</f>
        <v/>
      </c>
      <c r="C438" s="22" t="n"/>
      <c r="D438" s="23" t="n"/>
      <c r="E438" s="22" t="n"/>
      <c r="F438" s="25">
        <f>IFERROR(VLOOKUP(E869,SETTINGS!A:B,2,0),"No Value")</f>
        <v/>
      </c>
      <c r="G438" s="5" t="n"/>
      <c r="H438" s="5" t="n"/>
      <c r="I438" s="5" t="n"/>
    </row>
    <row r="439" ht="15.75" customHeight="1" s="184">
      <c r="A439" s="19" t="n"/>
      <c r="B439" s="21">
        <f>IFERROR(IF(A870&lt;=0,"",TEXT(A870,"MMM YY")),"")</f>
        <v/>
      </c>
      <c r="C439" s="22" t="n"/>
      <c r="D439" s="23" t="n"/>
      <c r="E439" s="22" t="n"/>
      <c r="F439" s="25">
        <f>IFERROR(VLOOKUP(E870,SETTINGS!A:B,2,0),"No Value")</f>
        <v/>
      </c>
      <c r="G439" s="5" t="n"/>
      <c r="H439" s="5" t="n"/>
      <c r="I439" s="5" t="n"/>
    </row>
    <row r="440" ht="15.75" customHeight="1" s="184">
      <c r="A440" s="19" t="n"/>
      <c r="B440" s="21">
        <f>IFERROR(IF(A871&lt;=0,"",TEXT(A871,"MMM YY")),"")</f>
        <v/>
      </c>
      <c r="C440" s="22" t="n"/>
      <c r="D440" s="23" t="n"/>
      <c r="E440" s="22" t="n"/>
      <c r="F440" s="25">
        <f>IFERROR(VLOOKUP(E871,SETTINGS!A:B,2,0),"No Value")</f>
        <v/>
      </c>
      <c r="G440" s="5" t="n"/>
      <c r="H440" s="5" t="n"/>
      <c r="I440" s="5" t="n"/>
    </row>
    <row r="441" ht="15.75" customHeight="1" s="184">
      <c r="A441" s="19" t="n"/>
      <c r="B441" s="21">
        <f>IFERROR(IF(A872&lt;=0,"",TEXT(A872,"MMM YY")),"")</f>
        <v/>
      </c>
      <c r="C441" s="22" t="n"/>
      <c r="D441" s="23" t="n"/>
      <c r="E441" s="22" t="n"/>
      <c r="F441" s="25">
        <f>IFERROR(VLOOKUP(E872,SETTINGS!A:B,2,0),"No Value")</f>
        <v/>
      </c>
      <c r="G441" s="5" t="n"/>
      <c r="H441" s="5" t="n"/>
      <c r="I441" s="5" t="n"/>
    </row>
    <row r="442" ht="15.75" customHeight="1" s="184">
      <c r="A442" s="19" t="n"/>
      <c r="B442" s="21">
        <f>IFERROR(IF(A873&lt;=0,"",TEXT(A873,"MMM YY")),"")</f>
        <v/>
      </c>
      <c r="C442" s="22" t="n"/>
      <c r="D442" s="23" t="n"/>
      <c r="E442" s="22" t="n"/>
      <c r="F442" s="25">
        <f>IFERROR(VLOOKUP(E873,SETTINGS!A:B,2,0),"No Value")</f>
        <v/>
      </c>
      <c r="G442" s="5" t="n"/>
      <c r="H442" s="5" t="n"/>
      <c r="I442" s="5" t="n"/>
    </row>
    <row r="443" ht="15.75" customHeight="1" s="184">
      <c r="A443" s="19" t="n"/>
      <c r="B443" s="21">
        <f>IFERROR(IF(A874&lt;=0,"",TEXT(A874,"MMM YY")),"")</f>
        <v/>
      </c>
      <c r="C443" s="22" t="n"/>
      <c r="D443" s="23" t="n"/>
      <c r="E443" s="22" t="n"/>
      <c r="F443" s="25">
        <f>IFERROR(VLOOKUP(E874,SETTINGS!A:B,2,0),"No Value")</f>
        <v/>
      </c>
      <c r="G443" s="5" t="n"/>
      <c r="H443" s="5" t="n"/>
      <c r="I443" s="5" t="n"/>
    </row>
    <row r="444" ht="15.75" customHeight="1" s="184">
      <c r="A444" s="19" t="n"/>
      <c r="B444" s="21">
        <f>IFERROR(IF(A875&lt;=0,"",TEXT(A875,"MMM YY")),"")</f>
        <v/>
      </c>
      <c r="C444" s="22" t="n"/>
      <c r="D444" s="23" t="n"/>
      <c r="E444" s="22" t="n"/>
      <c r="F444" s="25">
        <f>IFERROR(VLOOKUP(E875,SETTINGS!A:B,2,0),"No Value")</f>
        <v/>
      </c>
      <c r="G444" s="5" t="n"/>
      <c r="H444" s="5" t="n"/>
      <c r="I444" s="5" t="n"/>
    </row>
    <row r="445" ht="15.75" customHeight="1" s="184">
      <c r="A445" s="19" t="n"/>
      <c r="B445" s="21">
        <f>IFERROR(IF(A876&lt;=0,"",TEXT(A876,"MMM YY")),"")</f>
        <v/>
      </c>
      <c r="C445" s="22" t="n"/>
      <c r="D445" s="23" t="n"/>
      <c r="E445" s="22" t="n"/>
      <c r="F445" s="25">
        <f>IFERROR(VLOOKUP(E876,SETTINGS!A:B,2,0),"No Value")</f>
        <v/>
      </c>
      <c r="G445" s="5" t="n"/>
      <c r="H445" s="5" t="n"/>
      <c r="I445" s="5" t="n"/>
    </row>
    <row r="446" ht="15.75" customHeight="1" s="184">
      <c r="A446" s="19" t="n"/>
      <c r="B446" s="21">
        <f>IFERROR(IF(A877&lt;=0,"",TEXT(A877,"MMM YY")),"")</f>
        <v/>
      </c>
      <c r="C446" s="22" t="n"/>
      <c r="D446" s="23" t="n"/>
      <c r="E446" s="22" t="n"/>
      <c r="F446" s="25">
        <f>IFERROR(VLOOKUP(E877,SETTINGS!A:B,2,0),"No Value")</f>
        <v/>
      </c>
      <c r="G446" s="5" t="n"/>
      <c r="H446" s="5" t="n"/>
      <c r="I446" s="5" t="n"/>
    </row>
    <row r="447" ht="15.75" customHeight="1" s="184">
      <c r="A447" s="19" t="n"/>
      <c r="B447" s="21">
        <f>IFERROR(IF(A878&lt;=0,"",TEXT(A878,"MMM YY")),"")</f>
        <v/>
      </c>
      <c r="C447" s="22" t="n"/>
      <c r="D447" s="23" t="n"/>
      <c r="E447" s="22" t="n"/>
      <c r="F447" s="25">
        <f>IFERROR(VLOOKUP(E878,SETTINGS!A:B,2,0),"No Value")</f>
        <v/>
      </c>
      <c r="G447" s="5" t="n"/>
      <c r="H447" s="5" t="n"/>
      <c r="I447" s="5" t="n"/>
    </row>
    <row r="448" ht="15.75" customHeight="1" s="184">
      <c r="A448" s="19" t="n"/>
      <c r="B448" s="21">
        <f>IFERROR(IF(A879&lt;=0,"",TEXT(A879,"MMM YY")),"")</f>
        <v/>
      </c>
      <c r="C448" s="22" t="n"/>
      <c r="D448" s="23" t="n"/>
      <c r="E448" s="22" t="n"/>
      <c r="F448" s="25">
        <f>IFERROR(VLOOKUP(E879,SETTINGS!A:B,2,0),"No Value")</f>
        <v/>
      </c>
      <c r="G448" s="5" t="n"/>
      <c r="H448" s="5" t="n"/>
      <c r="I448" s="5" t="n"/>
    </row>
    <row r="449" ht="15.75" customHeight="1" s="184">
      <c r="A449" s="19" t="n"/>
      <c r="B449" s="21">
        <f>IFERROR(IF(A880&lt;=0,"",TEXT(A880,"MMM YY")),"")</f>
        <v/>
      </c>
      <c r="C449" s="22" t="n"/>
      <c r="D449" s="23" t="n"/>
      <c r="E449" s="22" t="n"/>
      <c r="F449" s="25">
        <f>IFERROR(VLOOKUP(E880,SETTINGS!A:B,2,0),"No Value")</f>
        <v/>
      </c>
      <c r="G449" s="5" t="n"/>
      <c r="H449" s="5" t="n"/>
      <c r="I449" s="5" t="n"/>
    </row>
    <row r="450" ht="15.75" customHeight="1" s="184">
      <c r="A450" s="19" t="n"/>
      <c r="B450" s="21">
        <f>IFERROR(IF(A881&lt;=0,"",TEXT(A881,"MMM YY")),"")</f>
        <v/>
      </c>
      <c r="C450" s="22" t="n"/>
      <c r="D450" s="23" t="n"/>
      <c r="E450" s="22" t="n"/>
      <c r="F450" s="25">
        <f>IFERROR(VLOOKUP(E881,SETTINGS!A:B,2,0),"No Value")</f>
        <v/>
      </c>
      <c r="G450" s="5" t="n"/>
      <c r="H450" s="5" t="n"/>
      <c r="I450" s="5" t="n"/>
    </row>
    <row r="451" ht="15.75" customHeight="1" s="184">
      <c r="A451" s="19" t="n"/>
      <c r="B451" s="21">
        <f>IFERROR(IF(A882&lt;=0,"",TEXT(A882,"MMM YY")),"")</f>
        <v/>
      </c>
      <c r="C451" s="22" t="n"/>
      <c r="D451" s="23" t="n"/>
      <c r="E451" s="22" t="n"/>
      <c r="F451" s="25">
        <f>IFERROR(VLOOKUP(E882,SETTINGS!A:B,2,0),"No Value")</f>
        <v/>
      </c>
      <c r="G451" s="5" t="n"/>
      <c r="H451" s="5" t="n"/>
      <c r="I451" s="5" t="n"/>
    </row>
    <row r="452" ht="15.75" customHeight="1" s="184">
      <c r="A452" s="19" t="n"/>
      <c r="B452" s="21">
        <f>IFERROR(IF(A883&lt;=0,"",TEXT(A883,"MMM YY")),"")</f>
        <v/>
      </c>
      <c r="C452" s="22" t="n"/>
      <c r="D452" s="23" t="n"/>
      <c r="E452" s="22" t="n"/>
      <c r="F452" s="25">
        <f>IFERROR(VLOOKUP(E883,SETTINGS!A:B,2,0),"No Value")</f>
        <v/>
      </c>
      <c r="G452" s="5" t="n"/>
      <c r="H452" s="5" t="n"/>
      <c r="I452" s="5" t="n"/>
    </row>
    <row r="453" ht="15.75" customHeight="1" s="184">
      <c r="A453" s="19" t="n"/>
      <c r="B453" s="21">
        <f>IFERROR(IF(A884&lt;=0,"",TEXT(A884,"MMM YY")),"")</f>
        <v/>
      </c>
      <c r="C453" s="22" t="n"/>
      <c r="D453" s="23" t="n"/>
      <c r="E453" s="22" t="n"/>
      <c r="F453" s="25">
        <f>IFERROR(VLOOKUP(E884,SETTINGS!A:B,2,0),"No Value")</f>
        <v/>
      </c>
      <c r="G453" s="5" t="n"/>
      <c r="H453" s="5" t="n"/>
      <c r="I453" s="5" t="n"/>
    </row>
    <row r="454" ht="15.75" customHeight="1" s="184">
      <c r="A454" s="19" t="n"/>
      <c r="B454" s="21">
        <f>IFERROR(IF(A885&lt;=0,"",TEXT(A885,"MMM YY")),"")</f>
        <v/>
      </c>
      <c r="C454" s="22" t="n"/>
      <c r="D454" s="23" t="n"/>
      <c r="E454" s="22" t="n"/>
      <c r="F454" s="25">
        <f>IFERROR(VLOOKUP(E885,SETTINGS!A:B,2,0),"No Value")</f>
        <v/>
      </c>
      <c r="G454" s="5" t="n"/>
      <c r="H454" s="5" t="n"/>
      <c r="I454" s="5" t="n"/>
    </row>
    <row r="455" ht="15.75" customHeight="1" s="184">
      <c r="A455" s="19" t="n"/>
      <c r="B455" s="21">
        <f>IFERROR(IF(A886&lt;=0,"",TEXT(A886,"MMM YY")),"")</f>
        <v/>
      </c>
      <c r="C455" s="22" t="n"/>
      <c r="D455" s="23" t="n"/>
      <c r="E455" s="22" t="n"/>
      <c r="F455" s="25">
        <f>IFERROR(VLOOKUP(E886,SETTINGS!A:B,2,0),"No Value")</f>
        <v/>
      </c>
      <c r="G455" s="5" t="n"/>
      <c r="H455" s="5" t="n"/>
      <c r="I455" s="5" t="n"/>
    </row>
    <row r="456" ht="15.75" customHeight="1" s="184">
      <c r="A456" s="19" t="n"/>
      <c r="B456" s="21">
        <f>IFERROR(IF(A887&lt;=0,"",TEXT(A887,"MMM YY")),"")</f>
        <v/>
      </c>
      <c r="C456" s="22" t="n"/>
      <c r="D456" s="23" t="n"/>
      <c r="E456" s="22" t="n"/>
      <c r="F456" s="25">
        <f>IFERROR(VLOOKUP(E887,SETTINGS!A:B,2,0),"No Value")</f>
        <v/>
      </c>
      <c r="G456" s="5" t="n"/>
      <c r="H456" s="5" t="n"/>
      <c r="I456" s="5" t="n"/>
    </row>
    <row r="457" ht="15.75" customHeight="1" s="184">
      <c r="A457" s="19" t="n"/>
      <c r="B457" s="21">
        <f>IFERROR(IF(A888&lt;=0,"",TEXT(A888,"MMM YY")),"")</f>
        <v/>
      </c>
      <c r="C457" s="22" t="n"/>
      <c r="D457" s="23" t="n"/>
      <c r="E457" s="22" t="n"/>
      <c r="F457" s="25">
        <f>IFERROR(VLOOKUP(E888,SETTINGS!A:B,2,0),"No Value")</f>
        <v/>
      </c>
      <c r="G457" s="5" t="n"/>
      <c r="H457" s="5" t="n"/>
      <c r="I457" s="5" t="n"/>
    </row>
    <row r="458" ht="15.75" customHeight="1" s="184">
      <c r="A458" s="19" t="n"/>
      <c r="B458" s="21">
        <f>IFERROR(IF(A889&lt;=0,"",TEXT(A889,"MMM YY")),"")</f>
        <v/>
      </c>
      <c r="C458" s="22" t="n"/>
      <c r="D458" s="23" t="n"/>
      <c r="E458" s="22" t="n"/>
      <c r="F458" s="25">
        <f>IFERROR(VLOOKUP(E889,SETTINGS!A:B,2,0),"No Value")</f>
        <v/>
      </c>
      <c r="G458" s="5" t="n"/>
      <c r="H458" s="5" t="n"/>
      <c r="I458" s="5" t="n"/>
    </row>
    <row r="459" ht="15.75" customHeight="1" s="184">
      <c r="A459" s="19" t="n"/>
      <c r="B459" s="21">
        <f>IFERROR(IF(A890&lt;=0,"",TEXT(A890,"MMM YY")),"")</f>
        <v/>
      </c>
      <c r="C459" s="22" t="n"/>
      <c r="D459" s="23" t="n"/>
      <c r="E459" s="22" t="n"/>
      <c r="F459" s="25">
        <f>IFERROR(VLOOKUP(E890,SETTINGS!A:B,2,0),"No Value")</f>
        <v/>
      </c>
      <c r="G459" s="5" t="n"/>
      <c r="H459" s="5" t="n"/>
      <c r="I459" s="5" t="n"/>
    </row>
    <row r="460" ht="15.75" customHeight="1" s="184">
      <c r="A460" s="19" t="n"/>
      <c r="B460" s="21">
        <f>IFERROR(IF(A891&lt;=0,"",TEXT(A891,"MMM YY")),"")</f>
        <v/>
      </c>
      <c r="C460" s="22" t="n"/>
      <c r="D460" s="23" t="n"/>
      <c r="E460" s="22" t="n"/>
      <c r="F460" s="25">
        <f>IFERROR(VLOOKUP(E891,SETTINGS!A:B,2,0),"No Value")</f>
        <v/>
      </c>
      <c r="G460" s="5" t="n"/>
      <c r="H460" s="5" t="n"/>
      <c r="I460" s="5" t="n"/>
    </row>
    <row r="461" ht="15.75" customHeight="1" s="184">
      <c r="A461" s="19" t="n"/>
      <c r="B461" s="21">
        <f>IFERROR(IF(A892&lt;=0,"",TEXT(A892,"MMM YY")),"")</f>
        <v/>
      </c>
      <c r="C461" s="22" t="n"/>
      <c r="D461" s="23" t="n"/>
      <c r="E461" s="22" t="n"/>
      <c r="F461" s="25">
        <f>IFERROR(VLOOKUP(E892,SETTINGS!A:B,2,0),"No Value")</f>
        <v/>
      </c>
      <c r="G461" s="5" t="n"/>
      <c r="H461" s="5" t="n"/>
      <c r="I461" s="5" t="n"/>
    </row>
    <row r="462" ht="15.75" customHeight="1" s="184">
      <c r="A462" s="19" t="n"/>
      <c r="B462" s="21">
        <f>IFERROR(IF(A893&lt;=0,"",TEXT(A893,"MMM YY")),"")</f>
        <v/>
      </c>
      <c r="C462" s="22" t="n"/>
      <c r="D462" s="23" t="n"/>
      <c r="E462" s="22" t="n"/>
      <c r="F462" s="25">
        <f>IFERROR(VLOOKUP(E893,SETTINGS!A:B,2,0),"No Value")</f>
        <v/>
      </c>
      <c r="G462" s="5" t="n"/>
      <c r="H462" s="5" t="n"/>
      <c r="I462" s="5" t="n"/>
    </row>
    <row r="463" ht="15.75" customHeight="1" s="184">
      <c r="A463" s="19" t="n"/>
      <c r="B463" s="21">
        <f>IFERROR(IF(A894&lt;=0,"",TEXT(A894,"MMM YY")),"")</f>
        <v/>
      </c>
      <c r="C463" s="22" t="n"/>
      <c r="D463" s="23" t="n"/>
      <c r="E463" s="22" t="n"/>
      <c r="F463" s="25">
        <f>IFERROR(VLOOKUP(E894,SETTINGS!A:B,2,0),"No Value")</f>
        <v/>
      </c>
      <c r="G463" s="5" t="n"/>
      <c r="H463" s="5" t="n"/>
      <c r="I463" s="5" t="n"/>
    </row>
    <row r="464" ht="15.75" customHeight="1" s="184">
      <c r="A464" s="19" t="n"/>
      <c r="B464" s="21">
        <f>IFERROR(IF(A895&lt;=0,"",TEXT(A895,"MMM YY")),"")</f>
        <v/>
      </c>
      <c r="C464" s="22" t="n"/>
      <c r="D464" s="23" t="n"/>
      <c r="E464" s="22" t="n"/>
      <c r="F464" s="25">
        <f>IFERROR(VLOOKUP(E895,SETTINGS!A:B,2,0),"No Value")</f>
        <v/>
      </c>
      <c r="G464" s="5" t="n"/>
      <c r="H464" s="5" t="n"/>
      <c r="I464" s="5" t="n"/>
    </row>
    <row r="465" ht="15.75" customHeight="1" s="184">
      <c r="A465" s="19" t="n"/>
      <c r="B465" s="21">
        <f>IFERROR(IF(A896&lt;=0,"",TEXT(A896,"MMM YY")),"")</f>
        <v/>
      </c>
      <c r="C465" s="22" t="n"/>
      <c r="D465" s="23" t="n"/>
      <c r="E465" s="22" t="n"/>
      <c r="F465" s="25">
        <f>IFERROR(VLOOKUP(E896,SETTINGS!A:B,2,0),"No Value")</f>
        <v/>
      </c>
      <c r="G465" s="5" t="n"/>
      <c r="H465" s="5" t="n"/>
      <c r="I465" s="5" t="n"/>
    </row>
    <row r="466" ht="15.75" customHeight="1" s="184">
      <c r="A466" s="19" t="n"/>
      <c r="B466" s="21">
        <f>IFERROR(IF(A897&lt;=0,"",TEXT(A897,"MMM YY")),"")</f>
        <v/>
      </c>
      <c r="C466" s="22" t="n"/>
      <c r="D466" s="23" t="n"/>
      <c r="E466" s="22" t="n"/>
      <c r="F466" s="25">
        <f>IFERROR(VLOOKUP(E897,SETTINGS!A:B,2,0),"No Value")</f>
        <v/>
      </c>
      <c r="G466" s="5" t="n"/>
      <c r="H466" s="5" t="n"/>
      <c r="I466" s="5" t="n"/>
    </row>
    <row r="467" ht="15.75" customHeight="1" s="184">
      <c r="A467" s="19" t="n"/>
      <c r="B467" s="21">
        <f>IFERROR(IF(A898&lt;=0,"",TEXT(A898,"MMM YY")),"")</f>
        <v/>
      </c>
      <c r="C467" s="22" t="n"/>
      <c r="D467" s="23" t="n"/>
      <c r="E467" s="22" t="n"/>
      <c r="F467" s="25">
        <f>IFERROR(VLOOKUP(E898,SETTINGS!A:B,2,0),"No Value")</f>
        <v/>
      </c>
      <c r="G467" s="5" t="n"/>
      <c r="H467" s="5" t="n"/>
      <c r="I467" s="5" t="n"/>
    </row>
    <row r="468" ht="15.75" customHeight="1" s="184">
      <c r="A468" s="19" t="n"/>
      <c r="B468" s="21">
        <f>IFERROR(IF(A899&lt;=0,"",TEXT(A899,"MMM YY")),"")</f>
        <v/>
      </c>
      <c r="C468" s="22" t="n"/>
      <c r="D468" s="23" t="n"/>
      <c r="E468" s="22" t="n"/>
      <c r="F468" s="25">
        <f>IFERROR(VLOOKUP(E899,SETTINGS!A:B,2,0),"No Value")</f>
        <v/>
      </c>
      <c r="G468" s="5" t="n"/>
      <c r="H468" s="5" t="n"/>
      <c r="I468" s="5" t="n"/>
    </row>
    <row r="469" ht="15.75" customHeight="1" s="184">
      <c r="A469" s="19" t="n"/>
      <c r="B469" s="21">
        <f>IFERROR(IF(A900&lt;=0,"",TEXT(A900,"MMM YY")),"")</f>
        <v/>
      </c>
      <c r="C469" s="22" t="n"/>
      <c r="D469" s="23" t="n"/>
      <c r="E469" s="22" t="n"/>
      <c r="F469" s="25">
        <f>IFERROR(VLOOKUP(E900,SETTINGS!A:B,2,0),"No Value")</f>
        <v/>
      </c>
      <c r="G469" s="5" t="n"/>
      <c r="H469" s="5" t="n"/>
      <c r="I469" s="5" t="n"/>
    </row>
    <row r="470" ht="15.75" customHeight="1" s="184">
      <c r="A470" s="19" t="n"/>
      <c r="B470" s="21">
        <f>IFERROR(IF(A901&lt;=0,"",TEXT(A901,"MMM YY")),"")</f>
        <v/>
      </c>
      <c r="C470" s="22" t="n"/>
      <c r="D470" s="23" t="n"/>
      <c r="E470" s="22" t="n"/>
      <c r="F470" s="25">
        <f>IFERROR(VLOOKUP(E901,SETTINGS!A:B,2,0),"No Value")</f>
        <v/>
      </c>
      <c r="G470" s="5" t="n"/>
      <c r="H470" s="5" t="n"/>
      <c r="I470" s="5" t="n"/>
    </row>
    <row r="471" ht="15.75" customHeight="1" s="184">
      <c r="A471" s="19" t="n"/>
      <c r="B471" s="21">
        <f>IFERROR(IF(A902&lt;=0,"",TEXT(A902,"MMM YY")),"")</f>
        <v/>
      </c>
      <c r="C471" s="22" t="n"/>
      <c r="D471" s="23" t="n"/>
      <c r="E471" s="22" t="n"/>
      <c r="F471" s="25">
        <f>IFERROR(VLOOKUP(E902,SETTINGS!A:B,2,0),"No Value")</f>
        <v/>
      </c>
      <c r="G471" s="5" t="n"/>
      <c r="H471" s="5" t="n"/>
      <c r="I471" s="5" t="n"/>
    </row>
    <row r="472" ht="15.75" customHeight="1" s="184">
      <c r="A472" s="19" t="n"/>
      <c r="B472" s="21">
        <f>IFERROR(IF(A903&lt;=0,"",TEXT(A903,"MMM YY")),"")</f>
        <v/>
      </c>
      <c r="C472" s="22" t="n"/>
      <c r="D472" s="23" t="n"/>
      <c r="E472" s="22" t="n"/>
      <c r="F472" s="25">
        <f>IFERROR(VLOOKUP(E903,SETTINGS!A:B,2,0),"No Value")</f>
        <v/>
      </c>
      <c r="G472" s="5" t="n"/>
      <c r="H472" s="5" t="n"/>
      <c r="I472" s="5" t="n"/>
    </row>
    <row r="473" ht="15.75" customHeight="1" s="184">
      <c r="A473" s="19" t="n"/>
      <c r="B473" s="21">
        <f>IFERROR(IF(A904&lt;=0,"",TEXT(A904,"MMM YY")),"")</f>
        <v/>
      </c>
      <c r="C473" s="22" t="n"/>
      <c r="D473" s="23" t="n"/>
      <c r="E473" s="22" t="n"/>
      <c r="F473" s="25">
        <f>IFERROR(VLOOKUP(E904,SETTINGS!A:B,2,0),"No Value")</f>
        <v/>
      </c>
      <c r="G473" s="5" t="n"/>
      <c r="H473" s="5" t="n"/>
      <c r="I473" s="5" t="n"/>
    </row>
    <row r="474" ht="15.75" customHeight="1" s="184">
      <c r="A474" s="19" t="n"/>
      <c r="B474" s="21">
        <f>IFERROR(IF(A905&lt;=0,"",TEXT(A905,"MMM YY")),"")</f>
        <v/>
      </c>
      <c r="C474" s="22" t="n"/>
      <c r="D474" s="23" t="n"/>
      <c r="E474" s="22" t="n"/>
      <c r="F474" s="25">
        <f>IFERROR(VLOOKUP(E905,SETTINGS!A:B,2,0),"No Value")</f>
        <v/>
      </c>
      <c r="G474" s="5" t="n"/>
      <c r="H474" s="5" t="n"/>
      <c r="I474" s="5" t="n"/>
    </row>
    <row r="475" ht="15.75" customHeight="1" s="184">
      <c r="A475" s="19" t="n"/>
      <c r="B475" s="21">
        <f>IFERROR(IF(A906&lt;=0,"",TEXT(A906,"MMM YY")),"")</f>
        <v/>
      </c>
      <c r="C475" s="22" t="n"/>
      <c r="D475" s="23" t="n"/>
      <c r="E475" s="22" t="n"/>
      <c r="F475" s="25">
        <f>IFERROR(VLOOKUP(E906,SETTINGS!A:B,2,0),"No Value")</f>
        <v/>
      </c>
      <c r="G475" s="5" t="n"/>
      <c r="H475" s="5" t="n"/>
      <c r="I475" s="5" t="n"/>
    </row>
    <row r="476" ht="15.75" customHeight="1" s="184">
      <c r="A476" s="19" t="n"/>
      <c r="B476" s="21">
        <f>IFERROR(IF(A907&lt;=0,"",TEXT(A907,"MMM YY")),"")</f>
        <v/>
      </c>
      <c r="C476" s="22" t="n"/>
      <c r="D476" s="23" t="n"/>
      <c r="E476" s="22" t="n"/>
      <c r="F476" s="25">
        <f>IFERROR(VLOOKUP(E907,SETTINGS!A:B,2,0),"No Value")</f>
        <v/>
      </c>
      <c r="G476" s="5" t="n"/>
      <c r="H476" s="5" t="n"/>
      <c r="I476" s="5" t="n"/>
    </row>
    <row r="477" ht="15.75" customHeight="1" s="184">
      <c r="A477" s="19" t="n"/>
      <c r="B477" s="21">
        <f>IFERROR(IF(A908&lt;=0,"",TEXT(A908,"MMM YY")),"")</f>
        <v/>
      </c>
      <c r="C477" s="22" t="n"/>
      <c r="D477" s="23" t="n"/>
      <c r="E477" s="22" t="n"/>
      <c r="F477" s="25">
        <f>IFERROR(VLOOKUP(E908,SETTINGS!A:B,2,0),"No Value")</f>
        <v/>
      </c>
      <c r="G477" s="5" t="n"/>
      <c r="H477" s="5" t="n"/>
      <c r="I477" s="5" t="n"/>
    </row>
    <row r="478" ht="15.75" customHeight="1" s="184">
      <c r="A478" s="19" t="n"/>
      <c r="B478" s="21">
        <f>IFERROR(IF(A909&lt;=0,"",TEXT(A909,"MMM YY")),"")</f>
        <v/>
      </c>
      <c r="C478" s="22" t="n"/>
      <c r="D478" s="23" t="n"/>
      <c r="E478" s="22" t="n"/>
      <c r="F478" s="25">
        <f>IFERROR(VLOOKUP(E909,SETTINGS!A:B,2,0),"No Value")</f>
        <v/>
      </c>
      <c r="G478" s="5" t="n"/>
      <c r="H478" s="5" t="n"/>
      <c r="I478" s="5" t="n"/>
    </row>
    <row r="479" ht="15.75" customHeight="1" s="184">
      <c r="A479" s="19" t="n"/>
      <c r="B479" s="21">
        <f>IFERROR(IF(A910&lt;=0,"",TEXT(A910,"MMM YY")),"")</f>
        <v/>
      </c>
      <c r="C479" s="22" t="n"/>
      <c r="D479" s="23" t="n"/>
      <c r="E479" s="22" t="n"/>
      <c r="F479" s="25">
        <f>IFERROR(VLOOKUP(E910,SETTINGS!A:B,2,0),"No Value")</f>
        <v/>
      </c>
      <c r="G479" s="5" t="n"/>
      <c r="H479" s="5" t="n"/>
      <c r="I479" s="5" t="n"/>
    </row>
    <row r="480" ht="15.75" customHeight="1" s="184">
      <c r="A480" s="19" t="n"/>
      <c r="B480" s="21">
        <f>IFERROR(IF(A911&lt;=0,"",TEXT(A911,"MMM YY")),"")</f>
        <v/>
      </c>
      <c r="C480" s="22" t="n"/>
      <c r="D480" s="23" t="n"/>
      <c r="E480" s="22" t="n"/>
      <c r="F480" s="25">
        <f>IFERROR(VLOOKUP(E911,SETTINGS!A:B,2,0),"No Value")</f>
        <v/>
      </c>
      <c r="G480" s="5" t="n"/>
      <c r="H480" s="5" t="n"/>
      <c r="I480" s="5" t="n"/>
    </row>
    <row r="481" ht="15.75" customHeight="1" s="184">
      <c r="A481" s="19" t="n"/>
      <c r="B481" s="21">
        <f>IFERROR(IF(A912&lt;=0,"",TEXT(A912,"MMM YY")),"")</f>
        <v/>
      </c>
      <c r="C481" s="22" t="n"/>
      <c r="D481" s="23" t="n"/>
      <c r="E481" s="22" t="n"/>
      <c r="F481" s="25">
        <f>IFERROR(VLOOKUP(E912,SETTINGS!A:B,2,0),"No Value")</f>
        <v/>
      </c>
      <c r="G481" s="5" t="n"/>
      <c r="H481" s="5" t="n"/>
      <c r="I481" s="5" t="n"/>
    </row>
    <row r="482" ht="15.75" customHeight="1" s="184">
      <c r="A482" s="19" t="n"/>
      <c r="B482" s="21">
        <f>IFERROR(IF(A913&lt;=0,"",TEXT(A913,"MMM YY")),"")</f>
        <v/>
      </c>
      <c r="C482" s="22" t="n"/>
      <c r="D482" s="23" t="n"/>
      <c r="E482" s="22" t="n"/>
      <c r="F482" s="25">
        <f>IFERROR(VLOOKUP(E913,SETTINGS!A:B,2,0),"No Value")</f>
        <v/>
      </c>
      <c r="G482" s="5" t="n"/>
      <c r="H482" s="5" t="n"/>
      <c r="I482" s="5" t="n"/>
    </row>
    <row r="483" ht="15.75" customHeight="1" s="184">
      <c r="A483" s="19" t="n"/>
      <c r="B483" s="21">
        <f>IFERROR(IF(A914&lt;=0,"",TEXT(A914,"MMM YY")),"")</f>
        <v/>
      </c>
      <c r="C483" s="22" t="n"/>
      <c r="D483" s="23" t="n"/>
      <c r="E483" s="22" t="n"/>
      <c r="F483" s="25">
        <f>IFERROR(VLOOKUP(E914,SETTINGS!A:B,2,0),"No Value")</f>
        <v/>
      </c>
      <c r="G483" s="5" t="n"/>
      <c r="H483" s="5" t="n"/>
      <c r="I483" s="5" t="n"/>
    </row>
    <row r="484" ht="15.75" customHeight="1" s="184">
      <c r="A484" s="19" t="n"/>
      <c r="B484" s="21">
        <f>IFERROR(IF(A915&lt;=0,"",TEXT(A915,"MMM YY")),"")</f>
        <v/>
      </c>
      <c r="C484" s="22" t="n"/>
      <c r="D484" s="23" t="n"/>
      <c r="E484" s="22" t="n"/>
      <c r="F484" s="25">
        <f>IFERROR(VLOOKUP(E915,SETTINGS!A:B,2,0),"No Value")</f>
        <v/>
      </c>
      <c r="G484" s="5" t="n"/>
      <c r="H484" s="5" t="n"/>
      <c r="I484" s="5" t="n"/>
    </row>
    <row r="485" ht="15.75" customHeight="1" s="184">
      <c r="A485" s="19" t="n"/>
      <c r="B485" s="21">
        <f>IFERROR(IF(A916&lt;=0,"",TEXT(A916,"MMM YY")),"")</f>
        <v/>
      </c>
      <c r="C485" s="22" t="n"/>
      <c r="D485" s="23" t="n"/>
      <c r="E485" s="22" t="n"/>
      <c r="F485" s="25">
        <f>IFERROR(VLOOKUP(E916,SETTINGS!A:B,2,0),"No Value")</f>
        <v/>
      </c>
      <c r="G485" s="5" t="n"/>
      <c r="H485" s="5" t="n"/>
      <c r="I485" s="5" t="n"/>
    </row>
    <row r="486" ht="15.75" customHeight="1" s="184">
      <c r="A486" s="19" t="n"/>
      <c r="B486" s="21">
        <f>IFERROR(IF(A917&lt;=0,"",TEXT(A917,"MMM YY")),"")</f>
        <v/>
      </c>
      <c r="C486" s="22" t="n"/>
      <c r="D486" s="23" t="n"/>
      <c r="E486" s="22" t="n"/>
      <c r="F486" s="25">
        <f>IFERROR(VLOOKUP(E917,SETTINGS!A:B,2,0),"No Value")</f>
        <v/>
      </c>
      <c r="G486" s="5" t="n"/>
      <c r="H486" s="5" t="n"/>
      <c r="I486" s="5" t="n"/>
    </row>
    <row r="487" ht="15" customHeight="1" s="184">
      <c r="A487" s="19" t="n"/>
      <c r="B487" s="21">
        <f>IFERROR(IF(A918&lt;=0,"",TEXT(A918,"MMM YY")),"")</f>
        <v/>
      </c>
      <c r="C487" s="22" t="n"/>
      <c r="D487" s="23" t="n"/>
      <c r="E487" s="22" t="n"/>
      <c r="F487" s="25">
        <f>IFERROR(VLOOKUP(E918,SETTINGS!A:B,2,0),"No Value")</f>
        <v/>
      </c>
      <c r="G487" s="5" t="n"/>
      <c r="H487" s="5" t="n"/>
      <c r="I487" s="5" t="n"/>
    </row>
    <row r="488" ht="15" customHeight="1" s="184">
      <c r="A488" s="19" t="n"/>
      <c r="B488" s="21">
        <f>IFERROR(IF(A919&lt;=0,"",TEXT(A919,"MMM YY")),"")</f>
        <v/>
      </c>
      <c r="C488" s="22" t="n"/>
      <c r="D488" s="23" t="n"/>
      <c r="E488" s="22" t="n"/>
      <c r="F488" s="25">
        <f>IFERROR(VLOOKUP(E919,SETTINGS!A:B,2,0),"No Value")</f>
        <v/>
      </c>
      <c r="G488" s="5" t="n"/>
      <c r="H488" s="5" t="n"/>
      <c r="I488" s="5" t="n"/>
    </row>
    <row r="489" ht="15" customHeight="1" s="184">
      <c r="A489" s="19" t="n"/>
      <c r="B489" s="21">
        <f>IFERROR(IF(A920&lt;=0,"",TEXT(A920,"MMM YY")),"")</f>
        <v/>
      </c>
      <c r="C489" s="22" t="n"/>
      <c r="D489" s="23" t="n"/>
      <c r="E489" s="22" t="n"/>
      <c r="F489" s="25">
        <f>IFERROR(VLOOKUP(E920,SETTINGS!A:B,2,0),"No Value")</f>
        <v/>
      </c>
      <c r="G489" s="5" t="n"/>
      <c r="H489" s="5" t="n"/>
      <c r="I489" s="5" t="n"/>
    </row>
    <row r="490" ht="15" customHeight="1" s="184">
      <c r="A490" s="19" t="n"/>
      <c r="B490" s="21">
        <f>IFERROR(IF(A921&lt;=0,"",TEXT(A921,"MMM YY")),"")</f>
        <v/>
      </c>
      <c r="C490" s="22" t="n"/>
      <c r="D490" s="23" t="n"/>
      <c r="E490" s="22" t="n"/>
      <c r="F490" s="25">
        <f>IFERROR(VLOOKUP(E921,SETTINGS!A:B,2,0),"No Value")</f>
        <v/>
      </c>
      <c r="G490" s="5" t="n"/>
      <c r="H490" s="5" t="n"/>
      <c r="I490" s="5" t="n"/>
    </row>
    <row r="491" ht="15" customHeight="1" s="184">
      <c r="A491" s="19" t="n"/>
      <c r="B491" s="21">
        <f>IFERROR(IF(A922&lt;=0,"",TEXT(A922,"MMM YY")),"")</f>
        <v/>
      </c>
      <c r="C491" s="22" t="n"/>
      <c r="D491" s="23" t="n"/>
      <c r="E491" s="22" t="n"/>
      <c r="F491" s="25">
        <f>IFERROR(VLOOKUP(E922,SETTINGS!A:B,2,0),"No Value")</f>
        <v/>
      </c>
      <c r="G491" s="5" t="n"/>
      <c r="H491" s="5" t="n"/>
      <c r="I491" s="5" t="n"/>
    </row>
    <row r="492" ht="15" customHeight="1" s="184">
      <c r="A492" s="19" t="n"/>
      <c r="B492" s="21">
        <f>IFERROR(IF(A923&lt;=0,"",TEXT(A923,"MMM YY")),"")</f>
        <v/>
      </c>
      <c r="C492" s="22" t="n"/>
      <c r="D492" s="23" t="n"/>
      <c r="E492" s="22" t="n"/>
      <c r="F492" s="25">
        <f>IFERROR(VLOOKUP(E923,SETTINGS!A:B,2,0),"No Value")</f>
        <v/>
      </c>
      <c r="G492" s="5" t="n"/>
      <c r="H492" s="5" t="n"/>
      <c r="I492" s="5" t="n"/>
    </row>
    <row r="493" ht="15" customHeight="1" s="184">
      <c r="A493" s="19" t="n"/>
      <c r="B493" s="21">
        <f>IFERROR(IF(A924&lt;=0,"",TEXT(A924,"MMM YY")),"")</f>
        <v/>
      </c>
      <c r="C493" s="22" t="n"/>
      <c r="D493" s="23" t="n"/>
      <c r="E493" s="22" t="n"/>
      <c r="F493" s="25">
        <f>IFERROR(VLOOKUP(E924,SETTINGS!A:B,2,0),"No Value")</f>
        <v/>
      </c>
      <c r="G493" s="5" t="n"/>
      <c r="H493" s="5" t="n"/>
      <c r="I493" s="5" t="n"/>
    </row>
    <row r="494" ht="15" customHeight="1" s="184">
      <c r="A494" s="19" t="n"/>
      <c r="B494" s="21">
        <f>IFERROR(IF(A925&lt;=0,"",TEXT(A925,"MMM YY")),"")</f>
        <v/>
      </c>
      <c r="C494" s="22" t="n"/>
      <c r="D494" s="23" t="n"/>
      <c r="E494" s="22" t="n"/>
      <c r="F494" s="25">
        <f>IFERROR(VLOOKUP(E925,SETTINGS!A:B,2,0),"No Value")</f>
        <v/>
      </c>
      <c r="G494" s="5" t="n"/>
      <c r="H494" s="5" t="n"/>
      <c r="I494" s="5" t="n"/>
    </row>
    <row r="495" ht="15" customHeight="1" s="184">
      <c r="A495" s="19" t="n"/>
      <c r="B495" s="21">
        <f>IFERROR(IF(A926&lt;=0,"",TEXT(A926,"MMM YY")),"")</f>
        <v/>
      </c>
      <c r="C495" s="22" t="n"/>
      <c r="D495" s="23" t="n"/>
      <c r="E495" s="22" t="n"/>
      <c r="F495" s="25">
        <f>IFERROR(VLOOKUP(E926,SETTINGS!A:B,2,0),"No Value")</f>
        <v/>
      </c>
      <c r="G495" s="5" t="n"/>
      <c r="H495" s="5" t="n"/>
      <c r="I495" s="5" t="n"/>
    </row>
    <row r="496" ht="15" customHeight="1" s="184">
      <c r="A496" s="19" t="n"/>
      <c r="B496" s="21">
        <f>IFERROR(IF(A927&lt;=0,"",TEXT(A927,"MMM YY")),"")</f>
        <v/>
      </c>
      <c r="C496" s="22" t="n"/>
      <c r="D496" s="23" t="n"/>
      <c r="E496" s="22" t="n"/>
      <c r="F496" s="25">
        <f>IFERROR(VLOOKUP(E927,SETTINGS!A:B,2,0),"No Value")</f>
        <v/>
      </c>
      <c r="G496" s="5" t="n"/>
      <c r="H496" s="5" t="n"/>
      <c r="I496" s="5" t="n"/>
    </row>
    <row r="497" ht="15" customHeight="1" s="184">
      <c r="A497" s="19" t="n"/>
      <c r="B497" s="21">
        <f>IFERROR(IF(A928&lt;=0,"",TEXT(A928,"MMM YY")),"")</f>
        <v/>
      </c>
      <c r="C497" s="22" t="n"/>
      <c r="D497" s="23" t="n"/>
      <c r="E497" s="22" t="n"/>
      <c r="F497" s="25">
        <f>IFERROR(VLOOKUP(E928,SETTINGS!A:B,2,0),"No Value")</f>
        <v/>
      </c>
      <c r="G497" s="5" t="n"/>
      <c r="H497" s="5" t="n"/>
      <c r="I497" s="5" t="n"/>
    </row>
    <row r="498" ht="15" customHeight="1" s="184">
      <c r="A498" s="19" t="n"/>
      <c r="B498" s="21">
        <f>IFERROR(IF(A929&lt;=0,"",TEXT(A929,"MMM YY")),"")</f>
        <v/>
      </c>
      <c r="C498" s="22" t="n"/>
      <c r="D498" s="23" t="n"/>
      <c r="E498" s="22" t="n"/>
      <c r="F498" s="25">
        <f>IFERROR(VLOOKUP(E929,SETTINGS!A:B,2,0),"No Value")</f>
        <v/>
      </c>
      <c r="G498" s="5" t="n"/>
      <c r="H498" s="5" t="n"/>
      <c r="I498" s="5" t="n"/>
    </row>
    <row r="499" ht="15" customHeight="1" s="184">
      <c r="A499" s="19" t="n"/>
      <c r="B499" s="21">
        <f>IFERROR(IF(A930&lt;=0,"",TEXT(A930,"MMM YY")),"")</f>
        <v/>
      </c>
      <c r="C499" s="22" t="n"/>
      <c r="D499" s="23" t="n"/>
      <c r="E499" s="22" t="n"/>
      <c r="F499" s="25">
        <f>IFERROR(VLOOKUP(E930,SETTINGS!A:B,2,0),"No Value")</f>
        <v/>
      </c>
      <c r="G499" s="5" t="n"/>
      <c r="H499" s="5" t="n"/>
      <c r="I499" s="5" t="n"/>
    </row>
    <row r="500" ht="15" customHeight="1" s="184">
      <c r="A500" s="19" t="n"/>
      <c r="B500" s="21">
        <f>IFERROR(IF(A931&lt;=0,"",TEXT(A931,"MMM YY")),"")</f>
        <v/>
      </c>
      <c r="C500" s="22" t="n"/>
      <c r="D500" s="23" t="n"/>
      <c r="E500" s="22" t="n"/>
      <c r="F500" s="25">
        <f>IFERROR(VLOOKUP(E931,SETTINGS!A:B,2,0),"No Value")</f>
        <v/>
      </c>
      <c r="G500" s="5" t="n"/>
      <c r="H500" s="5" t="n"/>
      <c r="I500" s="5" t="n"/>
    </row>
    <row r="501" ht="15" customHeight="1" s="184">
      <c r="A501" s="19" t="n"/>
      <c r="B501" s="21">
        <f>IFERROR(IF(A932&lt;=0,"",TEXT(A932,"MMM YY")),"")</f>
        <v/>
      </c>
      <c r="C501" s="22" t="n"/>
      <c r="D501" s="23" t="n"/>
      <c r="E501" s="22" t="n"/>
      <c r="F501" s="25">
        <f>IFERROR(VLOOKUP(E932,SETTINGS!A:B,2,0),"No Value")</f>
        <v/>
      </c>
      <c r="G501" s="5" t="n"/>
      <c r="H501" s="5" t="n"/>
      <c r="I501" s="5" t="n"/>
    </row>
    <row r="502" ht="15.75" customHeight="1" s="184">
      <c r="A502" s="19" t="n"/>
      <c r="B502" s="21">
        <f>IFERROR(IF(A933&lt;=0,"",TEXT(A933,"MMM YY")),"")</f>
        <v/>
      </c>
      <c r="C502" s="22" t="n"/>
      <c r="D502" s="23" t="n"/>
      <c r="E502" s="22" t="n"/>
      <c r="F502" s="25">
        <f>IFERROR(VLOOKUP(E933,SETTINGS!A:B,2,0),"No Value")</f>
        <v/>
      </c>
      <c r="G502" s="5" t="n"/>
      <c r="H502" s="5" t="n"/>
      <c r="I502" s="5" t="n"/>
    </row>
    <row r="503" ht="15.75" customHeight="1" s="184">
      <c r="A503" s="19" t="n"/>
      <c r="B503" s="21">
        <f>IFERROR(IF(A934&lt;=0,"",TEXT(A934,"MMM YY")),"")</f>
        <v/>
      </c>
      <c r="C503" s="22" t="n"/>
      <c r="D503" s="23" t="n"/>
      <c r="E503" s="22" t="n"/>
      <c r="F503" s="25">
        <f>IFERROR(VLOOKUP(E934,SETTINGS!A:B,2,0),"No Value")</f>
        <v/>
      </c>
      <c r="G503" s="5" t="n"/>
      <c r="H503" s="5" t="n"/>
      <c r="I503" s="5" t="n"/>
    </row>
    <row r="504" ht="15.75" customHeight="1" s="184">
      <c r="A504" s="19" t="n"/>
      <c r="B504" s="21">
        <f>IFERROR(IF(A935&lt;=0,"",TEXT(A935,"MMM YY")),"")</f>
        <v/>
      </c>
      <c r="C504" s="22" t="n"/>
      <c r="D504" s="23" t="n"/>
      <c r="E504" s="22" t="n"/>
      <c r="F504" s="25">
        <f>IFERROR(VLOOKUP(E935,SETTINGS!A:B,2,0),"No Value")</f>
        <v/>
      </c>
      <c r="G504" s="5" t="n"/>
      <c r="H504" s="5" t="n"/>
      <c r="I504" s="5" t="n"/>
    </row>
    <row r="505" ht="15.75" customHeight="1" s="184">
      <c r="A505" s="19" t="n"/>
      <c r="B505" s="21">
        <f>IFERROR(IF(A936&lt;=0,"",TEXT(A936,"MMM YY")),"")</f>
        <v/>
      </c>
      <c r="C505" s="22" t="n"/>
      <c r="D505" s="23" t="n"/>
      <c r="E505" s="22" t="n"/>
      <c r="F505" s="25">
        <f>IFERROR(VLOOKUP(E936,SETTINGS!A:B,2,0),"No Value")</f>
        <v/>
      </c>
      <c r="G505" s="5" t="n"/>
      <c r="H505" s="5" t="n"/>
      <c r="I505" s="5" t="n"/>
    </row>
    <row r="506" ht="15.75" customHeight="1" s="184">
      <c r="A506" s="19" t="n"/>
      <c r="B506" s="21">
        <f>IFERROR(IF(A937&lt;=0,"",TEXT(A937,"MMM YY")),"")</f>
        <v/>
      </c>
      <c r="C506" s="22" t="n"/>
      <c r="D506" s="23" t="n"/>
      <c r="E506" s="22" t="n"/>
      <c r="F506" s="25">
        <f>IFERROR(VLOOKUP(E937,SETTINGS!A:B,2,0),"No Value")</f>
        <v/>
      </c>
      <c r="G506" s="5" t="n"/>
      <c r="H506" s="5" t="n"/>
      <c r="I506" s="5" t="n"/>
    </row>
    <row r="507" ht="15.75" customHeight="1" s="184">
      <c r="A507" s="19" t="n"/>
      <c r="B507" s="21">
        <f>IFERROR(IF(A938&lt;=0,"",TEXT(A938,"MMM YY")),"")</f>
        <v/>
      </c>
      <c r="C507" s="22" t="n"/>
      <c r="D507" s="23" t="n"/>
      <c r="E507" s="22" t="n"/>
      <c r="F507" s="25">
        <f>IFERROR(VLOOKUP(E938,SETTINGS!A:B,2,0),"No Value")</f>
        <v/>
      </c>
      <c r="G507" s="5" t="n"/>
      <c r="H507" s="5" t="n"/>
      <c r="I507" s="5" t="n"/>
    </row>
    <row r="508" ht="15.75" customHeight="1" s="184">
      <c r="A508" s="19" t="n"/>
      <c r="B508" s="21">
        <f>IFERROR(IF(A939&lt;=0,"",TEXT(A939,"MMM YY")),"")</f>
        <v/>
      </c>
      <c r="C508" s="22" t="n"/>
      <c r="D508" s="23" t="n"/>
      <c r="E508" s="22" t="n"/>
      <c r="F508" s="25">
        <f>IFERROR(VLOOKUP(E939,SETTINGS!A:B,2,0),"No Value")</f>
        <v/>
      </c>
      <c r="G508" s="5" t="n"/>
      <c r="H508" s="5" t="n"/>
      <c r="I508" s="5" t="n"/>
    </row>
    <row r="509" ht="15.75" customHeight="1" s="184">
      <c r="A509" s="19" t="n"/>
      <c r="B509" s="21">
        <f>IFERROR(IF(A940&lt;=0,"",TEXT(A940,"MMM YY")),"")</f>
        <v/>
      </c>
      <c r="C509" s="22" t="n"/>
      <c r="D509" s="23" t="n"/>
      <c r="E509" s="22" t="n"/>
      <c r="F509" s="25">
        <f>IFERROR(VLOOKUP(E940,SETTINGS!A:B,2,0),"No Value")</f>
        <v/>
      </c>
      <c r="G509" s="5" t="n"/>
      <c r="H509" s="5" t="n"/>
      <c r="I509" s="5" t="n"/>
    </row>
    <row r="510" ht="15.75" customHeight="1" s="184">
      <c r="A510" s="19" t="n"/>
      <c r="B510" s="21">
        <f>IFERROR(IF(A941&lt;=0,"",TEXT(A941,"MMM YY")),"")</f>
        <v/>
      </c>
      <c r="C510" s="22" t="n"/>
      <c r="D510" s="23" t="n"/>
      <c r="E510" s="22" t="n"/>
      <c r="F510" s="25">
        <f>IFERROR(VLOOKUP(E941,SETTINGS!A:B,2,0),"No Value")</f>
        <v/>
      </c>
      <c r="G510" s="5" t="n"/>
      <c r="H510" s="5" t="n"/>
      <c r="I510" s="5" t="n"/>
    </row>
    <row r="511" ht="15.75" customHeight="1" s="184">
      <c r="A511" s="19" t="n"/>
      <c r="B511" s="21">
        <f>IFERROR(IF(A942&lt;=0,"",TEXT(A942,"MMM YY")),"")</f>
        <v/>
      </c>
      <c r="C511" s="22" t="n"/>
      <c r="D511" s="23" t="n"/>
      <c r="E511" s="22" t="n"/>
      <c r="F511" s="25">
        <f>IFERROR(VLOOKUP(E942,SETTINGS!A:B,2,0),"No Value")</f>
        <v/>
      </c>
      <c r="G511" s="5" t="n"/>
      <c r="H511" s="5" t="n"/>
      <c r="I511" s="5" t="n"/>
    </row>
    <row r="512" ht="15.75" customHeight="1" s="184">
      <c r="A512" s="19" t="n"/>
      <c r="B512" s="21">
        <f>IFERROR(IF(A943&lt;=0,"",TEXT(A943,"MMM YY")),"")</f>
        <v/>
      </c>
      <c r="C512" s="22" t="n"/>
      <c r="D512" s="23" t="n"/>
      <c r="E512" s="22" t="n"/>
      <c r="F512" s="25">
        <f>IFERROR(VLOOKUP(E943,SETTINGS!A:B,2,0),"No Value")</f>
        <v/>
      </c>
      <c r="G512" s="5" t="n"/>
      <c r="H512" s="5" t="n"/>
      <c r="I512" s="5" t="n"/>
    </row>
    <row r="513" ht="15.75" customHeight="1" s="184">
      <c r="A513" s="19" t="n"/>
      <c r="B513" s="21">
        <f>IFERROR(IF(A944&lt;=0,"",TEXT(A944,"MMM YY")),"")</f>
        <v/>
      </c>
      <c r="C513" s="22" t="n"/>
      <c r="D513" s="23" t="n"/>
      <c r="E513" s="22" t="n"/>
      <c r="F513" s="25">
        <f>IFERROR(VLOOKUP(E944,SETTINGS!A:B,2,0),"No Value")</f>
        <v/>
      </c>
      <c r="G513" s="5" t="n"/>
      <c r="H513" s="5" t="n"/>
      <c r="I513" s="5" t="n"/>
    </row>
    <row r="514" ht="15.75" customHeight="1" s="184">
      <c r="A514" s="19" t="n"/>
      <c r="B514" s="21">
        <f>IFERROR(IF(A945&lt;=0,"",TEXT(A945,"MMM YY")),"")</f>
        <v/>
      </c>
      <c r="C514" s="22" t="n"/>
      <c r="D514" s="23" t="n"/>
      <c r="E514" s="22" t="n"/>
      <c r="F514" s="25">
        <f>IFERROR(VLOOKUP(E945,SETTINGS!A:B,2,0),"No Value")</f>
        <v/>
      </c>
      <c r="G514" s="5" t="n"/>
      <c r="H514" s="5" t="n"/>
      <c r="I514" s="5" t="n"/>
    </row>
    <row r="515" ht="15.75" customHeight="1" s="184">
      <c r="A515" s="19" t="n"/>
      <c r="B515" s="21">
        <f>IFERROR(IF(A946&lt;=0,"",TEXT(A946,"MMM YY")),"")</f>
        <v/>
      </c>
      <c r="C515" s="22" t="n"/>
      <c r="D515" s="23" t="n"/>
      <c r="E515" s="22" t="n"/>
      <c r="F515" s="25">
        <f>IFERROR(VLOOKUP(E946,SETTINGS!A:B,2,0),"No Value")</f>
        <v/>
      </c>
      <c r="G515" s="5" t="n"/>
      <c r="H515" s="5" t="n"/>
      <c r="I515" s="5" t="n"/>
    </row>
    <row r="516" ht="15.75" customHeight="1" s="184">
      <c r="A516" s="19" t="n"/>
      <c r="B516" s="21">
        <f>IFERROR(IF(A947&lt;=0,"",TEXT(A947,"MMM YY")),"")</f>
        <v/>
      </c>
      <c r="C516" s="22" t="n"/>
      <c r="D516" s="23" t="n"/>
      <c r="E516" s="22" t="n"/>
      <c r="F516" s="25">
        <f>IFERROR(VLOOKUP(E947,SETTINGS!A:B,2,0),"No Value")</f>
        <v/>
      </c>
      <c r="G516" s="5" t="n"/>
      <c r="H516" s="5" t="n"/>
      <c r="I516" s="5" t="n"/>
    </row>
    <row r="517" ht="15.75" customHeight="1" s="184">
      <c r="A517" s="19" t="n"/>
      <c r="B517" s="21">
        <f>IFERROR(IF(A948&lt;=0,"",TEXT(A948,"MMM YY")),"")</f>
        <v/>
      </c>
      <c r="C517" s="22" t="n"/>
      <c r="D517" s="23" t="n"/>
      <c r="E517" s="22" t="n"/>
      <c r="F517" s="25">
        <f>IFERROR(VLOOKUP(E948,SETTINGS!A:B,2,0),"No Value")</f>
        <v/>
      </c>
      <c r="G517" s="5" t="n"/>
      <c r="H517" s="5" t="n"/>
      <c r="I517" s="5" t="n"/>
    </row>
    <row r="518" ht="15.75" customHeight="1" s="184">
      <c r="A518" s="19" t="n"/>
      <c r="B518" s="21">
        <f>IFERROR(IF(A949&lt;=0,"",TEXT(A949,"MMM YY")),"")</f>
        <v/>
      </c>
      <c r="C518" s="22" t="n"/>
      <c r="D518" s="23" t="n"/>
      <c r="E518" s="22" t="n"/>
      <c r="F518" s="25">
        <f>IFERROR(VLOOKUP(E949,SETTINGS!A:B,2,0),"No Value")</f>
        <v/>
      </c>
      <c r="G518" s="5" t="n"/>
      <c r="H518" s="5" t="n"/>
      <c r="I518" s="5" t="n"/>
    </row>
    <row r="519" ht="15.75" customHeight="1" s="184">
      <c r="A519" s="19" t="n"/>
      <c r="B519" s="21">
        <f>IFERROR(IF(A950&lt;=0,"",TEXT(A950,"MMM YY")),"")</f>
        <v/>
      </c>
      <c r="C519" s="22" t="n"/>
      <c r="D519" s="23" t="n"/>
      <c r="E519" s="22" t="n"/>
      <c r="F519" s="25">
        <f>IFERROR(VLOOKUP(E950,SETTINGS!A:B,2,0),"No Value")</f>
        <v/>
      </c>
      <c r="G519" s="5" t="n"/>
      <c r="H519" s="5" t="n"/>
      <c r="I519" s="5" t="n"/>
    </row>
    <row r="520" ht="15.75" customHeight="1" s="184">
      <c r="A520" s="19" t="n"/>
      <c r="B520" s="21">
        <f>IFERROR(IF(A951&lt;=0,"",TEXT(A951,"MMM YY")),"")</f>
        <v/>
      </c>
      <c r="C520" s="22" t="n"/>
      <c r="D520" s="23" t="n"/>
      <c r="E520" s="22" t="n"/>
      <c r="F520" s="25">
        <f>IFERROR(VLOOKUP(E951,SETTINGS!A:B,2,0),"No Value")</f>
        <v/>
      </c>
      <c r="G520" s="5" t="n"/>
      <c r="H520" s="5" t="n"/>
      <c r="I520" s="5" t="n"/>
    </row>
    <row r="521" ht="15.75" customHeight="1" s="184">
      <c r="A521" s="19" t="n"/>
      <c r="B521" s="21">
        <f>IFERROR(IF(A952&lt;=0,"",TEXT(A952,"MMM YY")),"")</f>
        <v/>
      </c>
      <c r="C521" s="22" t="n"/>
      <c r="D521" s="23" t="n"/>
      <c r="E521" s="22" t="n"/>
      <c r="F521" s="25">
        <f>IFERROR(VLOOKUP(E952,SETTINGS!A:B,2,0),"No Value")</f>
        <v/>
      </c>
      <c r="G521" s="5" t="n"/>
      <c r="H521" s="5" t="n"/>
      <c r="I521" s="5" t="n"/>
    </row>
    <row r="522" ht="15.75" customHeight="1" s="184">
      <c r="A522" s="19" t="n"/>
      <c r="B522" s="21">
        <f>IFERROR(IF(A953&lt;=0,"",TEXT(A953,"MMM YY")),"")</f>
        <v/>
      </c>
      <c r="C522" s="22" t="n"/>
      <c r="D522" s="23" t="n"/>
      <c r="E522" s="22" t="n"/>
      <c r="F522" s="25">
        <f>IFERROR(VLOOKUP(E953,SETTINGS!A:B,2,0),"No Value")</f>
        <v/>
      </c>
      <c r="G522" s="5" t="n"/>
      <c r="H522" s="5" t="n"/>
      <c r="I522" s="5" t="n"/>
    </row>
    <row r="523" ht="15.75" customHeight="1" s="184">
      <c r="A523" s="19" t="n"/>
      <c r="B523" s="21">
        <f>IFERROR(IF(A954&lt;=0,"",TEXT(A954,"MMM YY")),"")</f>
        <v/>
      </c>
      <c r="C523" s="22" t="n"/>
      <c r="D523" s="23" t="n"/>
      <c r="E523" s="22" t="n"/>
      <c r="F523" s="25">
        <f>IFERROR(VLOOKUP(E954,SETTINGS!A:B,2,0),"No Value")</f>
        <v/>
      </c>
      <c r="G523" s="5" t="n"/>
      <c r="H523" s="5" t="n"/>
      <c r="I523" s="5" t="n"/>
    </row>
    <row r="524" ht="15.75" customHeight="1" s="184">
      <c r="A524" s="19" t="n"/>
      <c r="B524" s="21">
        <f>IFERROR(IF(A955&lt;=0,"",TEXT(A955,"MMM YY")),"")</f>
        <v/>
      </c>
      <c r="C524" s="22" t="n"/>
      <c r="D524" s="23" t="n"/>
      <c r="E524" s="22" t="n"/>
      <c r="F524" s="25">
        <f>IFERROR(VLOOKUP(E955,SETTINGS!A:B,2,0),"No Value")</f>
        <v/>
      </c>
      <c r="G524" s="5" t="n"/>
      <c r="H524" s="5" t="n"/>
      <c r="I524" s="5" t="n"/>
    </row>
    <row r="525" ht="15.75" customHeight="1" s="184">
      <c r="A525" s="19" t="n"/>
      <c r="B525" s="21">
        <f>IFERROR(IF(A956&lt;=0,"",TEXT(A956,"MMM YY")),"")</f>
        <v/>
      </c>
      <c r="C525" s="22" t="n"/>
      <c r="D525" s="23" t="n"/>
      <c r="E525" s="22" t="n"/>
      <c r="F525" s="25">
        <f>IFERROR(VLOOKUP(E956,SETTINGS!A:B,2,0),"No Value")</f>
        <v/>
      </c>
      <c r="G525" s="5" t="n"/>
      <c r="H525" s="5" t="n"/>
      <c r="I525" s="5" t="n"/>
    </row>
    <row r="526" ht="15.75" customHeight="1" s="184">
      <c r="A526" s="19" t="n"/>
      <c r="B526" s="21">
        <f>IFERROR(IF(A957&lt;=0,"",TEXT(A957,"MMM YY")),"")</f>
        <v/>
      </c>
      <c r="C526" s="22" t="n"/>
      <c r="D526" s="23" t="n"/>
      <c r="E526" s="22" t="n"/>
      <c r="F526" s="25">
        <f>IFERROR(VLOOKUP(E957,SETTINGS!A:B,2,0),"No Value")</f>
        <v/>
      </c>
      <c r="G526" s="5" t="n"/>
      <c r="H526" s="5" t="n"/>
      <c r="I526" s="5" t="n"/>
    </row>
    <row r="527" ht="15.75" customHeight="1" s="184">
      <c r="A527" s="19" t="n"/>
      <c r="B527" s="21">
        <f>IFERROR(IF(A958&lt;=0,"",TEXT(A958,"MMM YY")),"")</f>
        <v/>
      </c>
      <c r="C527" s="22" t="n"/>
      <c r="D527" s="23" t="n"/>
      <c r="E527" s="22" t="n"/>
      <c r="F527" s="25">
        <f>IFERROR(VLOOKUP(E958,SETTINGS!A:B,2,0),"No Value")</f>
        <v/>
      </c>
      <c r="G527" s="5" t="n"/>
      <c r="H527" s="5" t="n"/>
      <c r="I527" s="5" t="n"/>
    </row>
    <row r="528" ht="15.75" customHeight="1" s="184">
      <c r="A528" s="19" t="n"/>
      <c r="B528" s="21">
        <f>IFERROR(IF(A959&lt;=0,"",TEXT(A959,"MMM YY")),"")</f>
        <v/>
      </c>
      <c r="C528" s="22" t="n"/>
      <c r="D528" s="23" t="n"/>
      <c r="E528" s="22" t="n"/>
      <c r="F528" s="25">
        <f>IFERROR(VLOOKUP(E959,SETTINGS!A:B,2,0),"No Value")</f>
        <v/>
      </c>
      <c r="G528" s="5" t="n"/>
      <c r="H528" s="5" t="n"/>
      <c r="I528" s="5" t="n"/>
    </row>
    <row r="529" ht="15.75" customHeight="1" s="184">
      <c r="A529" s="19" t="n"/>
      <c r="B529" s="21">
        <f>IFERROR(IF(A960&lt;=0,"",TEXT(A960,"MMM YY")),"")</f>
        <v/>
      </c>
      <c r="C529" s="22" t="n"/>
      <c r="D529" s="23" t="n"/>
      <c r="E529" s="22" t="n"/>
      <c r="F529" s="25">
        <f>IFERROR(VLOOKUP(E960,SETTINGS!A:B,2,0),"No Value")</f>
        <v/>
      </c>
      <c r="G529" s="5" t="n"/>
      <c r="H529" s="5" t="n"/>
      <c r="I529" s="5" t="n"/>
    </row>
    <row r="530" ht="15.75" customHeight="1" s="184">
      <c r="A530" s="19" t="n"/>
      <c r="B530" s="21">
        <f>IFERROR(IF(A961&lt;=0,"",TEXT(A961,"MMM YY")),"")</f>
        <v/>
      </c>
      <c r="C530" s="22" t="n"/>
      <c r="D530" s="23" t="n"/>
      <c r="E530" s="22" t="n"/>
      <c r="F530" s="25">
        <f>IFERROR(VLOOKUP(E961,SETTINGS!A:B,2,0),"No Value")</f>
        <v/>
      </c>
      <c r="G530" s="5" t="n"/>
      <c r="H530" s="5" t="n"/>
      <c r="I530" s="5" t="n"/>
    </row>
    <row r="531" ht="15.75" customHeight="1" s="184">
      <c r="A531" s="19" t="n"/>
      <c r="B531" s="21">
        <f>IFERROR(IF(A962&lt;=0,"",TEXT(A962,"MMM YY")),"")</f>
        <v/>
      </c>
      <c r="C531" s="22" t="n"/>
      <c r="D531" s="23" t="n"/>
      <c r="E531" s="22" t="n"/>
      <c r="F531" s="25">
        <f>IFERROR(VLOOKUP(E962,SETTINGS!A:B,2,0),"No Value")</f>
        <v/>
      </c>
      <c r="G531" s="5" t="n"/>
      <c r="H531" s="5" t="n"/>
      <c r="I531" s="5" t="n"/>
    </row>
    <row r="532" ht="15.75" customHeight="1" s="184">
      <c r="A532" s="19" t="n"/>
      <c r="B532" s="21">
        <f>IFERROR(IF(A963&lt;=0,"",TEXT(A963,"MMM YY")),"")</f>
        <v/>
      </c>
      <c r="C532" s="22" t="n"/>
      <c r="D532" s="23" t="n"/>
      <c r="E532" s="22" t="n"/>
      <c r="F532" s="25">
        <f>IFERROR(VLOOKUP(E963,SETTINGS!A:B,2,0),"No Value")</f>
        <v/>
      </c>
      <c r="G532" s="5" t="n"/>
      <c r="H532" s="5" t="n"/>
      <c r="I532" s="5" t="n"/>
    </row>
    <row r="533" ht="15.75" customHeight="1" s="184">
      <c r="A533" s="19" t="n"/>
      <c r="B533" s="21">
        <f>IFERROR(IF(A964&lt;=0,"",TEXT(A964,"MMM YY")),"")</f>
        <v/>
      </c>
      <c r="C533" s="22" t="n"/>
      <c r="D533" s="23" t="n"/>
      <c r="E533" s="22" t="n"/>
      <c r="F533" s="25">
        <f>IFERROR(VLOOKUP(E964,SETTINGS!A:B,2,0),"No Value")</f>
        <v/>
      </c>
      <c r="G533" s="5" t="n"/>
      <c r="H533" s="5" t="n"/>
      <c r="I533" s="5" t="n"/>
    </row>
    <row r="534" ht="15.75" customHeight="1" s="184">
      <c r="A534" s="19" t="n"/>
      <c r="B534" s="21">
        <f>IFERROR(IF(A965&lt;=0,"",TEXT(A965,"MMM YY")),"")</f>
        <v/>
      </c>
      <c r="C534" s="22" t="n"/>
      <c r="D534" s="23" t="n"/>
      <c r="E534" s="22" t="n"/>
      <c r="F534" s="25">
        <f>IFERROR(VLOOKUP(E965,SETTINGS!A:B,2,0),"No Value")</f>
        <v/>
      </c>
      <c r="G534" s="5" t="n"/>
      <c r="H534" s="5" t="n"/>
      <c r="I534" s="5" t="n"/>
    </row>
    <row r="535" ht="15.75" customHeight="1" s="184">
      <c r="A535" s="19" t="n"/>
      <c r="B535" s="21">
        <f>IFERROR(IF(A966&lt;=0,"",TEXT(A966,"MMM YY")),"")</f>
        <v/>
      </c>
      <c r="C535" s="22" t="n"/>
      <c r="D535" s="23" t="n"/>
      <c r="E535" s="22" t="n"/>
      <c r="F535" s="25">
        <f>IFERROR(VLOOKUP(E966,SETTINGS!A:B,2,0),"No Value")</f>
        <v/>
      </c>
      <c r="G535" s="5" t="n"/>
      <c r="H535" s="5" t="n"/>
      <c r="I535" s="5" t="n"/>
    </row>
    <row r="536" ht="15.75" customHeight="1" s="184">
      <c r="A536" s="19" t="n"/>
      <c r="B536" s="21">
        <f>IFERROR(IF(A967&lt;=0,"",TEXT(A967,"MMM YY")),"")</f>
        <v/>
      </c>
      <c r="C536" s="22" t="n"/>
      <c r="D536" s="23" t="n"/>
      <c r="E536" s="22" t="n"/>
      <c r="F536" s="25">
        <f>IFERROR(VLOOKUP(E967,SETTINGS!A:B,2,0),"No Value")</f>
        <v/>
      </c>
      <c r="G536" s="5" t="n"/>
      <c r="H536" s="5" t="n"/>
      <c r="I536" s="5" t="n"/>
    </row>
    <row r="537" ht="15.75" customHeight="1" s="184">
      <c r="A537" s="19" t="n"/>
      <c r="B537" s="21">
        <f>IFERROR(IF(A968&lt;=0,"",TEXT(A968,"MMM YY")),"")</f>
        <v/>
      </c>
      <c r="C537" s="22" t="n"/>
      <c r="D537" s="23" t="n"/>
      <c r="E537" s="22" t="n"/>
      <c r="F537" s="25">
        <f>IFERROR(VLOOKUP(E968,SETTINGS!A:B,2,0),"No Value")</f>
        <v/>
      </c>
      <c r="G537" s="5" t="n"/>
      <c r="H537" s="5" t="n"/>
      <c r="I537" s="5" t="n"/>
    </row>
    <row r="538" ht="15.75" customHeight="1" s="184">
      <c r="A538" s="19" t="n"/>
      <c r="B538" s="21">
        <f>IFERROR(IF(A969&lt;=0,"",TEXT(A969,"MMM YY")),"")</f>
        <v/>
      </c>
      <c r="C538" s="22" t="n"/>
      <c r="D538" s="23" t="n"/>
      <c r="E538" s="22" t="n"/>
      <c r="F538" s="25">
        <f>IFERROR(VLOOKUP(E969,SETTINGS!A:B,2,0),"No Value")</f>
        <v/>
      </c>
      <c r="G538" s="5" t="n"/>
      <c r="H538" s="5" t="n"/>
      <c r="I538" s="5" t="n"/>
    </row>
    <row r="539" ht="15.75" customHeight="1" s="184">
      <c r="A539" s="19" t="n"/>
      <c r="B539" s="21">
        <f>IFERROR(IF(A970&lt;=0,"",TEXT(A970,"MMM YY")),"")</f>
        <v/>
      </c>
      <c r="C539" s="22" t="n"/>
      <c r="D539" s="23" t="n"/>
      <c r="E539" s="22" t="n"/>
      <c r="F539" s="25">
        <f>IFERROR(VLOOKUP(E970,SETTINGS!A:B,2,0),"No Value")</f>
        <v/>
      </c>
      <c r="G539" s="5" t="n"/>
      <c r="H539" s="5" t="n"/>
      <c r="I539" s="5" t="n"/>
    </row>
    <row r="540" ht="15.75" customHeight="1" s="184">
      <c r="A540" s="19" t="n"/>
      <c r="B540" s="21">
        <f>IFERROR(IF(A971&lt;=0,"",TEXT(A971,"MMM YY")),"")</f>
        <v/>
      </c>
      <c r="C540" s="22" t="n"/>
      <c r="D540" s="23" t="n"/>
      <c r="E540" s="22" t="n"/>
      <c r="F540" s="25">
        <f>IFERROR(VLOOKUP(E971,SETTINGS!A:B,2,0),"No Value")</f>
        <v/>
      </c>
      <c r="G540" s="5" t="n"/>
      <c r="H540" s="5" t="n"/>
      <c r="I540" s="5" t="n"/>
    </row>
    <row r="541" ht="15.75" customHeight="1" s="184">
      <c r="A541" s="19" t="n"/>
      <c r="B541" s="21">
        <f>IFERROR(IF(A972&lt;=0,"",TEXT(A972,"MMM YY")),"")</f>
        <v/>
      </c>
      <c r="C541" s="22" t="n"/>
      <c r="D541" s="23" t="n"/>
      <c r="E541" s="22" t="n"/>
      <c r="F541" s="25">
        <f>IFERROR(VLOOKUP(E972,SETTINGS!A:B,2,0),"No Value")</f>
        <v/>
      </c>
      <c r="G541" s="5" t="n"/>
      <c r="H541" s="5" t="n"/>
      <c r="I541" s="5" t="n"/>
    </row>
    <row r="542" ht="15.75" customHeight="1" s="184">
      <c r="A542" s="19" t="n"/>
      <c r="B542" s="21">
        <f>IFERROR(IF(A973&lt;=0,"",TEXT(A973,"MMM YY")),"")</f>
        <v/>
      </c>
      <c r="C542" s="22" t="n"/>
      <c r="D542" s="23" t="n"/>
      <c r="E542" s="22" t="n"/>
      <c r="F542" s="25">
        <f>IFERROR(VLOOKUP(E973,SETTINGS!A:B,2,0),"No Value")</f>
        <v/>
      </c>
      <c r="G542" s="5" t="n"/>
      <c r="H542" s="5" t="n"/>
      <c r="I542" s="5" t="n"/>
    </row>
    <row r="543" ht="15.75" customHeight="1" s="184">
      <c r="A543" s="19" t="n"/>
      <c r="B543" s="21">
        <f>IFERROR(IF(A974&lt;=0,"",TEXT(A974,"MMM YY")),"")</f>
        <v/>
      </c>
      <c r="C543" s="22" t="n"/>
      <c r="D543" s="23" t="n"/>
      <c r="E543" s="22" t="n"/>
      <c r="F543" s="25">
        <f>IFERROR(VLOOKUP(E974,SETTINGS!A:B,2,0),"No Value")</f>
        <v/>
      </c>
      <c r="G543" s="5" t="n"/>
      <c r="H543" s="5" t="n"/>
      <c r="I543" s="5" t="n"/>
    </row>
    <row r="544" ht="15.75" customHeight="1" s="184">
      <c r="A544" s="19" t="n"/>
      <c r="B544" s="21">
        <f>IFERROR(IF(A975&lt;=0,"",TEXT(A975,"MMM YY")),"")</f>
        <v/>
      </c>
      <c r="C544" s="22" t="n"/>
      <c r="D544" s="23" t="n"/>
      <c r="E544" s="22" t="n"/>
      <c r="F544" s="25">
        <f>IFERROR(VLOOKUP(E975,SETTINGS!A:B,2,0),"No Value")</f>
        <v/>
      </c>
      <c r="G544" s="5" t="n"/>
      <c r="H544" s="5" t="n"/>
      <c r="I544" s="5" t="n"/>
    </row>
    <row r="545" ht="15.75" customHeight="1" s="184">
      <c r="A545" s="19" t="n"/>
      <c r="B545" s="21">
        <f>IFERROR(IF(A976&lt;=0,"",TEXT(A976,"MMM YY")),"")</f>
        <v/>
      </c>
      <c r="C545" s="22" t="n"/>
      <c r="D545" s="23" t="n"/>
      <c r="E545" s="22" t="n"/>
      <c r="F545" s="25">
        <f>IFERROR(VLOOKUP(E976,SETTINGS!A:B,2,0),"No Value")</f>
        <v/>
      </c>
      <c r="G545" s="5" t="n"/>
      <c r="H545" s="5" t="n"/>
      <c r="I545" s="5" t="n"/>
    </row>
    <row r="546" ht="15.75" customHeight="1" s="184">
      <c r="A546" s="19" t="n"/>
      <c r="B546" s="21">
        <f>IFERROR(IF(A977&lt;=0,"",TEXT(A977,"MMM YY")),"")</f>
        <v/>
      </c>
      <c r="C546" s="22" t="n"/>
      <c r="D546" s="23" t="n"/>
      <c r="E546" s="22" t="n"/>
      <c r="F546" s="25">
        <f>IFERROR(VLOOKUP(E977,SETTINGS!A:B,2,0),"No Value")</f>
        <v/>
      </c>
      <c r="G546" s="5" t="n"/>
      <c r="H546" s="5" t="n"/>
      <c r="I546" s="5" t="n"/>
    </row>
    <row r="547" ht="15.75" customHeight="1" s="184">
      <c r="A547" s="19" t="n"/>
      <c r="B547" s="21">
        <f>IFERROR(IF(A978&lt;=0,"",TEXT(A978,"MMM YY")),"")</f>
        <v/>
      </c>
      <c r="C547" s="22" t="n"/>
      <c r="D547" s="23" t="n"/>
      <c r="E547" s="22" t="n"/>
      <c r="F547" s="25">
        <f>IFERROR(VLOOKUP(E978,SETTINGS!A:B,2,0),"No Value")</f>
        <v/>
      </c>
      <c r="G547" s="5" t="n"/>
      <c r="H547" s="5" t="n"/>
      <c r="I547" s="5" t="n"/>
    </row>
    <row r="548" ht="15.75" customHeight="1" s="184">
      <c r="A548" s="19" t="n"/>
      <c r="B548" s="21">
        <f>IFERROR(IF(A979&lt;=0,"",TEXT(A979,"MMM YY")),"")</f>
        <v/>
      </c>
      <c r="C548" s="22" t="n"/>
      <c r="D548" s="23" t="n"/>
      <c r="E548" s="22" t="n"/>
      <c r="F548" s="25">
        <f>IFERROR(VLOOKUP(E979,SETTINGS!A:B,2,0),"No Value")</f>
        <v/>
      </c>
      <c r="G548" s="5" t="n"/>
      <c r="H548" s="5" t="n"/>
      <c r="I548" s="5" t="n"/>
    </row>
    <row r="549" ht="15.75" customHeight="1" s="184">
      <c r="A549" s="19" t="n"/>
      <c r="B549" s="21">
        <f>IFERROR(IF(A980&lt;=0,"",TEXT(A980,"MMM YY")),"")</f>
        <v/>
      </c>
      <c r="C549" s="22" t="n"/>
      <c r="D549" s="23" t="n"/>
      <c r="E549" s="22" t="n"/>
      <c r="F549" s="25">
        <f>IFERROR(VLOOKUP(E980,SETTINGS!A:B,2,0),"No Value")</f>
        <v/>
      </c>
      <c r="G549" s="5" t="n"/>
      <c r="H549" s="5" t="n"/>
      <c r="I549" s="5" t="n"/>
    </row>
    <row r="550" ht="15.75" customHeight="1" s="184">
      <c r="A550" s="19" t="n"/>
      <c r="B550" s="21">
        <f>IFERROR(IF(A981&lt;=0,"",TEXT(A981,"MMM YY")),"")</f>
        <v/>
      </c>
      <c r="C550" s="22" t="n"/>
      <c r="D550" s="23" t="n"/>
      <c r="E550" s="22" t="n"/>
      <c r="F550" s="25">
        <f>IFERROR(VLOOKUP(E981,SETTINGS!A:B,2,0),"No Value")</f>
        <v/>
      </c>
      <c r="G550" s="5" t="n"/>
      <c r="H550" s="5" t="n"/>
      <c r="I550" s="5" t="n"/>
    </row>
    <row r="551" ht="15.75" customHeight="1" s="184">
      <c r="A551" s="19" t="n"/>
      <c r="B551" s="21">
        <f>IFERROR(IF(A982&lt;=0,"",TEXT(A982,"MMM YY")),"")</f>
        <v/>
      </c>
      <c r="C551" s="22" t="n"/>
      <c r="D551" s="23" t="n"/>
      <c r="E551" s="22" t="n"/>
      <c r="F551" s="25">
        <f>IFERROR(VLOOKUP(E982,SETTINGS!A:B,2,0),"No Value")</f>
        <v/>
      </c>
      <c r="G551" s="5" t="n"/>
      <c r="H551" s="5" t="n"/>
      <c r="I551" s="5" t="n"/>
    </row>
    <row r="552" ht="15.75" customHeight="1" s="184">
      <c r="A552" s="19" t="n"/>
      <c r="B552" s="21">
        <f>IFERROR(IF(A983&lt;=0,"",TEXT(A983,"MMM YY")),"")</f>
        <v/>
      </c>
      <c r="C552" s="22" t="n"/>
      <c r="D552" s="23" t="n"/>
      <c r="E552" s="22" t="n"/>
      <c r="F552" s="25">
        <f>IFERROR(VLOOKUP(E983,SETTINGS!A:B,2,0),"No Value")</f>
        <v/>
      </c>
      <c r="G552" s="5" t="n"/>
      <c r="H552" s="5" t="n"/>
      <c r="I552" s="5" t="n"/>
    </row>
    <row r="553" ht="15.75" customHeight="1" s="184">
      <c r="A553" s="19" t="n"/>
      <c r="B553" s="21">
        <f>IFERROR(IF(A984&lt;=0,"",TEXT(A984,"MMM YY")),"")</f>
        <v/>
      </c>
      <c r="C553" s="22" t="n"/>
      <c r="D553" s="23" t="n"/>
      <c r="E553" s="22" t="n"/>
      <c r="F553" s="25">
        <f>IFERROR(VLOOKUP(E984,SETTINGS!A:B,2,0),"No Value")</f>
        <v/>
      </c>
      <c r="G553" s="5" t="n"/>
      <c r="H553" s="5" t="n"/>
      <c r="I553" s="5" t="n"/>
    </row>
    <row r="554" ht="15.75" customHeight="1" s="184">
      <c r="A554" s="19" t="n"/>
      <c r="B554" s="21">
        <f>IFERROR(IF(A985&lt;=0,"",TEXT(A985,"MMM YY")),"")</f>
        <v/>
      </c>
      <c r="C554" s="22" t="n"/>
      <c r="D554" s="23" t="n"/>
      <c r="E554" s="22" t="n"/>
      <c r="F554" s="25">
        <f>IFERROR(VLOOKUP(E985,SETTINGS!A:B,2,0),"No Value")</f>
        <v/>
      </c>
      <c r="G554" s="5" t="n"/>
      <c r="H554" s="5" t="n"/>
      <c r="I554" s="5" t="n"/>
    </row>
    <row r="555" ht="15.75" customHeight="1" s="184">
      <c r="A555" s="19" t="n"/>
      <c r="B555" s="21">
        <f>IFERROR(IF(A986&lt;=0,"",TEXT(A986,"MMM YY")),"")</f>
        <v/>
      </c>
      <c r="C555" s="22" t="n"/>
      <c r="D555" s="23" t="n"/>
      <c r="E555" s="22" t="n"/>
      <c r="F555" s="25">
        <f>IFERROR(VLOOKUP(E986,SETTINGS!A:B,2,0),"No Value")</f>
        <v/>
      </c>
      <c r="G555" s="5" t="n"/>
      <c r="H555" s="5" t="n"/>
      <c r="I555" s="5" t="n"/>
    </row>
    <row r="556" ht="15.75" customHeight="1" s="184">
      <c r="A556" s="19" t="n"/>
      <c r="B556" s="21">
        <f>IFERROR(IF(A987&lt;=0,"",TEXT(A987,"MMM YY")),"")</f>
        <v/>
      </c>
      <c r="C556" s="22" t="n"/>
      <c r="D556" s="23" t="n"/>
      <c r="E556" s="22" t="n"/>
      <c r="F556" s="25">
        <f>IFERROR(VLOOKUP(E987,SETTINGS!A:B,2,0),"No Value")</f>
        <v/>
      </c>
      <c r="G556" s="5" t="n"/>
      <c r="H556" s="5" t="n"/>
      <c r="I556" s="5" t="n"/>
    </row>
    <row r="557" ht="15.75" customHeight="1" s="184">
      <c r="A557" s="19" t="n"/>
      <c r="B557" s="21">
        <f>IFERROR(IF(A988&lt;=0,"",TEXT(A988,"MMM YY")),"")</f>
        <v/>
      </c>
      <c r="C557" s="22" t="n"/>
      <c r="D557" s="23" t="n"/>
      <c r="E557" s="22" t="n"/>
      <c r="F557" s="25">
        <f>IFERROR(VLOOKUP(E988,SETTINGS!A:B,2,0),"No Value")</f>
        <v/>
      </c>
      <c r="G557" s="5" t="n"/>
      <c r="H557" s="5" t="n"/>
      <c r="I557" s="5" t="n"/>
    </row>
    <row r="558" ht="15.75" customHeight="1" s="184">
      <c r="A558" s="19" t="n"/>
      <c r="B558" s="21">
        <f>IFERROR(IF(A989&lt;=0,"",TEXT(A989,"MMM YY")),"")</f>
        <v/>
      </c>
      <c r="C558" s="22" t="n"/>
      <c r="D558" s="23" t="n"/>
      <c r="E558" s="22" t="n"/>
      <c r="F558" s="25">
        <f>IFERROR(VLOOKUP(E989,SETTINGS!A:B,2,0),"No Value")</f>
        <v/>
      </c>
      <c r="G558" s="5" t="n"/>
      <c r="H558" s="5" t="n"/>
      <c r="I558" s="5" t="n"/>
    </row>
    <row r="559" ht="15.75" customHeight="1" s="184">
      <c r="A559" s="19" t="n"/>
      <c r="B559" s="21">
        <f>IFERROR(IF(A990&lt;=0,"",TEXT(A990,"MMM YY")),"")</f>
        <v/>
      </c>
      <c r="C559" s="22" t="n"/>
      <c r="D559" s="23" t="n"/>
      <c r="E559" s="22" t="n"/>
      <c r="F559" s="25">
        <f>IFERROR(VLOOKUP(E990,SETTINGS!A:B,2,0),"No Value")</f>
        <v/>
      </c>
      <c r="G559" s="5" t="n"/>
      <c r="H559" s="5" t="n"/>
      <c r="I559" s="5" t="n"/>
    </row>
    <row r="560" ht="15.75" customHeight="1" s="184">
      <c r="A560" s="19" t="n"/>
      <c r="B560" s="21">
        <f>IFERROR(IF(A991&lt;=0,"",TEXT(A991,"MMM YY")),"")</f>
        <v/>
      </c>
      <c r="C560" s="22" t="n"/>
      <c r="D560" s="23" t="n"/>
      <c r="E560" s="22" t="n"/>
      <c r="F560" s="25">
        <f>IFERROR(VLOOKUP(E991,SETTINGS!A:B,2,0),"No Value")</f>
        <v/>
      </c>
      <c r="G560" s="5" t="n"/>
      <c r="H560" s="5" t="n"/>
      <c r="I560" s="5" t="n"/>
    </row>
    <row r="561" ht="15.75" customHeight="1" s="184">
      <c r="A561" s="19" t="n"/>
      <c r="B561" s="21">
        <f>IFERROR(IF(A992&lt;=0,"",TEXT(A992,"MMM YY")),"")</f>
        <v/>
      </c>
      <c r="C561" s="22" t="n"/>
      <c r="D561" s="23" t="n"/>
      <c r="E561" s="22" t="n"/>
      <c r="F561" s="25">
        <f>IFERROR(VLOOKUP(E992,SETTINGS!A:B,2,0),"No Value")</f>
        <v/>
      </c>
      <c r="G561" s="5" t="n"/>
      <c r="H561" s="5" t="n"/>
      <c r="I561" s="5" t="n"/>
    </row>
    <row r="562" ht="15.75" customHeight="1" s="184">
      <c r="A562" s="19" t="n"/>
      <c r="B562" s="21">
        <f>IFERROR(IF(A993&lt;=0,"",TEXT(A993,"MMM YY")),"")</f>
        <v/>
      </c>
      <c r="C562" s="22" t="n"/>
      <c r="D562" s="23" t="n"/>
      <c r="E562" s="22" t="n"/>
      <c r="F562" s="25">
        <f>IFERROR(VLOOKUP(E993,SETTINGS!A:B,2,0),"No Value")</f>
        <v/>
      </c>
      <c r="G562" s="5" t="n"/>
      <c r="H562" s="5" t="n"/>
      <c r="I562" s="5" t="n"/>
    </row>
    <row r="563" ht="15.75" customHeight="1" s="184">
      <c r="A563" s="19" t="n"/>
      <c r="B563" s="21">
        <f>IFERROR(IF(A994&lt;=0,"",TEXT(A994,"MMM YY")),"")</f>
        <v/>
      </c>
      <c r="C563" s="22" t="n"/>
      <c r="D563" s="23" t="n"/>
      <c r="E563" s="22" t="n"/>
      <c r="F563" s="25">
        <f>IFERROR(VLOOKUP(E994,SETTINGS!A:B,2,0),"No Value")</f>
        <v/>
      </c>
      <c r="G563" s="5" t="n"/>
      <c r="H563" s="5" t="n"/>
      <c r="I563" s="5" t="n"/>
    </row>
    <row r="564" ht="15.75" customHeight="1" s="184">
      <c r="A564" s="19" t="n"/>
      <c r="B564" s="21">
        <f>IFERROR(IF(A995&lt;=0,"",TEXT(A995,"MMM YY")),"")</f>
        <v/>
      </c>
      <c r="C564" s="22" t="n"/>
      <c r="D564" s="23" t="n"/>
      <c r="E564" s="22" t="n"/>
      <c r="F564" s="25">
        <f>IFERROR(VLOOKUP(E995,SETTINGS!A:B,2,0),"No Value")</f>
        <v/>
      </c>
      <c r="G564" s="5" t="n"/>
      <c r="H564" s="5" t="n"/>
      <c r="I564" s="5" t="n"/>
    </row>
    <row r="565" ht="15.75" customHeight="1" s="184">
      <c r="A565" s="19" t="n"/>
      <c r="B565" s="21">
        <f>IFERROR(IF(A996&lt;=0,"",TEXT(A996,"MMM YY")),"")</f>
        <v/>
      </c>
      <c r="C565" s="22" t="n"/>
      <c r="D565" s="23" t="n"/>
      <c r="E565" s="22" t="n"/>
      <c r="F565" s="25">
        <f>IFERROR(VLOOKUP(E996,SETTINGS!A:B,2,0),"No Value")</f>
        <v/>
      </c>
      <c r="G565" s="5" t="n"/>
      <c r="H565" s="5" t="n"/>
      <c r="I565" s="5" t="n"/>
    </row>
    <row r="566" ht="15.75" customHeight="1" s="184">
      <c r="A566" s="19" t="n"/>
      <c r="B566" s="21">
        <f>IFERROR(IF(A997&lt;=0,"",TEXT(A997,"MMM YY")),"")</f>
        <v/>
      </c>
      <c r="C566" s="22" t="n"/>
      <c r="D566" s="23" t="n"/>
      <c r="E566" s="22" t="n"/>
      <c r="F566" s="25">
        <f>IFERROR(VLOOKUP(E997,SETTINGS!A:B,2,0),"No Value")</f>
        <v/>
      </c>
      <c r="G566" s="5" t="n"/>
      <c r="H566" s="5" t="n"/>
      <c r="I566" s="5" t="n"/>
    </row>
    <row r="567" ht="15.75" customHeight="1" s="184">
      <c r="A567" s="19" t="n"/>
      <c r="B567" s="21">
        <f>IFERROR(IF(A998&lt;=0,"",TEXT(A998,"MMM YY")),"")</f>
        <v/>
      </c>
      <c r="C567" s="22" t="n"/>
      <c r="D567" s="23" t="n"/>
      <c r="E567" s="22" t="n"/>
      <c r="F567" s="25">
        <f>IFERROR(VLOOKUP(E998,SETTINGS!A:B,2,0),"No Value")</f>
        <v/>
      </c>
      <c r="G567" s="5" t="n"/>
      <c r="H567" s="5" t="n"/>
      <c r="I567" s="5" t="n"/>
    </row>
    <row r="568" ht="15.75" customHeight="1" s="184">
      <c r="A568" s="19" t="n"/>
      <c r="B568" s="21">
        <f>IFERROR(IF(A999&lt;=0,"",TEXT(A999,"MMM YY")),"")</f>
        <v/>
      </c>
      <c r="C568" s="22" t="n"/>
      <c r="D568" s="23" t="n"/>
      <c r="E568" s="22" t="n"/>
      <c r="F568" s="25">
        <f>IFERROR(VLOOKUP(E999,SETTINGS!A:B,2,0),"No Value")</f>
        <v/>
      </c>
      <c r="G568" s="5" t="n"/>
      <c r="H568" s="5" t="n"/>
      <c r="I568" s="5" t="n"/>
    </row>
    <row r="569" ht="15.75" customHeight="1" s="184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</row>
    <row r="570" ht="15.75" customHeight="1" s="184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</row>
    <row r="571" ht="15.75" customHeight="1" s="184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</row>
    <row r="572" ht="15.75" customHeight="1" s="184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</row>
    <row r="573" ht="15.75" customHeight="1" s="184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</row>
    <row r="574" ht="15.75" customHeight="1" s="18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</row>
    <row r="575" ht="15.75" customHeight="1" s="184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</row>
    <row r="576" ht="15.75" customHeight="1" s="184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</row>
    <row r="577" ht="15.75" customHeight="1" s="184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</row>
    <row r="578" ht="15.75" customHeight="1" s="184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</row>
    <row r="579" ht="15.75" customHeight="1" s="184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</row>
    <row r="580" ht="15.75" customHeight="1" s="184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</row>
    <row r="581" ht="15.75" customHeight="1" s="184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</row>
    <row r="582" ht="15.75" customHeight="1" s="184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</row>
    <row r="583" ht="15.75" customHeight="1" s="184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</row>
    <row r="584" ht="15.75" customHeight="1" s="1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</row>
    <row r="585" ht="15.75" customHeight="1" s="184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</row>
    <row r="586" ht="15.75" customHeight="1" s="184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</row>
    <row r="587" ht="15.75" customHeight="1" s="184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</row>
    <row r="588" ht="15.75" customHeight="1" s="184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</row>
    <row r="589" ht="15.75" customHeight="1" s="184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</row>
    <row r="590" ht="15.75" customHeight="1" s="184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</row>
    <row r="591" ht="15.75" customHeight="1" s="184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</row>
    <row r="592" ht="15.75" customHeight="1" s="184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</row>
    <row r="593" ht="15.75" customHeight="1" s="184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</row>
    <row r="594" ht="15.75" customHeight="1" s="18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</row>
    <row r="595" ht="15.75" customHeight="1" s="184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</row>
    <row r="596" ht="15.75" customHeight="1" s="184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</row>
    <row r="597" ht="15.75" customHeight="1" s="184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</row>
    <row r="598" ht="15.75" customHeight="1" s="184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</row>
    <row r="599" ht="15.75" customHeight="1" s="184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</row>
    <row r="600" ht="15.75" customHeight="1" s="184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</row>
    <row r="601" ht="15.75" customHeight="1" s="184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</row>
    <row r="602" ht="15.75" customHeight="1" s="184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</row>
    <row r="603" ht="15.75" customHeight="1" s="184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</row>
    <row r="604" ht="15.75" customHeight="1" s="18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</row>
    <row r="605" ht="15.75" customHeight="1" s="184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</row>
    <row r="606" ht="15.75" customHeight="1" s="184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</row>
    <row r="607" ht="15.75" customHeight="1" s="184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</row>
    <row r="608" ht="15.75" customHeight="1" s="184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</row>
    <row r="609" ht="15.75" customHeight="1" s="184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</row>
    <row r="610" ht="15.75" customHeight="1" s="184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</row>
    <row r="611" ht="15.75" customHeight="1" s="184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</row>
    <row r="612" ht="15.75" customHeight="1" s="184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</row>
    <row r="613" ht="15.75" customHeight="1" s="184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</row>
    <row r="614" ht="15.75" customHeight="1" s="18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</row>
    <row r="615" ht="15.75" customHeight="1" s="184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</row>
    <row r="616" ht="15.75" customHeight="1" s="184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</row>
    <row r="617" ht="15.75" customHeight="1" s="184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</row>
    <row r="618" ht="15.75" customHeight="1" s="184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</row>
    <row r="619" ht="15.75" customHeight="1" s="184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</row>
    <row r="620" ht="15.75" customHeight="1" s="184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</row>
    <row r="621" ht="15.75" customHeight="1" s="184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</row>
    <row r="622" ht="15.75" customHeight="1" s="184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</row>
    <row r="623" ht="15.75" customHeight="1" s="184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</row>
    <row r="624" ht="15.75" customHeight="1" s="18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</row>
    <row r="625" ht="15.75" customHeight="1" s="184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</row>
    <row r="626" ht="15.75" customHeight="1" s="184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</row>
    <row r="627" ht="15.75" customHeight="1" s="184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</row>
    <row r="628" ht="15.75" customHeight="1" s="184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</row>
    <row r="629" ht="15.75" customHeight="1" s="184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</row>
    <row r="630" ht="15.75" customHeight="1" s="184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</row>
    <row r="631" ht="15.75" customHeight="1" s="184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</row>
    <row r="632" ht="15.75" customHeight="1" s="184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</row>
    <row r="633" ht="15.75" customHeight="1" s="184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</row>
    <row r="634" ht="15.75" customHeight="1" s="18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</row>
    <row r="635" ht="15.75" customHeight="1" s="184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</row>
    <row r="636" ht="15.75" customHeight="1" s="184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</row>
    <row r="637" ht="15.75" customHeight="1" s="184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</row>
    <row r="638" ht="15.75" customHeight="1" s="184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</row>
    <row r="639" ht="15.75" customHeight="1" s="184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</row>
    <row r="640" ht="15.75" customHeight="1" s="184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</row>
    <row r="641" ht="15.75" customHeight="1" s="184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</row>
    <row r="642" ht="15.75" customHeight="1" s="184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</row>
    <row r="643" ht="15.75" customHeight="1" s="184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</row>
    <row r="644" ht="15.75" customHeight="1" s="18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</row>
    <row r="645" ht="15.75" customHeight="1" s="184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</row>
    <row r="646" ht="15.75" customHeight="1" s="184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</row>
    <row r="647" ht="15.75" customHeight="1" s="184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</row>
    <row r="648" ht="15.75" customHeight="1" s="184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</row>
    <row r="649" ht="15.75" customHeight="1" s="184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</row>
    <row r="650" ht="15.75" customHeight="1" s="184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</row>
    <row r="651" ht="15.75" customHeight="1" s="184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</row>
    <row r="652" ht="15.75" customHeight="1" s="184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</row>
    <row r="653" ht="15.75" customHeight="1" s="184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</row>
    <row r="654" ht="15.75" customHeight="1" s="18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</row>
    <row r="655" ht="15.75" customHeight="1" s="184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</row>
    <row r="656" ht="15.75" customHeight="1" s="184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</row>
    <row r="657" ht="15.75" customHeight="1" s="184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</row>
    <row r="658" ht="15.75" customHeight="1" s="184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</row>
    <row r="659" ht="15.75" customHeight="1" s="184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</row>
    <row r="660" ht="15.75" customHeight="1" s="184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</row>
    <row r="661" ht="15.75" customHeight="1" s="184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</row>
    <row r="662" ht="15.75" customHeight="1" s="184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</row>
    <row r="663" ht="15.75" customHeight="1" s="184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</row>
    <row r="664" ht="15.75" customHeight="1" s="18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</row>
    <row r="665" ht="15.75" customHeight="1" s="184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</row>
    <row r="666" ht="15.75" customHeight="1" s="184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</row>
    <row r="667" ht="15.75" customHeight="1" s="184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</row>
    <row r="668" ht="15.75" customHeight="1" s="184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</row>
    <row r="669" ht="15.75" customHeight="1" s="184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</row>
    <row r="670" ht="15.75" customHeight="1" s="184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</row>
    <row r="671" ht="15.75" customHeight="1" s="184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</row>
    <row r="672" ht="15.75" customHeight="1" s="184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</row>
    <row r="673" ht="15.75" customHeight="1" s="184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</row>
    <row r="674" ht="15.75" customHeight="1" s="18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</row>
    <row r="675" ht="15.75" customHeight="1" s="184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</row>
    <row r="676" ht="15.75" customHeight="1" s="184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</row>
    <row r="677" ht="15.75" customHeight="1" s="184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</row>
    <row r="678" ht="15.75" customHeight="1" s="184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</row>
    <row r="679" ht="15.75" customHeight="1" s="184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</row>
    <row r="680" ht="15.75" customHeight="1" s="184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</row>
    <row r="681" ht="15.75" customHeight="1" s="184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</row>
    <row r="682" ht="15.75" customHeight="1" s="184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</row>
    <row r="683" ht="15.75" customHeight="1" s="184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</row>
    <row r="684" ht="15.75" customHeight="1" s="1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</row>
    <row r="685" ht="15.75" customHeight="1" s="184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</row>
    <row r="686" ht="15.75" customHeight="1" s="184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</row>
    <row r="687" ht="15.75" customHeight="1" s="184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</row>
    <row r="688" ht="15.75" customHeight="1" s="184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</row>
    <row r="689" ht="15.75" customHeight="1" s="184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</row>
    <row r="690" ht="15.75" customHeight="1" s="184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</row>
    <row r="691" ht="15.75" customHeight="1" s="184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</row>
    <row r="692" ht="15.75" customHeight="1" s="184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</row>
    <row r="693" ht="15.75" customHeight="1" s="184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</row>
    <row r="694" ht="15.75" customHeight="1" s="18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</row>
    <row r="695" ht="15.75" customHeight="1" s="184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</row>
    <row r="696" ht="15.75" customHeight="1" s="184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</row>
    <row r="697" ht="15.75" customHeight="1" s="184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</row>
    <row r="698" ht="15.75" customHeight="1" s="184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</row>
    <row r="699" ht="15.75" customHeight="1" s="184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</row>
    <row r="700" ht="15.75" customHeight="1" s="184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</row>
    <row r="701" ht="15.75" customHeight="1" s="184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</row>
    <row r="702" ht="15.75" customHeight="1" s="184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</row>
    <row r="703" ht="15.75" customHeight="1" s="184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</row>
    <row r="704" ht="15.75" customHeight="1" s="18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</row>
    <row r="705" ht="15.75" customHeight="1" s="184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</row>
    <row r="706" ht="15.75" customHeight="1" s="184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</row>
    <row r="707" ht="15.75" customHeight="1" s="184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</row>
    <row r="708" ht="15.75" customHeight="1" s="184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</row>
    <row r="709" ht="15.75" customHeight="1" s="184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</row>
    <row r="710" ht="15.75" customHeight="1" s="184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</row>
    <row r="711" ht="15.75" customHeight="1" s="184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</row>
    <row r="712" ht="15.75" customHeight="1" s="184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</row>
    <row r="713" ht="15.75" customHeight="1" s="184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</row>
    <row r="714" ht="15.75" customHeight="1" s="18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</row>
    <row r="715" ht="15.75" customHeight="1" s="184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</row>
    <row r="716" ht="15.75" customHeight="1" s="184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</row>
    <row r="717" ht="15.75" customHeight="1" s="184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</row>
    <row r="718" ht="15.75" customHeight="1" s="184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</row>
    <row r="719" ht="15.75" customHeight="1" s="184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</row>
    <row r="720" ht="15.75" customHeight="1" s="184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</row>
    <row r="721" ht="15.75" customHeight="1" s="184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</row>
    <row r="722" ht="15.75" customHeight="1" s="184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</row>
    <row r="723" ht="15.75" customHeight="1" s="184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</row>
    <row r="724" ht="15.75" customHeight="1" s="18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</row>
    <row r="725" ht="15.75" customHeight="1" s="184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</row>
    <row r="726" ht="15.75" customHeight="1" s="184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</row>
    <row r="727" ht="15.75" customHeight="1" s="184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</row>
    <row r="728" ht="15.75" customHeight="1" s="184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</row>
    <row r="729" ht="15.75" customHeight="1" s="184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</row>
    <row r="730" ht="15.75" customHeight="1" s="184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</row>
    <row r="731" ht="15.75" customHeight="1" s="184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</row>
    <row r="732" ht="15.75" customHeight="1" s="184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</row>
    <row r="733" ht="15.75" customHeight="1" s="184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</row>
    <row r="734" ht="15.75" customHeight="1" s="18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</row>
    <row r="735" ht="15.75" customHeight="1" s="184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</row>
    <row r="736" ht="15.75" customHeight="1" s="184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</row>
    <row r="737" ht="15.75" customHeight="1" s="184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</row>
    <row r="738" ht="15.75" customHeight="1" s="184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</row>
    <row r="739" ht="15.75" customHeight="1" s="184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</row>
    <row r="740" ht="15.75" customHeight="1" s="184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</row>
    <row r="741" ht="15.75" customHeight="1" s="184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</row>
    <row r="742" ht="15.75" customHeight="1" s="184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</row>
    <row r="743" ht="15.75" customHeight="1" s="184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</row>
    <row r="744" ht="15.75" customHeight="1" s="18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</row>
    <row r="745" ht="15.75" customHeight="1" s="184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</row>
    <row r="746" ht="15.75" customHeight="1" s="184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</row>
    <row r="747" ht="15.75" customHeight="1" s="184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</row>
    <row r="748" ht="15.75" customHeight="1" s="184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</row>
    <row r="749" ht="15.75" customHeight="1" s="184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</row>
    <row r="750" ht="15.75" customHeight="1" s="184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</row>
    <row r="751" ht="15.75" customHeight="1" s="184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</row>
    <row r="752" ht="15.75" customHeight="1" s="184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</row>
    <row r="753" ht="15.75" customHeight="1" s="184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</row>
    <row r="754" ht="15.75" customHeight="1" s="18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</row>
    <row r="755" ht="15.75" customHeight="1" s="184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</row>
    <row r="756" ht="15.75" customHeight="1" s="184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</row>
    <row r="757" ht="15.75" customHeight="1" s="184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</row>
    <row r="758" ht="15.75" customHeight="1" s="184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</row>
    <row r="759" ht="15.75" customHeight="1" s="184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</row>
    <row r="760" ht="15.75" customHeight="1" s="184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</row>
    <row r="761" ht="15.75" customHeight="1" s="184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</row>
    <row r="762" ht="15.75" customHeight="1" s="184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</row>
    <row r="763" ht="15.75" customHeight="1" s="184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</row>
    <row r="764" ht="15.75" customHeight="1" s="18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</row>
    <row r="765" ht="15.75" customHeight="1" s="184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</row>
    <row r="766" ht="15.75" customHeight="1" s="184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</row>
    <row r="767" ht="15.75" customHeight="1" s="184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</row>
    <row r="768" ht="15.75" customHeight="1" s="184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</row>
    <row r="769" ht="15.75" customHeight="1" s="184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</row>
    <row r="770" ht="15.75" customHeight="1" s="184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</row>
    <row r="771" ht="15.75" customHeight="1" s="184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</row>
    <row r="772" ht="15.75" customHeight="1" s="184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</row>
    <row r="773" ht="15.75" customHeight="1" s="184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</row>
    <row r="774" ht="15.75" customHeight="1" s="18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</row>
    <row r="775" ht="15.75" customHeight="1" s="184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</row>
    <row r="776" ht="15.75" customHeight="1" s="184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</row>
    <row r="777" ht="15.75" customHeight="1" s="184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</row>
    <row r="778" ht="15.75" customHeight="1" s="184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</row>
    <row r="779" ht="15.75" customHeight="1" s="184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</row>
    <row r="780" ht="15.75" customHeight="1" s="184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</row>
    <row r="781" ht="15.75" customHeight="1" s="184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</row>
    <row r="782" ht="15.75" customHeight="1" s="184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</row>
    <row r="783" ht="15.75" customHeight="1" s="184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</row>
    <row r="784" ht="15.75" customHeight="1" s="1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</row>
    <row r="785" ht="15.75" customHeight="1" s="184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</row>
    <row r="786" ht="15.75" customHeight="1" s="184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</row>
    <row r="787" ht="15.75" customHeight="1" s="184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</row>
    <row r="788" ht="15.75" customHeight="1" s="184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</row>
    <row r="789" ht="15.75" customHeight="1" s="184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</row>
    <row r="790" ht="15.75" customHeight="1" s="184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</row>
    <row r="791" ht="15.75" customHeight="1" s="184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</row>
    <row r="792" ht="15.75" customHeight="1" s="184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</row>
    <row r="793" ht="15.75" customHeight="1" s="184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</row>
    <row r="794" ht="15.75" customHeight="1" s="18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</row>
    <row r="795" ht="15.75" customHeight="1" s="184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</row>
    <row r="796" ht="15.75" customHeight="1" s="184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</row>
    <row r="797" ht="15.75" customHeight="1" s="184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</row>
    <row r="798" ht="15.75" customHeight="1" s="184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</row>
    <row r="799" ht="15.75" customHeight="1" s="184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</row>
    <row r="800" ht="15.75" customHeight="1" s="184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</row>
    <row r="801" ht="15.75" customHeight="1" s="184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</row>
    <row r="802" ht="15.75" customHeight="1" s="184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</row>
    <row r="803" ht="15.75" customHeight="1" s="184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</row>
    <row r="804" ht="15.75" customHeight="1" s="18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</row>
    <row r="805" ht="15.75" customHeight="1" s="184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</row>
    <row r="806" ht="15.75" customHeight="1" s="184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</row>
    <row r="807" ht="15.75" customHeight="1" s="184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</row>
    <row r="808" ht="15.75" customHeight="1" s="184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</row>
    <row r="809" ht="15.75" customHeight="1" s="184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</row>
    <row r="810" ht="15.75" customHeight="1" s="184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</row>
    <row r="811" ht="15.75" customHeight="1" s="184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</row>
    <row r="812" ht="15.75" customHeight="1" s="184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</row>
    <row r="813" ht="15.75" customHeight="1" s="184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</row>
    <row r="814" ht="15.75" customHeight="1" s="18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</row>
    <row r="815" ht="15.75" customHeight="1" s="184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</row>
    <row r="816" ht="15.75" customHeight="1" s="184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</row>
    <row r="817" ht="15.75" customHeight="1" s="184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</row>
    <row r="818" ht="15.75" customHeight="1" s="184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</row>
    <row r="819" ht="15.75" customHeight="1" s="184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</row>
    <row r="820" ht="15.75" customHeight="1" s="184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</row>
    <row r="821" ht="15.75" customHeight="1" s="184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</row>
    <row r="822" ht="15.75" customHeight="1" s="184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</row>
    <row r="823" ht="15.75" customHeight="1" s="184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</row>
    <row r="824" ht="15.75" customHeight="1" s="18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</row>
    <row r="825" ht="15.75" customHeight="1" s="184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</row>
    <row r="826" ht="15.75" customHeight="1" s="184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</row>
    <row r="827" ht="15.75" customHeight="1" s="184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</row>
    <row r="828" ht="15.75" customHeight="1" s="184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</row>
    <row r="829" ht="15.75" customHeight="1" s="184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</row>
    <row r="830" ht="15.75" customHeight="1" s="184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</row>
    <row r="831" ht="15.75" customHeight="1" s="184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</row>
    <row r="832" ht="15.75" customHeight="1" s="184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</row>
    <row r="833" ht="15.75" customHeight="1" s="184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</row>
    <row r="834" ht="15.75" customHeight="1" s="18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</row>
    <row r="835" ht="15.75" customHeight="1" s="184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</row>
    <row r="836" ht="15.75" customHeight="1" s="184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</row>
    <row r="837" ht="15.75" customHeight="1" s="184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</row>
    <row r="838" ht="15.75" customHeight="1" s="184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</row>
    <row r="839" ht="15.75" customHeight="1" s="184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</row>
    <row r="840" ht="15.75" customHeight="1" s="184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</row>
    <row r="841" ht="15.75" customHeight="1" s="184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</row>
    <row r="842" ht="15.75" customHeight="1" s="184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</row>
    <row r="843" ht="15.75" customHeight="1" s="184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</row>
    <row r="844" ht="15.75" customHeight="1" s="18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</row>
    <row r="845" ht="15.75" customHeight="1" s="184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</row>
    <row r="846" ht="15.75" customHeight="1" s="184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</row>
    <row r="847" ht="15.75" customHeight="1" s="184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</row>
    <row r="848" ht="15.75" customHeight="1" s="184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</row>
    <row r="849" ht="15.75" customHeight="1" s="184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</row>
    <row r="850" ht="15.75" customHeight="1" s="184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</row>
    <row r="851" ht="15.75" customHeight="1" s="184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</row>
    <row r="852" ht="15.75" customHeight="1" s="184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</row>
    <row r="853" ht="15.75" customHeight="1" s="184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</row>
    <row r="854" ht="15.75" customHeight="1" s="18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</row>
    <row r="855" ht="15.75" customHeight="1" s="184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</row>
    <row r="856" ht="15.75" customHeight="1" s="184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</row>
    <row r="857" ht="15.75" customHeight="1" s="184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</row>
    <row r="858" ht="15.75" customHeight="1" s="184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</row>
    <row r="859" ht="15.75" customHeight="1" s="184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</row>
    <row r="860" ht="15.75" customHeight="1" s="184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</row>
    <row r="861" ht="15.75" customHeight="1" s="184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</row>
    <row r="862" ht="15.75" customHeight="1" s="184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</row>
    <row r="863" ht="15.75" customHeight="1" s="184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</row>
    <row r="864" ht="15.75" customHeight="1" s="18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</row>
    <row r="865" ht="15.75" customHeight="1" s="184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</row>
    <row r="866" ht="15.75" customHeight="1" s="184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</row>
    <row r="867" ht="15.75" customHeight="1" s="184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</row>
    <row r="868" ht="15.75" customHeight="1" s="184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</row>
    <row r="869" ht="15.75" customHeight="1" s="184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</row>
    <row r="870" ht="15.75" customHeight="1" s="184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</row>
    <row r="871" ht="15.75" customHeight="1" s="184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</row>
    <row r="872" ht="15.75" customHeight="1" s="184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</row>
    <row r="873" ht="15.75" customHeight="1" s="184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</row>
    <row r="874" ht="15.75" customHeight="1" s="18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</row>
    <row r="875" ht="15.75" customHeight="1" s="184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</row>
    <row r="876" ht="15.75" customHeight="1" s="184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</row>
    <row r="877" ht="15.75" customHeight="1" s="184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</row>
    <row r="878" ht="15.75" customHeight="1" s="184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</row>
    <row r="879" ht="15.75" customHeight="1" s="184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</row>
    <row r="880" ht="15.75" customHeight="1" s="184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</row>
    <row r="881" ht="15.75" customHeight="1" s="184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</row>
    <row r="882" ht="15.75" customHeight="1" s="184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</row>
    <row r="883" ht="15.75" customHeight="1" s="184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</row>
    <row r="884" ht="15.75" customHeight="1" s="1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</row>
    <row r="885" ht="15.75" customHeight="1" s="184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</row>
    <row r="886" ht="15.75" customHeight="1" s="184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</row>
    <row r="887" ht="15.75" customHeight="1" s="184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</row>
    <row r="888" ht="15.75" customHeight="1" s="184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</row>
    <row r="889" ht="15.75" customHeight="1" s="184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</row>
    <row r="890" ht="15.75" customHeight="1" s="184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</row>
    <row r="891" ht="15.75" customHeight="1" s="184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</row>
    <row r="892" ht="15.75" customHeight="1" s="184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</row>
    <row r="893" ht="15.75" customHeight="1" s="184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</row>
    <row r="894" ht="15.75" customHeight="1" s="18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</row>
    <row r="895" ht="15.75" customHeight="1" s="184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</row>
    <row r="896" ht="15.75" customHeight="1" s="184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</row>
    <row r="897" ht="15.75" customHeight="1" s="184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</row>
    <row r="898" ht="15.75" customHeight="1" s="184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</row>
    <row r="899" ht="15.75" customHeight="1" s="184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</row>
    <row r="900" ht="15.75" customHeight="1" s="184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</row>
    <row r="901" ht="15.75" customHeight="1" s="184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</row>
    <row r="902" ht="15.75" customHeight="1" s="184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</row>
    <row r="903" ht="15.75" customHeight="1" s="184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</row>
    <row r="904" ht="15.75" customHeight="1" s="18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</row>
    <row r="905" ht="15.75" customHeight="1" s="184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</row>
    <row r="906" ht="15.75" customHeight="1" s="184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</row>
    <row r="907" ht="15.75" customHeight="1" s="184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</row>
    <row r="908" ht="15.75" customHeight="1" s="184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</row>
    <row r="909" ht="15.75" customHeight="1" s="184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</row>
    <row r="910" ht="15.75" customHeight="1" s="184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</row>
    <row r="911" ht="15.75" customHeight="1" s="184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</row>
    <row r="912" ht="15.75" customHeight="1" s="184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</row>
    <row r="913" ht="15.75" customHeight="1" s="184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</row>
    <row r="914" ht="15.75" customHeight="1" s="18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</row>
    <row r="915" ht="15.75" customHeight="1" s="184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</row>
    <row r="916" ht="15.75" customHeight="1" s="184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</row>
    <row r="917" ht="15.75" customHeight="1" s="184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</row>
    <row r="918" ht="15.75" customHeight="1" s="184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</row>
    <row r="919" ht="15.75" customHeight="1" s="184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</row>
    <row r="920" ht="15.75" customHeight="1" s="184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</row>
    <row r="921" ht="15.75" customHeight="1" s="184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</row>
    <row r="922" ht="15.75" customHeight="1" s="184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</row>
    <row r="923" ht="15.75" customHeight="1" s="184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</row>
    <row r="924" ht="15.75" customHeight="1" s="18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</row>
    <row r="925" ht="15.75" customHeight="1" s="184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</row>
    <row r="926" ht="15.75" customHeight="1" s="184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</row>
    <row r="927" ht="15.75" customHeight="1" s="184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</row>
    <row r="928" ht="15.75" customHeight="1" s="184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</row>
    <row r="929" ht="15.75" customHeight="1" s="184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</row>
    <row r="930" ht="15.75" customHeight="1" s="184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</row>
    <row r="931" ht="15.75" customHeight="1" s="184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</row>
    <row r="932" ht="15.75" customHeight="1" s="184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</row>
    <row r="933" ht="15.75" customHeight="1" s="184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</row>
    <row r="934" ht="15.75" customHeight="1" s="18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</row>
    <row r="935" ht="15.75" customHeight="1" s="184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</row>
    <row r="936" ht="15.75" customHeight="1" s="184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</row>
    <row r="937" ht="15.75" customHeight="1" s="184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</row>
    <row r="938" ht="15.75" customHeight="1" s="184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</row>
    <row r="939" ht="15.75" customHeight="1" s="184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</row>
    <row r="940" ht="15.75" customHeight="1" s="184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</row>
    <row r="941" ht="15.75" customHeight="1" s="184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</row>
    <row r="942" ht="15.75" customHeight="1" s="184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</row>
    <row r="943" ht="15.75" customHeight="1" s="184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</row>
    <row r="944" ht="15.75" customHeight="1" s="18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</row>
    <row r="945" ht="15.75" customHeight="1" s="184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</row>
    <row r="946" ht="15.75" customHeight="1" s="184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</row>
    <row r="947" ht="15.75" customHeight="1" s="184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</row>
    <row r="948" ht="15.75" customHeight="1" s="184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</row>
    <row r="949" ht="15.75" customHeight="1" s="184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</row>
    <row r="950" ht="15.75" customHeight="1" s="184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</row>
    <row r="951" ht="15.75" customHeight="1" s="184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</row>
    <row r="952" ht="15.75" customHeight="1" s="184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</row>
    <row r="953" ht="15.75" customHeight="1" s="184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</row>
    <row r="954" ht="15.75" customHeight="1" s="18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</row>
    <row r="955" ht="15.75" customHeight="1" s="184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</row>
    <row r="956" ht="15.75" customHeight="1" s="184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</row>
    <row r="957" ht="15.75" customHeight="1" s="184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</row>
    <row r="958" ht="15.75" customHeight="1" s="184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</row>
    <row r="959" ht="15.75" customHeight="1" s="184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</row>
    <row r="960" ht="15.75" customHeight="1" s="184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</row>
    <row r="961" ht="15.75" customHeight="1" s="184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</row>
    <row r="962" ht="15.75" customHeight="1" s="184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</row>
    <row r="963" ht="15.75" customHeight="1" s="184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</row>
    <row r="964" ht="15.75" customHeight="1" s="18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</row>
    <row r="965" ht="15.75" customHeight="1" s="184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</row>
    <row r="966" ht="15.75" customHeight="1" s="184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</row>
    <row r="967" ht="15.75" customHeight="1" s="184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</row>
    <row r="968" ht="15.75" customHeight="1" s="184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</row>
    <row r="969" ht="15.75" customHeight="1" s="184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</row>
    <row r="970" ht="15.75" customHeight="1" s="184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</row>
    <row r="971" ht="15.75" customHeight="1" s="184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</row>
    <row r="972" ht="15.75" customHeight="1" s="184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</row>
    <row r="973" ht="15.75" customHeight="1" s="184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</row>
    <row r="974" ht="15.75" customHeight="1" s="18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</row>
    <row r="975" ht="15.75" customHeight="1" s="184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</row>
    <row r="976" ht="15.75" customHeight="1" s="184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</row>
    <row r="977" ht="15.75" customHeight="1" s="184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</row>
    <row r="978" ht="15.75" customHeight="1" s="184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</row>
    <row r="979" ht="15.75" customHeight="1" s="184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</row>
    <row r="980" ht="15.75" customHeight="1" s="184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</row>
    <row r="981" ht="15.75" customHeight="1" s="184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</row>
    <row r="982" ht="15.75" customHeight="1" s="184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</row>
    <row r="983" ht="15.75" customHeight="1" s="184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</row>
    <row r="984" ht="15.75" customHeight="1" s="1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</row>
    <row r="985" ht="15.75" customHeight="1" s="184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</row>
    <row r="986" ht="15.75" customHeight="1" s="184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</row>
    <row r="987" ht="15.75" customHeight="1" s="184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</row>
    <row r="988" ht="15.75" customHeight="1" s="184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</row>
    <row r="989" ht="15.75" customHeight="1" s="184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</row>
    <row r="990" ht="15.75" customHeight="1" s="184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</row>
    <row r="991" ht="15.75" customHeight="1" s="184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</row>
    <row r="992" ht="15.75" customHeight="1" s="184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</row>
    <row r="993" ht="15.75" customHeight="1" s="184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</row>
    <row r="994" ht="15.75" customHeight="1" s="18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</row>
    <row r="995" ht="15.75" customHeight="1" s="184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</row>
    <row r="996" ht="15.75" customHeight="1" s="184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</row>
    <row r="997" ht="15.75" customHeight="1" s="184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</row>
    <row r="998" ht="15.75" customHeight="1" s="184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</row>
    <row r="999" ht="15.75" customHeight="1" s="184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</row>
    <row r="1000" ht="15.75" customHeight="1" s="184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</row>
  </sheetData>
  <autoFilter ref="$A$3:$G$999"/>
  <mergeCells count="1">
    <mergeCell ref="A1:G1"/>
  </mergeCells>
  <conditionalFormatting sqref="E2">
    <cfRule type="containsText" priority="1" operator="containsText" dxfId="0" text="Crypto">
      <formula>NOT(ISERROR(SEARCH(("Crypto"),(E2))))</formula>
    </cfRule>
    <cfRule type="containsText" priority="2" operator="containsText" dxfId="1" text="Shares MF">
      <formula>NOT(ISERROR(SEARCH(("Shares MF"),(E2))))</formula>
    </cfRule>
  </conditionalFormatting>
  <conditionalFormatting sqref="A4:C999 D4:D590 D592:D999 E4:G999">
    <cfRule type="expression" priority="3" dxfId="2">
      <formula>$D4&lt;0</formula>
    </cfRule>
  </conditionalFormatting>
  <dataValidations count="3">
    <dataValidation sqref="A487:A590" showDropDown="1" showInputMessage="1" showErrorMessage="1" allowBlank="1" prompt="Enter a valid date in MM-DD-YYYY format" type="custom">
      <formula1>OR(NOT(ISERROR(DATEVALUE(A487))), AND(ISNUMBER(A487), LEFT(CELL("format", A487))="D"))</formula1>
    </dataValidation>
    <dataValidation sqref="D487:D491" showDropDown="1" showInputMessage="1" showErrorMessage="1" allowBlank="1" prompt="Enter a valid number" type="decimal">
      <formula1>-1.0E12</formula1>
      <formula2>1.0E12</formula2>
    </dataValidation>
    <dataValidation sqref="E4:E999" showDropDown="0" showInputMessage="0" showErrorMessage="0" allowBlank="1" type="list">
      <formula1>SETTINGS!$A$3:$A$100</formula1>
    </dataValidation>
  </dataValidation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G1001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4" customWidth="1" style="184" min="1" max="1"/>
    <col width="35" customWidth="1" style="184" min="2" max="2"/>
    <col width="16" customWidth="1" style="184" min="3" max="3"/>
    <col width="22" customWidth="1" style="184" min="4" max="4"/>
    <col width="44.14" customWidth="1" style="184" min="5" max="5"/>
    <col width="4.57" customWidth="1" style="184" min="6" max="6"/>
  </cols>
  <sheetData>
    <row r="1" ht="31.5" customHeight="1" s="184">
      <c r="A1" s="215" t="inlineStr">
        <is>
          <t>💰 INCOME TRACKER — Salary, Side Income, Returns</t>
        </is>
      </c>
      <c r="F1" s="5" t="n"/>
      <c r="G1" s="5" t="n"/>
    </row>
    <row r="2" ht="15" customHeight="1" s="184">
      <c r="A2" s="6" t="inlineStr">
        <is>
          <t>Type</t>
        </is>
      </c>
      <c r="B2" s="6" t="inlineStr">
        <is>
          <t>Type</t>
        </is>
      </c>
      <c r="C2" s="6" t="inlineStr">
        <is>
          <t>Type</t>
        </is>
      </c>
      <c r="D2" s="10" t="inlineStr">
        <is>
          <t>Select</t>
        </is>
      </c>
      <c r="E2" s="6" t="inlineStr">
        <is>
          <t>Type</t>
        </is>
      </c>
      <c r="F2" s="5" t="n"/>
      <c r="G2" s="5" t="n"/>
    </row>
    <row r="3" ht="24" customHeight="1" s="184">
      <c r="A3" s="14" t="inlineStr">
        <is>
          <t>Date</t>
        </is>
      </c>
      <c r="B3" s="14" t="inlineStr">
        <is>
          <t>Source</t>
        </is>
      </c>
      <c r="C3" s="14" t="inlineStr">
        <is>
          <t>Amount (₹)</t>
        </is>
      </c>
      <c r="D3" s="14" t="inlineStr">
        <is>
          <t>Category</t>
        </is>
      </c>
      <c r="E3" s="14" t="inlineStr">
        <is>
          <t>Notes</t>
        </is>
      </c>
      <c r="F3" s="5" t="n"/>
      <c r="G3" s="5" t="n"/>
    </row>
    <row r="4" ht="15.75" customHeight="1" s="184">
      <c r="A4" s="15" t="n">
        <v>45689</v>
      </c>
      <c r="B4" s="16" t="inlineStr">
        <is>
          <t>Solaria Tech Corporate Salary</t>
        </is>
      </c>
      <c r="C4" s="18" t="n">
        <v>0</v>
      </c>
      <c r="D4" s="16" t="inlineStr">
        <is>
          <t>Job / Salary</t>
        </is>
      </c>
      <c r="E4" s="11" t="n"/>
      <c r="F4" s="5" t="n"/>
      <c r="G4" s="5" t="n"/>
    </row>
    <row r="5" ht="15.75" customHeight="1" s="184">
      <c r="A5" s="15" t="n">
        <v>45717</v>
      </c>
      <c r="B5" s="16" t="inlineStr">
        <is>
          <t>Solaria Tech Corporate Salary</t>
        </is>
      </c>
      <c r="C5" s="18" t="n">
        <v>21929</v>
      </c>
      <c r="D5" s="16" t="inlineStr">
        <is>
          <t>Job / Salary</t>
        </is>
      </c>
      <c r="E5" s="11" t="n"/>
      <c r="F5" s="5" t="n"/>
      <c r="G5" s="5" t="n"/>
    </row>
    <row r="6" ht="15.75" customHeight="1" s="184">
      <c r="A6" s="15" t="n">
        <v>45717</v>
      </c>
      <c r="B6" s="16" t="inlineStr">
        <is>
          <t>Trasfer to Expenses accounts</t>
        </is>
      </c>
      <c r="C6" s="18" t="n">
        <v>-7000</v>
      </c>
      <c r="D6" s="16" t="inlineStr">
        <is>
          <t>Job / Salary</t>
        </is>
      </c>
      <c r="E6" s="11" t="n"/>
      <c r="F6" s="5" t="n"/>
      <c r="G6" s="5" t="n"/>
    </row>
    <row r="7" ht="15.75" customHeight="1" s="184">
      <c r="A7" s="15" t="n">
        <v>45717</v>
      </c>
      <c r="B7" s="16" t="inlineStr">
        <is>
          <t>Inter-Account Reserve Transfer</t>
        </is>
      </c>
      <c r="C7" s="18" t="n">
        <v>7000</v>
      </c>
      <c r="D7" s="16" t="inlineStr">
        <is>
          <t>Expense Money</t>
        </is>
      </c>
      <c r="E7" s="11" t="n"/>
      <c r="F7" s="5" t="n"/>
      <c r="G7" s="5" t="n"/>
    </row>
    <row r="8" ht="15.75" customHeight="1" s="184">
      <c r="A8" s="15" t="n">
        <v>45748</v>
      </c>
      <c r="B8" s="16" t="inlineStr">
        <is>
          <t>Solaria Tech Corporate Salary</t>
        </is>
      </c>
      <c r="C8" s="18" t="n">
        <v>22029</v>
      </c>
      <c r="D8" s="16" t="inlineStr">
        <is>
          <t>Job / Salary</t>
        </is>
      </c>
      <c r="E8" s="11" t="n"/>
      <c r="F8" s="5" t="n"/>
      <c r="G8" s="5" t="n"/>
    </row>
    <row r="9" ht="15.75" customHeight="1" s="184">
      <c r="A9" s="15" t="n">
        <v>45748</v>
      </c>
      <c r="B9" s="16" t="inlineStr">
        <is>
          <t>Trasfer to Expenses accounts</t>
        </is>
      </c>
      <c r="C9" s="18" t="n">
        <v>-8000</v>
      </c>
      <c r="D9" s="16" t="inlineStr">
        <is>
          <t>Job / Salary</t>
        </is>
      </c>
      <c r="E9" s="11" t="n"/>
      <c r="F9" s="5" t="n"/>
      <c r="G9" s="5" t="n"/>
    </row>
    <row r="10" ht="15.75" customHeight="1" s="184">
      <c r="A10" s="15" t="n">
        <v>45748</v>
      </c>
      <c r="B10" s="16" t="inlineStr">
        <is>
          <t>Inter-Account Reserve Transfer</t>
        </is>
      </c>
      <c r="C10" s="18" t="n">
        <v>8000</v>
      </c>
      <c r="D10" s="16" t="inlineStr">
        <is>
          <t>Expense Money</t>
        </is>
      </c>
      <c r="E10" s="11" t="n"/>
      <c r="F10" s="5" t="n"/>
      <c r="G10" s="5" t="n"/>
    </row>
    <row r="11" ht="15.75" customHeight="1" s="184">
      <c r="A11" s="15" t="n">
        <v>45778</v>
      </c>
      <c r="B11" s="16" t="inlineStr">
        <is>
          <t>Solaria Tech Corporate Salary</t>
        </is>
      </c>
      <c r="C11" s="18" t="n">
        <v>22029</v>
      </c>
      <c r="D11" s="16" t="inlineStr">
        <is>
          <t>Job / Salary</t>
        </is>
      </c>
      <c r="E11" s="11" t="n"/>
      <c r="F11" s="5" t="n"/>
      <c r="G11" s="5" t="n"/>
    </row>
    <row r="12" ht="15.75" customHeight="1" s="184">
      <c r="A12" s="15" t="n">
        <v>45778</v>
      </c>
      <c r="B12" s="16" t="inlineStr">
        <is>
          <t>Trasfer to Expenses accounts</t>
        </is>
      </c>
      <c r="C12" s="18" t="n">
        <v>-11014</v>
      </c>
      <c r="D12" s="16" t="inlineStr">
        <is>
          <t>Job / Salary</t>
        </is>
      </c>
      <c r="E12" s="11" t="n"/>
      <c r="F12" s="5" t="n"/>
      <c r="G12" s="5" t="n"/>
    </row>
    <row r="13" ht="15.75" customHeight="1" s="184">
      <c r="A13" s="15" t="n">
        <v>45778</v>
      </c>
      <c r="B13" s="16" t="inlineStr">
        <is>
          <t>Inter-Account Reserve Transfer</t>
        </is>
      </c>
      <c r="C13" s="18" t="n">
        <v>11014</v>
      </c>
      <c r="D13" s="16" t="inlineStr">
        <is>
          <t>Expense Money</t>
        </is>
      </c>
      <c r="E13" s="11" t="n"/>
      <c r="F13" s="5" t="n"/>
      <c r="G13" s="5" t="n"/>
    </row>
    <row r="14" ht="15.75" customHeight="1" s="184">
      <c r="A14" s="15" t="n">
        <v>45793</v>
      </c>
      <c r="B14" s="16" t="inlineStr">
        <is>
          <t>College Project Work</t>
        </is>
      </c>
      <c r="C14" s="18" t="n">
        <v>2000</v>
      </c>
      <c r="D14" s="16" t="inlineStr">
        <is>
          <t>Side Income</t>
        </is>
      </c>
      <c r="E14" s="11" t="n"/>
      <c r="F14" s="5" t="n"/>
      <c r="G14" s="5" t="n"/>
    </row>
    <row r="15" ht="15.75" customHeight="1" s="184">
      <c r="A15" s="15" t="n">
        <v>45795</v>
      </c>
      <c r="B15" s="16" t="inlineStr">
        <is>
          <t>College Project Work</t>
        </is>
      </c>
      <c r="C15" s="18" t="n">
        <v>2000</v>
      </c>
      <c r="D15" s="16" t="inlineStr">
        <is>
          <t>Side Income</t>
        </is>
      </c>
      <c r="E15" s="11" t="n"/>
      <c r="F15" s="5" t="n"/>
      <c r="G15" s="5" t="n"/>
    </row>
    <row r="16" ht="15.75" customHeight="1" s="184">
      <c r="A16" s="15" t="n">
        <v>45809</v>
      </c>
      <c r="B16" s="16" t="inlineStr">
        <is>
          <t>Solaria Tech Corporate Salary</t>
        </is>
      </c>
      <c r="C16" s="18" t="n">
        <v>24446</v>
      </c>
      <c r="D16" s="16" t="inlineStr">
        <is>
          <t>Job / Salary</t>
        </is>
      </c>
      <c r="E16" s="11" t="n"/>
      <c r="F16" s="5" t="n"/>
      <c r="G16" s="5" t="n"/>
    </row>
    <row r="17" ht="15.75" customHeight="1" s="184">
      <c r="A17" s="15" t="n">
        <v>45809</v>
      </c>
      <c r="B17" s="16" t="inlineStr">
        <is>
          <t>Trasfer to Expenses accounts</t>
        </is>
      </c>
      <c r="C17" s="18" t="n">
        <v>-12223</v>
      </c>
      <c r="D17" s="16" t="inlineStr">
        <is>
          <t>Job / Salary</t>
        </is>
      </c>
      <c r="E17" s="11" t="n"/>
      <c r="F17" s="5" t="n"/>
      <c r="G17" s="5" t="n"/>
    </row>
    <row r="18" ht="15.75" customHeight="1" s="184">
      <c r="A18" s="15" t="n">
        <v>45809</v>
      </c>
      <c r="B18" s="16" t="inlineStr">
        <is>
          <t>Inter-Account Reserve Transfer</t>
        </is>
      </c>
      <c r="C18" s="18" t="n">
        <v>12223</v>
      </c>
      <c r="D18" s="16" t="inlineStr">
        <is>
          <t>Expense Money</t>
        </is>
      </c>
      <c r="E18" s="11" t="n"/>
      <c r="F18" s="5" t="n"/>
      <c r="G18" s="5" t="n"/>
    </row>
    <row r="19" ht="15.75" customHeight="1" s="184">
      <c r="A19" s="15" t="n">
        <v>45839</v>
      </c>
      <c r="B19" s="16" t="inlineStr">
        <is>
          <t>Solaria Tech Corporate Salary</t>
        </is>
      </c>
      <c r="C19" s="18" t="n">
        <v>19315</v>
      </c>
      <c r="D19" s="16" t="inlineStr">
        <is>
          <t>Job / Salary</t>
        </is>
      </c>
      <c r="E19" s="11" t="n"/>
      <c r="F19" s="5" t="n"/>
      <c r="G19" s="5" t="n"/>
    </row>
    <row r="20" ht="15.75" customHeight="1" s="184">
      <c r="A20" s="15" t="n">
        <v>45839</v>
      </c>
      <c r="B20" s="16" t="inlineStr">
        <is>
          <t>Trasfer to Expenses accounts</t>
        </is>
      </c>
      <c r="C20" s="18" t="n">
        <v>-11589</v>
      </c>
      <c r="D20" s="16" t="inlineStr">
        <is>
          <t>Job / Salary</t>
        </is>
      </c>
      <c r="E20" s="11" t="n"/>
      <c r="F20" s="5" t="n"/>
      <c r="G20" s="5" t="n"/>
    </row>
    <row r="21" ht="15.75" customHeight="1" s="184">
      <c r="A21" s="15" t="n">
        <v>45839</v>
      </c>
      <c r="B21" s="16" t="inlineStr">
        <is>
          <t>Inter-Account Reserve Transfer</t>
        </is>
      </c>
      <c r="C21" s="18" t="n">
        <v>11589</v>
      </c>
      <c r="D21" s="16" t="inlineStr">
        <is>
          <t>Expense Money</t>
        </is>
      </c>
      <c r="E21" s="11" t="n"/>
      <c r="F21" s="5" t="n"/>
      <c r="G21" s="5" t="n"/>
    </row>
    <row r="22" ht="15.75" customHeight="1" s="184">
      <c r="A22" s="15" t="n"/>
      <c r="B22" s="16" t="n"/>
      <c r="C22" s="18" t="n"/>
      <c r="D22" s="16" t="n"/>
      <c r="E22" s="11" t="n"/>
      <c r="F22" s="5" t="n"/>
      <c r="G22" s="5" t="n"/>
    </row>
    <row r="23" ht="15.75" customHeight="1" s="184">
      <c r="A23" s="15" t="n"/>
      <c r="B23" s="16" t="n"/>
      <c r="C23" s="18" t="n"/>
      <c r="D23" s="16" t="n"/>
      <c r="E23" s="11" t="n"/>
      <c r="F23" s="5" t="n"/>
      <c r="G23" s="5" t="n"/>
    </row>
    <row r="24" ht="15.75" customHeight="1" s="184">
      <c r="A24" s="15" t="n"/>
      <c r="B24" s="16" t="n"/>
      <c r="C24" s="18" t="n"/>
      <c r="D24" s="16" t="n"/>
      <c r="E24" s="11" t="n"/>
      <c r="F24" s="5" t="n"/>
      <c r="G24" s="5" t="n"/>
    </row>
    <row r="25" ht="15.75" customHeight="1" s="184">
      <c r="A25" s="15" t="n"/>
      <c r="B25" s="16" t="n"/>
      <c r="C25" s="18" t="n"/>
      <c r="D25" s="16" t="n"/>
      <c r="E25" s="11" t="n"/>
      <c r="F25" s="5" t="n"/>
      <c r="G25" s="5" t="n"/>
    </row>
    <row r="26" ht="15.75" customHeight="1" s="184">
      <c r="A26" s="15" t="n"/>
      <c r="B26" s="16" t="n"/>
      <c r="C26" s="18" t="n"/>
      <c r="D26" s="16" t="n"/>
      <c r="E26" s="11" t="n"/>
      <c r="F26" s="5" t="n"/>
      <c r="G26" s="5" t="n"/>
    </row>
    <row r="27" ht="15.75" customHeight="1" s="184">
      <c r="A27" s="15" t="n"/>
      <c r="B27" s="16" t="n"/>
      <c r="C27" s="18" t="n"/>
      <c r="D27" s="16" t="n"/>
      <c r="E27" s="11" t="n"/>
      <c r="F27" s="5" t="n"/>
      <c r="G27" s="5" t="n"/>
    </row>
    <row r="28" ht="15.75" customHeight="1" s="184">
      <c r="A28" s="15" t="n"/>
      <c r="B28" s="16" t="n"/>
      <c r="C28" s="18" t="n"/>
      <c r="D28" s="16" t="n"/>
      <c r="E28" s="11" t="n"/>
      <c r="F28" s="5" t="n"/>
      <c r="G28" s="5" t="n"/>
    </row>
    <row r="29" ht="15.75" customHeight="1" s="184">
      <c r="A29" s="15" t="n"/>
      <c r="B29" s="16" t="n"/>
      <c r="C29" s="18" t="n"/>
      <c r="D29" s="16" t="n"/>
      <c r="E29" s="11" t="n"/>
      <c r="F29" s="5" t="n"/>
      <c r="G29" s="5" t="n"/>
    </row>
    <row r="30" ht="15.75" customHeight="1" s="184">
      <c r="A30" s="15" t="n"/>
      <c r="B30" s="16" t="n"/>
      <c r="C30" s="18" t="n"/>
      <c r="D30" s="16" t="n"/>
      <c r="E30" s="11" t="n"/>
      <c r="F30" s="5" t="n"/>
      <c r="G30" s="5" t="n"/>
    </row>
    <row r="31" ht="15.75" customHeight="1" s="184">
      <c r="A31" s="15" t="n"/>
      <c r="B31" s="16" t="n"/>
      <c r="C31" s="18" t="n"/>
      <c r="D31" s="16" t="n"/>
      <c r="E31" s="11" t="n"/>
      <c r="F31" s="5" t="n"/>
      <c r="G31" s="5" t="n"/>
    </row>
    <row r="32" ht="15.75" customHeight="1" s="184">
      <c r="A32" s="15" t="n"/>
      <c r="B32" s="16" t="n"/>
      <c r="C32" s="18" t="n"/>
      <c r="D32" s="16" t="n"/>
      <c r="E32" s="11" t="n"/>
      <c r="F32" s="5" t="n"/>
      <c r="G32" s="5" t="n"/>
    </row>
    <row r="33" ht="15.75" customHeight="1" s="184">
      <c r="A33" s="15" t="n"/>
      <c r="B33" s="16" t="n"/>
      <c r="C33" s="18" t="n"/>
      <c r="D33" s="16" t="n"/>
      <c r="E33" s="11" t="n"/>
      <c r="F33" s="5" t="n"/>
      <c r="G33" s="5" t="n"/>
    </row>
    <row r="34" ht="15.75" customHeight="1" s="184">
      <c r="A34" s="15" t="n"/>
      <c r="B34" s="16" t="n"/>
      <c r="C34" s="18" t="n"/>
      <c r="D34" s="16" t="n"/>
      <c r="E34" s="11" t="n"/>
      <c r="F34" s="5" t="n"/>
      <c r="G34" s="5" t="n"/>
    </row>
    <row r="35" ht="15.75" customHeight="1" s="184">
      <c r="A35" s="15" t="n"/>
      <c r="B35" s="16" t="n"/>
      <c r="C35" s="18" t="n"/>
      <c r="D35" s="16" t="n"/>
      <c r="E35" s="11" t="n"/>
      <c r="F35" s="5" t="n"/>
      <c r="G35" s="5" t="n"/>
    </row>
    <row r="36" ht="15.75" customHeight="1" s="184">
      <c r="A36" s="15" t="n"/>
      <c r="B36" s="16" t="n"/>
      <c r="C36" s="18" t="n"/>
      <c r="D36" s="16" t="n"/>
      <c r="E36" s="11" t="n"/>
      <c r="F36" s="5" t="n"/>
      <c r="G36" s="5" t="n"/>
    </row>
    <row r="37" ht="15.75" customHeight="1" s="184">
      <c r="A37" s="15" t="n"/>
      <c r="B37" s="16" t="n"/>
      <c r="C37" s="18" t="n"/>
      <c r="D37" s="16" t="n"/>
      <c r="E37" s="11" t="n"/>
      <c r="F37" s="5" t="n"/>
      <c r="G37" s="5" t="n"/>
    </row>
    <row r="38" ht="15.75" customHeight="1" s="184">
      <c r="A38" s="15" t="n"/>
      <c r="B38" s="16" t="n"/>
      <c r="C38" s="18" t="n"/>
      <c r="D38" s="16" t="n"/>
      <c r="E38" s="11" t="n"/>
      <c r="F38" s="5" t="n"/>
      <c r="G38" s="5" t="n"/>
    </row>
    <row r="39" ht="15.75" customHeight="1" s="184">
      <c r="A39" s="15" t="n"/>
      <c r="B39" s="16" t="n"/>
      <c r="C39" s="18" t="n"/>
      <c r="D39" s="16" t="n"/>
      <c r="E39" s="11" t="n"/>
      <c r="F39" s="5" t="n"/>
      <c r="G39" s="5" t="n"/>
    </row>
    <row r="40" ht="15.75" customHeight="1" s="184">
      <c r="A40" s="15" t="n"/>
      <c r="B40" s="16" t="n"/>
      <c r="C40" s="18" t="n"/>
      <c r="D40" s="16" t="n"/>
      <c r="E40" s="11" t="n"/>
      <c r="F40" s="5" t="n"/>
      <c r="G40" s="5" t="n"/>
    </row>
    <row r="41" ht="15.75" customHeight="1" s="184">
      <c r="A41" s="15" t="n"/>
      <c r="B41" s="16" t="n"/>
      <c r="C41" s="18" t="n"/>
      <c r="D41" s="16" t="n"/>
      <c r="E41" s="11" t="n"/>
      <c r="F41" s="5" t="n"/>
      <c r="G41" s="5" t="n"/>
    </row>
    <row r="42" ht="15.75" customHeight="1" s="184">
      <c r="A42" s="15" t="n"/>
      <c r="B42" s="16" t="n"/>
      <c r="C42" s="18" t="n"/>
      <c r="D42" s="16" t="n"/>
      <c r="E42" s="11" t="n"/>
      <c r="F42" s="5" t="n"/>
      <c r="G42" s="5" t="n"/>
    </row>
    <row r="43" ht="15.75" customHeight="1" s="184">
      <c r="A43" s="15" t="n"/>
      <c r="B43" s="16" t="n"/>
      <c r="C43" s="18" t="n"/>
      <c r="D43" s="16" t="n"/>
      <c r="E43" s="11" t="n"/>
      <c r="F43" s="5" t="n"/>
      <c r="G43" s="5" t="n"/>
    </row>
    <row r="44" ht="15.75" customHeight="1" s="184">
      <c r="A44" s="15" t="n"/>
      <c r="B44" s="16" t="n"/>
      <c r="C44" s="18" t="n"/>
      <c r="D44" s="16" t="n"/>
      <c r="E44" s="11" t="n"/>
      <c r="F44" s="5" t="n"/>
      <c r="G44" s="5" t="n"/>
    </row>
    <row r="45" ht="15.75" customHeight="1" s="184">
      <c r="A45" s="15" t="n"/>
      <c r="B45" s="16" t="n"/>
      <c r="C45" s="18" t="n"/>
      <c r="D45" s="16" t="n"/>
      <c r="E45" s="11" t="n"/>
      <c r="F45" s="5" t="n"/>
      <c r="G45" s="5" t="n"/>
    </row>
    <row r="46" ht="15.75" customHeight="1" s="184">
      <c r="A46" s="15" t="n"/>
      <c r="B46" s="16" t="n"/>
      <c r="C46" s="18" t="n"/>
      <c r="D46" s="16" t="n"/>
      <c r="E46" s="11" t="n"/>
      <c r="F46" s="5" t="n"/>
      <c r="G46" s="5" t="n"/>
    </row>
    <row r="47" ht="15.75" customHeight="1" s="184">
      <c r="A47" s="15" t="n"/>
      <c r="B47" s="16" t="n"/>
      <c r="C47" s="18" t="n"/>
      <c r="D47" s="16" t="n"/>
      <c r="E47" s="11" t="n"/>
      <c r="F47" s="5" t="n"/>
      <c r="G47" s="5" t="n"/>
    </row>
    <row r="48" ht="15.75" customHeight="1" s="184">
      <c r="A48" s="15" t="n"/>
      <c r="B48" s="16" t="n"/>
      <c r="C48" s="18" t="n"/>
      <c r="D48" s="16" t="n"/>
      <c r="E48" s="11" t="n"/>
      <c r="F48" s="5" t="n"/>
      <c r="G48" s="5" t="n"/>
    </row>
    <row r="49" ht="15.75" customHeight="1" s="184">
      <c r="A49" s="15" t="n"/>
      <c r="B49" s="16" t="n"/>
      <c r="C49" s="18" t="n"/>
      <c r="D49" s="16" t="n"/>
      <c r="E49" s="11" t="n"/>
      <c r="F49" s="5" t="n"/>
      <c r="G49" s="5" t="n"/>
    </row>
    <row r="50" ht="15.75" customHeight="1" s="184">
      <c r="A50" s="15" t="n"/>
      <c r="B50" s="16" t="n"/>
      <c r="C50" s="18" t="n"/>
      <c r="D50" s="16" t="n"/>
      <c r="E50" s="11" t="n"/>
      <c r="F50" s="5" t="n"/>
      <c r="G50" s="5" t="n"/>
    </row>
    <row r="51" ht="15.75" customHeight="1" s="184">
      <c r="A51" s="15" t="n"/>
      <c r="B51" s="16" t="n"/>
      <c r="C51" s="18" t="n"/>
      <c r="D51" s="16" t="n"/>
      <c r="E51" s="11" t="n"/>
      <c r="F51" s="5" t="n"/>
      <c r="G51" s="5" t="n"/>
    </row>
    <row r="52" ht="15.75" customHeight="1" s="184">
      <c r="A52" s="15" t="n"/>
      <c r="B52" s="16" t="n"/>
      <c r="C52" s="18" t="n"/>
      <c r="D52" s="16" t="n"/>
      <c r="E52" s="11" t="n"/>
      <c r="F52" s="5" t="n"/>
      <c r="G52" s="5" t="n"/>
    </row>
    <row r="53" ht="15.75" customHeight="1" s="184">
      <c r="A53" s="15" t="n"/>
      <c r="B53" s="16" t="n"/>
      <c r="C53" s="18" t="n"/>
      <c r="D53" s="16" t="n"/>
      <c r="E53" s="11" t="n"/>
      <c r="F53" s="5" t="n"/>
      <c r="G53" s="5" t="n"/>
    </row>
    <row r="54" ht="15.75" customHeight="1" s="184">
      <c r="A54" s="15" t="n"/>
      <c r="B54" s="16" t="n"/>
      <c r="C54" s="18" t="n"/>
      <c r="D54" s="16" t="n"/>
      <c r="E54" s="11" t="n"/>
      <c r="F54" s="5" t="n"/>
      <c r="G54" s="5" t="n"/>
    </row>
    <row r="55" ht="15" customHeight="1" s="184">
      <c r="A55" s="15" t="n"/>
      <c r="B55" s="16" t="n"/>
      <c r="C55" s="18" t="n"/>
      <c r="D55" s="16" t="n"/>
      <c r="E55" s="11" t="n"/>
      <c r="F55" s="5" t="n"/>
      <c r="G55" s="5" t="n"/>
    </row>
    <row r="56" ht="15" customHeight="1" s="184">
      <c r="A56" s="15" t="n"/>
      <c r="B56" s="16" t="n"/>
      <c r="C56" s="18" t="n"/>
      <c r="D56" s="16" t="n"/>
      <c r="E56" s="11" t="n"/>
      <c r="F56" s="5" t="n"/>
      <c r="G56" s="5" t="n"/>
    </row>
    <row r="57" ht="15" customHeight="1" s="184">
      <c r="A57" s="15" t="n"/>
      <c r="B57" s="16" t="n"/>
      <c r="C57" s="18" t="n"/>
      <c r="D57" s="16" t="n"/>
      <c r="E57" s="11" t="n"/>
      <c r="F57" s="5" t="n"/>
      <c r="G57" s="5" t="n"/>
    </row>
    <row r="58" ht="15" customHeight="1" s="184">
      <c r="A58" s="15" t="n"/>
      <c r="B58" s="16" t="n"/>
      <c r="C58" s="18" t="n"/>
      <c r="D58" s="16" t="n"/>
      <c r="E58" s="11" t="n"/>
      <c r="F58" s="5" t="n"/>
      <c r="G58" s="5" t="n"/>
    </row>
    <row r="59" ht="15" customHeight="1" s="184">
      <c r="A59" s="15" t="n"/>
      <c r="B59" s="16" t="n"/>
      <c r="C59" s="18" t="n"/>
      <c r="D59" s="16" t="n"/>
      <c r="E59" s="11" t="n"/>
      <c r="F59" s="5" t="n"/>
      <c r="G59" s="5" t="n"/>
    </row>
    <row r="60" ht="15" customHeight="1" s="184">
      <c r="A60" s="15" t="n"/>
      <c r="B60" s="16" t="n"/>
      <c r="C60" s="18" t="n"/>
      <c r="D60" s="16" t="n"/>
      <c r="E60" s="11" t="n"/>
      <c r="F60" s="5" t="n"/>
      <c r="G60" s="5" t="n"/>
    </row>
    <row r="61" ht="15" customHeight="1" s="184">
      <c r="A61" s="15" t="n"/>
      <c r="B61" s="16" t="n"/>
      <c r="C61" s="18" t="n"/>
      <c r="D61" s="16" t="n"/>
      <c r="E61" s="11" t="n"/>
      <c r="F61" s="5" t="n"/>
      <c r="G61" s="5" t="n"/>
    </row>
    <row r="62" ht="15" customHeight="1" s="184">
      <c r="A62" s="15" t="n"/>
      <c r="B62" s="16" t="n"/>
      <c r="C62" s="18" t="n"/>
      <c r="D62" s="16" t="n"/>
      <c r="E62" s="11" t="n"/>
      <c r="F62" s="5" t="n"/>
      <c r="G62" s="5" t="n"/>
    </row>
    <row r="63" ht="15" customHeight="1" s="184">
      <c r="A63" s="15" t="n"/>
      <c r="B63" s="16" t="n"/>
      <c r="C63" s="18" t="n"/>
      <c r="D63" s="16" t="n"/>
      <c r="E63" s="11" t="n"/>
      <c r="F63" s="5" t="n"/>
      <c r="G63" s="5" t="n"/>
    </row>
    <row r="64" ht="15" customHeight="1" s="184">
      <c r="A64" s="15" t="n"/>
      <c r="B64" s="16" t="n"/>
      <c r="C64" s="18" t="n"/>
      <c r="D64" s="16" t="n"/>
      <c r="E64" s="11" t="n"/>
      <c r="F64" s="5" t="n"/>
      <c r="G64" s="5" t="n"/>
    </row>
    <row r="65" ht="15" customHeight="1" s="184">
      <c r="A65" s="15" t="n"/>
      <c r="B65" s="16" t="n"/>
      <c r="C65" s="18" t="n"/>
      <c r="D65" s="16" t="n"/>
      <c r="E65" s="11" t="n"/>
      <c r="F65" s="5" t="n"/>
      <c r="G65" s="5" t="n"/>
    </row>
    <row r="66" ht="15" customHeight="1" s="184">
      <c r="A66" s="15" t="n"/>
      <c r="B66" s="16" t="n"/>
      <c r="C66" s="18" t="n"/>
      <c r="D66" s="16" t="n"/>
      <c r="E66" s="11" t="n"/>
      <c r="F66" s="5" t="n"/>
      <c r="G66" s="5" t="n"/>
    </row>
    <row r="67" ht="15" customHeight="1" s="184">
      <c r="A67" s="15" t="n"/>
      <c r="B67" s="16" t="n"/>
      <c r="C67" s="18" t="n"/>
      <c r="D67" s="16" t="n"/>
      <c r="E67" s="11" t="n"/>
      <c r="F67" s="5" t="n"/>
      <c r="G67" s="5" t="n"/>
    </row>
    <row r="68" ht="15" customHeight="1" s="184">
      <c r="A68" s="15" t="n"/>
      <c r="B68" s="16" t="n"/>
      <c r="C68" s="18" t="n"/>
      <c r="D68" s="16" t="n"/>
      <c r="E68" s="11" t="n"/>
      <c r="F68" s="5" t="n"/>
      <c r="G68" s="5" t="n"/>
    </row>
    <row r="69" ht="15" customHeight="1" s="184">
      <c r="A69" s="15" t="n"/>
      <c r="B69" s="16" t="n"/>
      <c r="C69" s="18" t="n"/>
      <c r="D69" s="16" t="n"/>
      <c r="E69" s="11" t="n"/>
      <c r="F69" s="5" t="n"/>
      <c r="G69" s="5" t="n"/>
    </row>
    <row r="70" ht="15" customHeight="1" s="184">
      <c r="A70" s="15" t="n"/>
      <c r="B70" s="16" t="n"/>
      <c r="C70" s="18" t="n"/>
      <c r="D70" s="16" t="n"/>
      <c r="E70" s="11" t="n"/>
      <c r="F70" s="5" t="n"/>
      <c r="G70" s="5" t="n"/>
    </row>
    <row r="71" ht="15" customHeight="1" s="184">
      <c r="A71" s="15" t="n"/>
      <c r="B71" s="16" t="n"/>
      <c r="C71" s="18" t="n"/>
      <c r="D71" s="16" t="n"/>
      <c r="E71" s="11" t="n"/>
      <c r="F71" s="5" t="n"/>
      <c r="G71" s="5" t="n"/>
    </row>
    <row r="72" ht="15" customHeight="1" s="184">
      <c r="A72" s="15" t="n"/>
      <c r="B72" s="16" t="n"/>
      <c r="C72" s="18" t="n"/>
      <c r="D72" s="16" t="n"/>
      <c r="E72" s="11" t="n"/>
      <c r="F72" s="5" t="n"/>
      <c r="G72" s="5" t="n"/>
    </row>
    <row r="73" ht="15" customHeight="1" s="184">
      <c r="A73" s="15" t="n"/>
      <c r="B73" s="16" t="n"/>
      <c r="C73" s="18" t="n"/>
      <c r="D73" s="16" t="n"/>
      <c r="E73" s="11" t="n"/>
      <c r="F73" s="5" t="n"/>
      <c r="G73" s="5" t="n"/>
    </row>
    <row r="74" ht="15" customHeight="1" s="184">
      <c r="A74" s="15" t="n"/>
      <c r="B74" s="16" t="n"/>
      <c r="C74" s="18" t="n"/>
      <c r="D74" s="16" t="n"/>
      <c r="E74" s="11" t="n"/>
      <c r="F74" s="5" t="n"/>
      <c r="G74" s="5" t="n"/>
    </row>
    <row r="75" ht="15" customHeight="1" s="184">
      <c r="A75" s="15" t="n"/>
      <c r="B75" s="16" t="n"/>
      <c r="C75" s="18" t="n"/>
      <c r="D75" s="16" t="n"/>
      <c r="E75" s="11" t="n"/>
      <c r="F75" s="5" t="n"/>
      <c r="G75" s="5" t="n"/>
    </row>
    <row r="76" ht="15" customHeight="1" s="184">
      <c r="A76" s="15" t="n"/>
      <c r="B76" s="16" t="n"/>
      <c r="C76" s="18" t="n"/>
      <c r="D76" s="16" t="n"/>
      <c r="E76" s="11" t="n"/>
      <c r="F76" s="5" t="n"/>
      <c r="G76" s="5" t="n"/>
    </row>
    <row r="77" ht="15" customHeight="1" s="184">
      <c r="A77" s="15" t="n"/>
      <c r="B77" s="16" t="n"/>
      <c r="C77" s="18" t="n"/>
      <c r="D77" s="16" t="n"/>
      <c r="E77" s="11" t="n"/>
      <c r="F77" s="5" t="n"/>
      <c r="G77" s="5" t="n"/>
    </row>
    <row r="78" ht="15" customHeight="1" s="184">
      <c r="A78" s="15" t="n"/>
      <c r="B78" s="16" t="n"/>
      <c r="C78" s="18" t="n"/>
      <c r="D78" s="16" t="n"/>
      <c r="E78" s="11" t="n"/>
      <c r="F78" s="5" t="n"/>
      <c r="G78" s="5" t="n"/>
    </row>
    <row r="79" ht="15" customHeight="1" s="184">
      <c r="A79" s="15" t="n"/>
      <c r="B79" s="16" t="n"/>
      <c r="C79" s="18" t="n"/>
      <c r="D79" s="16" t="n"/>
      <c r="E79" s="11" t="n"/>
      <c r="F79" s="5" t="n"/>
      <c r="G79" s="5" t="n"/>
    </row>
    <row r="80" ht="15" customHeight="1" s="184">
      <c r="A80" s="15" t="n"/>
      <c r="B80" s="16" t="n"/>
      <c r="C80" s="18" t="n"/>
      <c r="D80" s="16" t="n"/>
      <c r="E80" s="11" t="n"/>
      <c r="F80" s="5" t="n"/>
      <c r="G80" s="5" t="n"/>
    </row>
    <row r="81" ht="15" customHeight="1" s="184">
      <c r="A81" s="15" t="n"/>
      <c r="B81" s="16" t="n"/>
      <c r="C81" s="18" t="n"/>
      <c r="D81" s="16" t="n"/>
      <c r="E81" s="11" t="n"/>
      <c r="F81" s="5" t="n"/>
      <c r="G81" s="5" t="n"/>
    </row>
    <row r="82" ht="15" customHeight="1" s="184">
      <c r="A82" s="15" t="n"/>
      <c r="B82" s="16" t="n"/>
      <c r="C82" s="18" t="n"/>
      <c r="D82" s="16" t="n"/>
      <c r="E82" s="11" t="n"/>
      <c r="F82" s="5" t="n"/>
      <c r="G82" s="5" t="n"/>
    </row>
    <row r="83" ht="15" customHeight="1" s="184">
      <c r="A83" s="15" t="n"/>
      <c r="B83" s="16" t="n"/>
      <c r="C83" s="18" t="n"/>
      <c r="D83" s="16" t="n"/>
      <c r="E83" s="11" t="n"/>
      <c r="F83" s="5" t="n"/>
      <c r="G83" s="5" t="n"/>
    </row>
    <row r="84" ht="15" customHeight="1" s="184">
      <c r="A84" s="15" t="n"/>
      <c r="B84" s="16" t="n"/>
      <c r="C84" s="18" t="n"/>
      <c r="D84" s="16" t="n"/>
      <c r="E84" s="11" t="n"/>
      <c r="F84" s="5" t="n"/>
      <c r="G84" s="5" t="n"/>
    </row>
    <row r="85" ht="15" customHeight="1" s="184">
      <c r="A85" s="15" t="n"/>
      <c r="B85" s="16" t="n"/>
      <c r="C85" s="18" t="n"/>
      <c r="D85" s="16" t="n"/>
      <c r="E85" s="11" t="n"/>
      <c r="F85" s="5" t="n"/>
      <c r="G85" s="5" t="n"/>
    </row>
    <row r="86" ht="15" customHeight="1" s="184">
      <c r="A86" s="15" t="n"/>
      <c r="B86" s="16" t="n"/>
      <c r="C86" s="18" t="n"/>
      <c r="D86" s="16" t="n"/>
      <c r="E86" s="11" t="n"/>
      <c r="F86" s="5" t="n"/>
      <c r="G86" s="5" t="n"/>
    </row>
    <row r="87" ht="15" customHeight="1" s="184">
      <c r="A87" s="15" t="n"/>
      <c r="B87" s="16" t="n"/>
      <c r="C87" s="18" t="n"/>
      <c r="D87" s="16" t="n"/>
      <c r="E87" s="11" t="n"/>
      <c r="F87" s="5" t="n"/>
      <c r="G87" s="5" t="n"/>
    </row>
    <row r="88" ht="15" customHeight="1" s="184">
      <c r="A88" s="15" t="n"/>
      <c r="B88" s="16" t="n"/>
      <c r="C88" s="18" t="n"/>
      <c r="D88" s="16" t="n"/>
      <c r="E88" s="11" t="n"/>
      <c r="F88" s="5" t="n"/>
      <c r="G88" s="5" t="n"/>
    </row>
    <row r="89" ht="15" customHeight="1" s="184">
      <c r="A89" s="15" t="n"/>
      <c r="B89" s="16" t="n"/>
      <c r="C89" s="18" t="n"/>
      <c r="D89" s="16" t="n"/>
      <c r="E89" s="11" t="n"/>
      <c r="F89" s="5" t="n"/>
      <c r="G89" s="5" t="n"/>
    </row>
    <row r="90" ht="15" customHeight="1" s="184">
      <c r="A90" s="15" t="n"/>
      <c r="B90" s="16" t="n"/>
      <c r="C90" s="18" t="n"/>
      <c r="D90" s="16" t="n"/>
      <c r="E90" s="11" t="n"/>
      <c r="F90" s="5" t="n"/>
      <c r="G90" s="5" t="n"/>
    </row>
    <row r="91" ht="15" customHeight="1" s="184">
      <c r="A91" s="15" t="n"/>
      <c r="B91" s="16" t="n"/>
      <c r="C91" s="18" t="n"/>
      <c r="D91" s="16" t="n"/>
      <c r="E91" s="11" t="n"/>
      <c r="F91" s="5" t="n"/>
      <c r="G91" s="5" t="n"/>
    </row>
    <row r="92" ht="15" customHeight="1" s="184">
      <c r="A92" s="15" t="n"/>
      <c r="B92" s="16" t="n"/>
      <c r="C92" s="18" t="n"/>
      <c r="D92" s="16" t="n"/>
      <c r="E92" s="11" t="n"/>
      <c r="F92" s="5" t="n"/>
      <c r="G92" s="5" t="n"/>
    </row>
    <row r="93" ht="15" customHeight="1" s="184">
      <c r="A93" s="15" t="n"/>
      <c r="B93" s="16" t="n"/>
      <c r="C93" s="18" t="n"/>
      <c r="D93" s="16" t="n"/>
      <c r="E93" s="11" t="n"/>
      <c r="F93" s="5" t="n"/>
      <c r="G93" s="5" t="n"/>
    </row>
    <row r="94" ht="15" customHeight="1" s="184">
      <c r="A94" s="15" t="n"/>
      <c r="B94" s="16" t="n"/>
      <c r="C94" s="18" t="n"/>
      <c r="D94" s="16" t="n"/>
      <c r="E94" s="11" t="n"/>
      <c r="F94" s="5" t="n"/>
      <c r="G94" s="5" t="n"/>
    </row>
    <row r="95" ht="15" customHeight="1" s="184">
      <c r="A95" s="15" t="n"/>
      <c r="B95" s="16" t="n"/>
      <c r="C95" s="18" t="n"/>
      <c r="D95" s="16" t="n"/>
      <c r="E95" s="11" t="n"/>
      <c r="F95" s="5" t="n"/>
      <c r="G95" s="5" t="n"/>
    </row>
    <row r="96" ht="15" customHeight="1" s="184">
      <c r="A96" s="15" t="n"/>
      <c r="B96" s="16" t="n"/>
      <c r="C96" s="18" t="n"/>
      <c r="D96" s="16" t="n"/>
      <c r="E96" s="11" t="n"/>
      <c r="F96" s="5" t="n"/>
      <c r="G96" s="5" t="n"/>
    </row>
    <row r="97" ht="15" customHeight="1" s="184">
      <c r="A97" s="15" t="n"/>
      <c r="B97" s="16" t="n"/>
      <c r="C97" s="18" t="n"/>
      <c r="D97" s="16" t="n"/>
      <c r="E97" s="11" t="n"/>
      <c r="F97" s="5" t="n"/>
      <c r="G97" s="5" t="n"/>
    </row>
    <row r="98" ht="15" customHeight="1" s="184">
      <c r="A98" s="15" t="n"/>
      <c r="B98" s="16" t="n"/>
      <c r="C98" s="18" t="n"/>
      <c r="D98" s="16" t="n"/>
      <c r="E98" s="11" t="n"/>
      <c r="F98" s="5" t="n"/>
      <c r="G98" s="5" t="n"/>
    </row>
    <row r="99" ht="15" customHeight="1" s="184">
      <c r="A99" s="15" t="n"/>
      <c r="B99" s="16" t="n"/>
      <c r="C99" s="18" t="n"/>
      <c r="D99" s="16" t="n"/>
      <c r="E99" s="11" t="n"/>
      <c r="F99" s="5" t="n"/>
      <c r="G99" s="5" t="n"/>
    </row>
    <row r="100" ht="15" customHeight="1" s="184">
      <c r="A100" s="15" t="n"/>
      <c r="B100" s="16" t="n"/>
      <c r="C100" s="18" t="n"/>
      <c r="D100" s="16" t="n"/>
      <c r="E100" s="11" t="n"/>
      <c r="F100" s="5" t="n"/>
      <c r="G100" s="5" t="n"/>
    </row>
    <row r="101" ht="15" customHeight="1" s="184">
      <c r="A101" s="15" t="n"/>
      <c r="B101" s="16" t="n"/>
      <c r="C101" s="18" t="n"/>
      <c r="D101" s="16" t="n"/>
      <c r="E101" s="11" t="n"/>
      <c r="F101" s="5" t="n"/>
      <c r="G101" s="5" t="n"/>
    </row>
    <row r="102" ht="15" customHeight="1" s="184">
      <c r="A102" s="15" t="n"/>
      <c r="B102" s="16" t="n"/>
      <c r="C102" s="18" t="n"/>
      <c r="D102" s="16" t="n"/>
      <c r="E102" s="11" t="n"/>
      <c r="F102" s="5" t="n"/>
      <c r="G102" s="5" t="n"/>
    </row>
    <row r="103" ht="15" customHeight="1" s="184">
      <c r="A103" s="15" t="n"/>
      <c r="B103" s="16" t="n"/>
      <c r="C103" s="18" t="n"/>
      <c r="D103" s="16" t="n"/>
      <c r="E103" s="11" t="n"/>
      <c r="F103" s="5" t="n"/>
      <c r="G103" s="5" t="n"/>
    </row>
    <row r="104" ht="15" customHeight="1" s="184">
      <c r="A104" s="15" t="n"/>
      <c r="B104" s="16" t="n"/>
      <c r="C104" s="18" t="n"/>
      <c r="D104" s="16" t="n"/>
      <c r="E104" s="11" t="n"/>
      <c r="F104" s="5" t="n"/>
      <c r="G104" s="5" t="n"/>
    </row>
    <row r="105" ht="15" customHeight="1" s="184">
      <c r="A105" s="15" t="n"/>
      <c r="B105" s="16" t="n"/>
      <c r="C105" s="18" t="n"/>
      <c r="D105" s="16" t="n"/>
      <c r="E105" s="11" t="n"/>
      <c r="F105" s="5" t="n"/>
      <c r="G105" s="5" t="n"/>
    </row>
    <row r="106" ht="15" customHeight="1" s="184">
      <c r="A106" s="15" t="n"/>
      <c r="B106" s="16" t="n"/>
      <c r="C106" s="18" t="n"/>
      <c r="D106" s="16" t="n"/>
      <c r="E106" s="11" t="n"/>
      <c r="F106" s="5" t="n"/>
      <c r="G106" s="5" t="n"/>
    </row>
    <row r="107" ht="15" customHeight="1" s="184">
      <c r="A107" s="15" t="n"/>
      <c r="B107" s="16" t="n"/>
      <c r="C107" s="18" t="n"/>
      <c r="D107" s="16" t="n"/>
      <c r="E107" s="11" t="n"/>
      <c r="F107" s="5" t="n"/>
      <c r="G107" s="5" t="n"/>
    </row>
    <row r="108" ht="15" customHeight="1" s="184">
      <c r="A108" s="15" t="n"/>
      <c r="B108" s="16" t="n"/>
      <c r="C108" s="18" t="n"/>
      <c r="D108" s="16" t="n"/>
      <c r="E108" s="11" t="n"/>
      <c r="F108" s="5" t="n"/>
      <c r="G108" s="5" t="n"/>
    </row>
    <row r="109" ht="15" customHeight="1" s="184">
      <c r="A109" s="15" t="n"/>
      <c r="B109" s="16" t="n"/>
      <c r="C109" s="18" t="n"/>
      <c r="D109" s="16" t="n"/>
      <c r="E109" s="11" t="n"/>
      <c r="F109" s="5" t="n"/>
      <c r="G109" s="5" t="n"/>
    </row>
    <row r="110" ht="15" customHeight="1" s="184">
      <c r="A110" s="15" t="n"/>
      <c r="B110" s="16" t="n"/>
      <c r="C110" s="18" t="n"/>
      <c r="D110" s="16" t="n"/>
      <c r="E110" s="11" t="n"/>
      <c r="F110" s="5" t="n"/>
      <c r="G110" s="5" t="n"/>
    </row>
    <row r="111" ht="15" customHeight="1" s="184">
      <c r="A111" s="15" t="n"/>
      <c r="B111" s="16" t="n"/>
      <c r="C111" s="18" t="n"/>
      <c r="D111" s="16" t="n"/>
      <c r="E111" s="11" t="n"/>
      <c r="F111" s="5" t="n"/>
      <c r="G111" s="5" t="n"/>
    </row>
    <row r="112" ht="15" customHeight="1" s="184">
      <c r="A112" s="15" t="n"/>
      <c r="B112" s="16" t="n"/>
      <c r="C112" s="18" t="n"/>
      <c r="D112" s="16" t="n"/>
      <c r="E112" s="11" t="n"/>
      <c r="F112" s="5" t="n"/>
      <c r="G112" s="5" t="n"/>
    </row>
    <row r="113" ht="15" customHeight="1" s="184">
      <c r="A113" s="15" t="n"/>
      <c r="B113" s="16" t="n"/>
      <c r="C113" s="18" t="n"/>
      <c r="D113" s="16" t="n"/>
      <c r="E113" s="11" t="n"/>
      <c r="F113" s="5" t="n"/>
      <c r="G113" s="5" t="n"/>
    </row>
    <row r="114" ht="15" customHeight="1" s="184">
      <c r="A114" s="15" t="n"/>
      <c r="B114" s="16" t="n"/>
      <c r="C114" s="18" t="n"/>
      <c r="D114" s="16" t="n"/>
      <c r="E114" s="11" t="n"/>
      <c r="F114" s="5" t="n"/>
      <c r="G114" s="5" t="n"/>
    </row>
    <row r="115" ht="15" customHeight="1" s="184">
      <c r="A115" s="15" t="n"/>
      <c r="B115" s="16" t="n"/>
      <c r="C115" s="18" t="n"/>
      <c r="D115" s="16" t="n"/>
      <c r="E115" s="11" t="n"/>
      <c r="F115" s="5" t="n"/>
      <c r="G115" s="5" t="n"/>
    </row>
    <row r="116" ht="15" customHeight="1" s="184">
      <c r="A116" s="15" t="n"/>
      <c r="B116" s="16" t="n"/>
      <c r="C116" s="18" t="n"/>
      <c r="D116" s="16" t="n"/>
      <c r="E116" s="11" t="n"/>
      <c r="F116" s="5" t="n"/>
      <c r="G116" s="5" t="n"/>
    </row>
    <row r="117" ht="15" customHeight="1" s="184">
      <c r="A117" s="15" t="n"/>
      <c r="B117" s="16" t="n"/>
      <c r="C117" s="18" t="n"/>
      <c r="D117" s="16" t="n"/>
      <c r="E117" s="11" t="n"/>
      <c r="F117" s="5" t="n"/>
      <c r="G117" s="5" t="n"/>
    </row>
    <row r="118" ht="15" customHeight="1" s="184">
      <c r="A118" s="15" t="n"/>
      <c r="B118" s="16" t="n"/>
      <c r="C118" s="18" t="n"/>
      <c r="D118" s="16" t="n"/>
      <c r="E118" s="11" t="n"/>
      <c r="F118" s="5" t="n"/>
      <c r="G118" s="5" t="n"/>
    </row>
    <row r="119" ht="15" customHeight="1" s="184">
      <c r="A119" s="15" t="n"/>
      <c r="B119" s="16" t="n"/>
      <c r="C119" s="18" t="n"/>
      <c r="D119" s="16" t="n"/>
      <c r="E119" s="11" t="n"/>
      <c r="F119" s="5" t="n"/>
      <c r="G119" s="5" t="n"/>
    </row>
    <row r="120" ht="15" customHeight="1" s="184">
      <c r="A120" s="15" t="n"/>
      <c r="B120" s="16" t="n"/>
      <c r="C120" s="18" t="n"/>
      <c r="D120" s="16" t="n"/>
      <c r="E120" s="11" t="n"/>
      <c r="F120" s="5" t="n"/>
      <c r="G120" s="5" t="n"/>
    </row>
    <row r="121" ht="15" customHeight="1" s="184">
      <c r="A121" s="15" t="n"/>
      <c r="B121" s="16" t="n"/>
      <c r="C121" s="18" t="n"/>
      <c r="D121" s="16" t="n"/>
      <c r="E121" s="11" t="n"/>
      <c r="F121" s="5" t="n"/>
      <c r="G121" s="5" t="n"/>
    </row>
    <row r="122" ht="15" customHeight="1" s="184">
      <c r="A122" s="15" t="n"/>
      <c r="B122" s="16" t="n"/>
      <c r="C122" s="18" t="n"/>
      <c r="D122" s="16" t="n"/>
      <c r="E122" s="11" t="n"/>
      <c r="F122" s="5" t="n"/>
      <c r="G122" s="5" t="n"/>
    </row>
    <row r="123" ht="15" customHeight="1" s="184">
      <c r="A123" s="15" t="n"/>
      <c r="B123" s="16" t="n"/>
      <c r="C123" s="18" t="n"/>
      <c r="D123" s="16" t="n"/>
      <c r="E123" s="11" t="n"/>
      <c r="F123" s="5" t="n"/>
      <c r="G123" s="5" t="n"/>
    </row>
    <row r="124" ht="15" customHeight="1" s="184">
      <c r="A124" s="15" t="n"/>
      <c r="B124" s="16" t="n"/>
      <c r="C124" s="18" t="n"/>
      <c r="D124" s="16" t="n"/>
      <c r="E124" s="11" t="n"/>
      <c r="F124" s="5" t="n"/>
      <c r="G124" s="5" t="n"/>
    </row>
    <row r="125" ht="15" customHeight="1" s="184">
      <c r="A125" s="15" t="n"/>
      <c r="B125" s="16" t="n"/>
      <c r="C125" s="18" t="n"/>
      <c r="D125" s="16" t="n"/>
      <c r="E125" s="11" t="n"/>
      <c r="F125" s="5" t="n"/>
      <c r="G125" s="5" t="n"/>
    </row>
    <row r="126" ht="15" customHeight="1" s="184">
      <c r="A126" s="15" t="n"/>
      <c r="B126" s="16" t="n"/>
      <c r="C126" s="18" t="n"/>
      <c r="D126" s="16" t="n"/>
      <c r="E126" s="11" t="n"/>
      <c r="F126" s="5" t="n"/>
      <c r="G126" s="5" t="n"/>
    </row>
    <row r="127" ht="15" customHeight="1" s="184">
      <c r="A127" s="15" t="n"/>
      <c r="B127" s="16" t="n"/>
      <c r="C127" s="18" t="n"/>
      <c r="D127" s="16" t="n"/>
      <c r="E127" s="11" t="n"/>
      <c r="F127" s="5" t="n"/>
      <c r="G127" s="5" t="n"/>
    </row>
    <row r="128" ht="15" customHeight="1" s="184">
      <c r="A128" s="15" t="n"/>
      <c r="B128" s="16" t="n"/>
      <c r="C128" s="18" t="n"/>
      <c r="D128" s="16" t="n"/>
      <c r="E128" s="11" t="n"/>
      <c r="F128" s="5" t="n"/>
      <c r="G128" s="5" t="n"/>
    </row>
    <row r="129" ht="15" customHeight="1" s="184">
      <c r="A129" s="15" t="n"/>
      <c r="B129" s="16" t="n"/>
      <c r="C129" s="18" t="n"/>
      <c r="D129" s="16" t="n"/>
      <c r="E129" s="11" t="n"/>
      <c r="F129" s="5" t="n"/>
      <c r="G129" s="5" t="n"/>
    </row>
    <row r="130" ht="15" customHeight="1" s="184">
      <c r="A130" s="15" t="n"/>
      <c r="B130" s="16" t="n"/>
      <c r="C130" s="18" t="n"/>
      <c r="D130" s="16" t="n"/>
      <c r="E130" s="11" t="n"/>
      <c r="F130" s="5" t="n"/>
      <c r="G130" s="5" t="n"/>
    </row>
    <row r="131" ht="15" customHeight="1" s="184">
      <c r="A131" s="15" t="n"/>
      <c r="B131" s="16" t="n"/>
      <c r="C131" s="18" t="n"/>
      <c r="D131" s="16" t="n"/>
      <c r="E131" s="11" t="n"/>
      <c r="F131" s="5" t="n"/>
      <c r="G131" s="5" t="n"/>
    </row>
    <row r="132" ht="15" customHeight="1" s="184">
      <c r="A132" s="15" t="n"/>
      <c r="B132" s="16" t="n"/>
      <c r="C132" s="18" t="n"/>
      <c r="D132" s="16" t="n"/>
      <c r="E132" s="11" t="n"/>
      <c r="F132" s="5" t="n"/>
      <c r="G132" s="5" t="n"/>
    </row>
    <row r="133" ht="15" customHeight="1" s="184">
      <c r="A133" s="15" t="n"/>
      <c r="B133" s="16" t="n"/>
      <c r="C133" s="18" t="n"/>
      <c r="D133" s="16" t="n"/>
      <c r="E133" s="11" t="n"/>
      <c r="F133" s="5" t="n"/>
      <c r="G133" s="5" t="n"/>
    </row>
    <row r="134" ht="15" customHeight="1" s="184">
      <c r="A134" s="15" t="n"/>
      <c r="B134" s="16" t="n"/>
      <c r="C134" s="18" t="n"/>
      <c r="D134" s="16" t="n"/>
      <c r="E134" s="11" t="n"/>
      <c r="F134" s="5" t="n"/>
      <c r="G134" s="5" t="n"/>
    </row>
    <row r="135" ht="15" customHeight="1" s="184">
      <c r="A135" s="15" t="n"/>
      <c r="B135" s="16" t="n"/>
      <c r="C135" s="18" t="n"/>
      <c r="D135" s="16" t="n"/>
      <c r="E135" s="11" t="n"/>
      <c r="F135" s="5" t="n"/>
      <c r="G135" s="5" t="n"/>
    </row>
    <row r="136" ht="15" customHeight="1" s="184">
      <c r="A136" s="15" t="n"/>
      <c r="B136" s="16" t="n"/>
      <c r="C136" s="18" t="n"/>
      <c r="D136" s="16" t="n"/>
      <c r="E136" s="11" t="n"/>
      <c r="F136" s="5" t="n"/>
      <c r="G136" s="5" t="n"/>
    </row>
    <row r="137" ht="15" customHeight="1" s="184">
      <c r="A137" s="15" t="n"/>
      <c r="B137" s="16" t="n"/>
      <c r="C137" s="18" t="n"/>
      <c r="D137" s="16" t="n"/>
      <c r="E137" s="11" t="n"/>
      <c r="F137" s="5" t="n"/>
      <c r="G137" s="5" t="n"/>
    </row>
    <row r="138" ht="15" customHeight="1" s="184">
      <c r="A138" s="15" t="n"/>
      <c r="B138" s="16" t="n"/>
      <c r="C138" s="18" t="n"/>
      <c r="D138" s="16" t="n"/>
      <c r="E138" s="11" t="n"/>
      <c r="F138" s="5" t="n"/>
      <c r="G138" s="5" t="n"/>
    </row>
    <row r="139" ht="15" customHeight="1" s="184">
      <c r="A139" s="15" t="n"/>
      <c r="B139" s="16" t="n"/>
      <c r="C139" s="18" t="n"/>
      <c r="D139" s="16" t="n"/>
      <c r="E139" s="11" t="n"/>
      <c r="F139" s="5" t="n"/>
      <c r="G139" s="5" t="n"/>
    </row>
    <row r="140" ht="15" customHeight="1" s="184">
      <c r="A140" s="15" t="n"/>
      <c r="B140" s="16" t="n"/>
      <c r="C140" s="18" t="n"/>
      <c r="D140" s="16" t="n"/>
      <c r="E140" s="11" t="n"/>
      <c r="F140" s="5" t="n"/>
      <c r="G140" s="5" t="n"/>
    </row>
    <row r="141" ht="15" customHeight="1" s="184">
      <c r="A141" s="15" t="n"/>
      <c r="B141" s="16" t="n"/>
      <c r="C141" s="18" t="n"/>
      <c r="D141" s="16" t="n"/>
      <c r="E141" s="11" t="n"/>
      <c r="F141" s="5" t="n"/>
      <c r="G141" s="5" t="n"/>
    </row>
    <row r="142" ht="15" customHeight="1" s="184">
      <c r="A142" s="15" t="n"/>
      <c r="B142" s="16" t="n"/>
      <c r="C142" s="18" t="n"/>
      <c r="D142" s="16" t="n"/>
      <c r="E142" s="11" t="n"/>
      <c r="F142" s="5" t="n"/>
      <c r="G142" s="5" t="n"/>
    </row>
    <row r="143" ht="15" customHeight="1" s="184">
      <c r="A143" s="15" t="n"/>
      <c r="B143" s="16" t="n"/>
      <c r="C143" s="18" t="n"/>
      <c r="D143" s="16" t="n"/>
      <c r="E143" s="11" t="n"/>
      <c r="F143" s="5" t="n"/>
      <c r="G143" s="5" t="n"/>
    </row>
    <row r="144" ht="15" customHeight="1" s="184">
      <c r="A144" s="15" t="n"/>
      <c r="B144" s="16" t="n"/>
      <c r="C144" s="18" t="n"/>
      <c r="D144" s="16" t="n"/>
      <c r="E144" s="11" t="n"/>
      <c r="F144" s="5" t="n"/>
      <c r="G144" s="5" t="n"/>
    </row>
    <row r="145" ht="15" customHeight="1" s="184">
      <c r="A145" s="15" t="n"/>
      <c r="B145" s="16" t="n"/>
      <c r="C145" s="18" t="n"/>
      <c r="D145" s="16" t="n"/>
      <c r="E145" s="11" t="n"/>
      <c r="F145" s="5" t="n"/>
      <c r="G145" s="5" t="n"/>
    </row>
    <row r="146" ht="15" customHeight="1" s="184">
      <c r="A146" s="15" t="n"/>
      <c r="B146" s="16" t="n"/>
      <c r="C146" s="18" t="n"/>
      <c r="D146" s="16" t="n"/>
      <c r="E146" s="11" t="n"/>
      <c r="F146" s="5" t="n"/>
      <c r="G146" s="5" t="n"/>
    </row>
    <row r="147" ht="15" customHeight="1" s="184">
      <c r="A147" s="15" t="n"/>
      <c r="B147" s="16" t="n"/>
      <c r="C147" s="18" t="n"/>
      <c r="D147" s="16" t="n"/>
      <c r="E147" s="11" t="n"/>
      <c r="F147" s="5" t="n"/>
      <c r="G147" s="5" t="n"/>
    </row>
    <row r="148" ht="15" customHeight="1" s="184">
      <c r="A148" s="15" t="n"/>
      <c r="B148" s="16" t="n"/>
      <c r="C148" s="18" t="n"/>
      <c r="D148" s="16" t="n"/>
      <c r="E148" s="11" t="n"/>
      <c r="F148" s="5" t="n"/>
      <c r="G148" s="5" t="n"/>
    </row>
    <row r="149" ht="15" customHeight="1" s="184">
      <c r="A149" s="15" t="n"/>
      <c r="B149" s="16" t="n"/>
      <c r="C149" s="18" t="n"/>
      <c r="D149" s="16" t="n"/>
      <c r="E149" s="11" t="n"/>
      <c r="F149" s="5" t="n"/>
      <c r="G149" s="5" t="n"/>
    </row>
    <row r="150" ht="15" customHeight="1" s="184">
      <c r="A150" s="15" t="n"/>
      <c r="B150" s="16" t="n"/>
      <c r="C150" s="18" t="n"/>
      <c r="D150" s="16" t="n"/>
      <c r="E150" s="11" t="n"/>
      <c r="F150" s="5" t="n"/>
      <c r="G150" s="5" t="n"/>
    </row>
    <row r="151" ht="15" customHeight="1" s="184">
      <c r="A151" s="15" t="n"/>
      <c r="B151" s="16" t="n"/>
      <c r="C151" s="18" t="n"/>
      <c r="D151" s="16" t="n"/>
      <c r="E151" s="11" t="n"/>
      <c r="F151" s="5" t="n"/>
      <c r="G151" s="5" t="n"/>
    </row>
    <row r="152" ht="15" customHeight="1" s="184">
      <c r="A152" s="15" t="n"/>
      <c r="B152" s="16" t="n"/>
      <c r="C152" s="18" t="n"/>
      <c r="D152" s="16" t="n"/>
      <c r="E152" s="11" t="n"/>
      <c r="F152" s="5" t="n"/>
      <c r="G152" s="5" t="n"/>
    </row>
    <row r="153" ht="15" customHeight="1" s="184">
      <c r="A153" s="15" t="n"/>
      <c r="B153" s="16" t="n"/>
      <c r="C153" s="18" t="n"/>
      <c r="D153" s="16" t="n"/>
      <c r="E153" s="11" t="n"/>
      <c r="F153" s="5" t="n"/>
      <c r="G153" s="5" t="n"/>
    </row>
    <row r="154" ht="15" customHeight="1" s="184">
      <c r="A154" s="15" t="n"/>
      <c r="B154" s="16" t="n"/>
      <c r="C154" s="18" t="n"/>
      <c r="D154" s="16" t="n"/>
      <c r="E154" s="11" t="n"/>
      <c r="F154" s="5" t="n"/>
      <c r="G154" s="5" t="n"/>
    </row>
    <row r="155" ht="15" customHeight="1" s="184">
      <c r="A155" s="15" t="n"/>
      <c r="B155" s="16" t="n"/>
      <c r="C155" s="18" t="n"/>
      <c r="D155" s="16" t="n"/>
      <c r="E155" s="11" t="n"/>
      <c r="F155" s="5" t="n"/>
      <c r="G155" s="5" t="n"/>
    </row>
    <row r="156" ht="15" customHeight="1" s="184">
      <c r="A156" s="15" t="n"/>
      <c r="B156" s="16" t="n"/>
      <c r="C156" s="18" t="n"/>
      <c r="D156" s="16" t="n"/>
      <c r="E156" s="11" t="n"/>
      <c r="F156" s="5" t="n"/>
      <c r="G156" s="5" t="n"/>
    </row>
    <row r="157" ht="15" customHeight="1" s="184">
      <c r="A157" s="15" t="n"/>
      <c r="B157" s="16" t="n"/>
      <c r="C157" s="18" t="n"/>
      <c r="D157" s="16" t="n"/>
      <c r="E157" s="11" t="n"/>
      <c r="F157" s="5" t="n"/>
      <c r="G157" s="5" t="n"/>
    </row>
    <row r="158" ht="15" customHeight="1" s="184">
      <c r="A158" s="15" t="n"/>
      <c r="B158" s="16" t="n"/>
      <c r="C158" s="18" t="n"/>
      <c r="D158" s="16" t="n"/>
      <c r="E158" s="11" t="n"/>
      <c r="F158" s="5" t="n"/>
      <c r="G158" s="5" t="n"/>
    </row>
    <row r="159" ht="15" customHeight="1" s="184">
      <c r="A159" s="15" t="n"/>
      <c r="B159" s="16" t="n"/>
      <c r="C159" s="18" t="n"/>
      <c r="D159" s="16" t="n"/>
      <c r="E159" s="11" t="n"/>
      <c r="F159" s="5" t="n"/>
      <c r="G159" s="5" t="n"/>
    </row>
    <row r="160" ht="15" customHeight="1" s="184">
      <c r="A160" s="15" t="n"/>
      <c r="B160" s="16" t="n"/>
      <c r="C160" s="18" t="n"/>
      <c r="D160" s="16" t="n"/>
      <c r="E160" s="5" t="n"/>
      <c r="F160" s="5" t="n"/>
      <c r="G160" s="5" t="n"/>
    </row>
    <row r="161" ht="15" customHeight="1" s="184">
      <c r="A161" s="15" t="n"/>
      <c r="B161" s="16" t="n"/>
      <c r="C161" s="18" t="n"/>
      <c r="D161" s="16" t="n"/>
      <c r="E161" s="5" t="n"/>
      <c r="F161" s="5" t="n"/>
      <c r="G161" s="5" t="n"/>
    </row>
    <row r="162" ht="15" customHeight="1" s="184">
      <c r="A162" s="15" t="n"/>
      <c r="B162" s="16" t="n"/>
      <c r="C162" s="18" t="n"/>
      <c r="D162" s="16" t="n"/>
      <c r="E162" s="5" t="n"/>
      <c r="F162" s="5" t="n"/>
      <c r="G162" s="5" t="n"/>
    </row>
    <row r="163" ht="15" customHeight="1" s="184">
      <c r="A163" s="15" t="n"/>
      <c r="B163" s="16" t="n"/>
      <c r="C163" s="18" t="n"/>
      <c r="D163" s="16" t="n"/>
      <c r="E163" s="5" t="n"/>
      <c r="F163" s="5" t="n"/>
      <c r="G163" s="5" t="n"/>
    </row>
    <row r="164" ht="15" customHeight="1" s="184">
      <c r="A164" s="15" t="n"/>
      <c r="B164" s="16" t="n"/>
      <c r="C164" s="18" t="n"/>
      <c r="D164" s="16" t="n"/>
      <c r="E164" s="5" t="n"/>
      <c r="F164" s="5" t="n"/>
      <c r="G164" s="5" t="n"/>
    </row>
    <row r="165" ht="15" customHeight="1" s="184">
      <c r="A165" s="15" t="n"/>
      <c r="B165" s="16" t="n"/>
      <c r="C165" s="18" t="n"/>
      <c r="D165" s="16" t="n"/>
      <c r="E165" s="5" t="n"/>
      <c r="F165" s="5" t="n"/>
      <c r="G165" s="5" t="n"/>
    </row>
    <row r="166" ht="15" customHeight="1" s="184">
      <c r="A166" s="15" t="n"/>
      <c r="B166" s="16" t="n"/>
      <c r="C166" s="18" t="n"/>
      <c r="D166" s="16" t="n"/>
      <c r="E166" s="5" t="n"/>
      <c r="F166" s="5" t="n"/>
      <c r="G166" s="5" t="n"/>
    </row>
    <row r="167" ht="15" customHeight="1" s="184">
      <c r="A167" s="15" t="n"/>
      <c r="B167" s="16" t="n"/>
      <c r="C167" s="18" t="n"/>
      <c r="D167" s="16" t="n"/>
      <c r="E167" s="5" t="n"/>
      <c r="F167" s="5" t="n"/>
      <c r="G167" s="5" t="n"/>
    </row>
    <row r="168" ht="15" customHeight="1" s="184">
      <c r="A168" s="15" t="n"/>
      <c r="B168" s="16" t="n"/>
      <c r="C168" s="18" t="n"/>
      <c r="D168" s="16" t="n"/>
      <c r="E168" s="5" t="n"/>
      <c r="F168" s="5" t="n"/>
      <c r="G168" s="5" t="n"/>
    </row>
    <row r="169" ht="15" customHeight="1" s="184">
      <c r="A169" s="15" t="n"/>
      <c r="B169" s="16" t="n"/>
      <c r="C169" s="18" t="n"/>
      <c r="D169" s="16" t="n"/>
      <c r="E169" s="5" t="n"/>
      <c r="F169" s="5" t="n"/>
      <c r="G169" s="5" t="n"/>
    </row>
    <row r="170" ht="15" customHeight="1" s="184">
      <c r="A170" s="15" t="n"/>
      <c r="B170" s="16" t="n"/>
      <c r="C170" s="18" t="n"/>
      <c r="D170" s="16" t="n"/>
      <c r="E170" s="5" t="n"/>
      <c r="F170" s="5" t="n"/>
      <c r="G170" s="5" t="n"/>
    </row>
    <row r="171" ht="15" customHeight="1" s="184">
      <c r="A171" s="15" t="n"/>
      <c r="B171" s="16" t="n"/>
      <c r="C171" s="18" t="n"/>
      <c r="D171" s="16" t="n"/>
      <c r="E171" s="5" t="n"/>
      <c r="F171" s="5" t="n"/>
      <c r="G171" s="5" t="n"/>
    </row>
    <row r="172" ht="15" customHeight="1" s="184">
      <c r="A172" s="15" t="n"/>
      <c r="B172" s="16" t="n"/>
      <c r="C172" s="18" t="n"/>
      <c r="D172" s="16" t="n"/>
      <c r="E172" s="5" t="n"/>
      <c r="F172" s="5" t="n"/>
      <c r="G172" s="5" t="n"/>
    </row>
    <row r="173" ht="15" customHeight="1" s="184">
      <c r="A173" s="15" t="n"/>
      <c r="B173" s="16" t="n"/>
      <c r="C173" s="18" t="n"/>
      <c r="D173" s="16" t="n"/>
      <c r="E173" s="5" t="n"/>
      <c r="F173" s="5" t="n"/>
      <c r="G173" s="5" t="n"/>
    </row>
    <row r="174" ht="15" customHeight="1" s="184">
      <c r="A174" s="15" t="n"/>
      <c r="B174" s="16" t="n"/>
      <c r="C174" s="18" t="n"/>
      <c r="D174" s="16" t="n"/>
      <c r="E174" s="5" t="n"/>
      <c r="F174" s="5" t="n"/>
      <c r="G174" s="5" t="n"/>
    </row>
    <row r="175" ht="15" customHeight="1" s="184">
      <c r="A175" s="15" t="n"/>
      <c r="B175" s="16" t="n"/>
      <c r="C175" s="18" t="n"/>
      <c r="D175" s="16" t="n"/>
      <c r="E175" s="5" t="n"/>
      <c r="F175" s="5" t="n"/>
      <c r="G175" s="5" t="n"/>
    </row>
    <row r="176" ht="15" customHeight="1" s="184">
      <c r="A176" s="15" t="n"/>
      <c r="B176" s="16" t="n"/>
      <c r="C176" s="18" t="n"/>
      <c r="D176" s="16" t="n"/>
      <c r="E176" s="5" t="n"/>
      <c r="F176" s="5" t="n"/>
      <c r="G176" s="5" t="n"/>
    </row>
    <row r="177" ht="15" customHeight="1" s="184">
      <c r="A177" s="15" t="n"/>
      <c r="B177" s="16" t="n"/>
      <c r="C177" s="18" t="n"/>
      <c r="D177" s="16" t="n"/>
      <c r="E177" s="5" t="n"/>
      <c r="F177" s="5" t="n"/>
      <c r="G177" s="5" t="n"/>
    </row>
    <row r="178" ht="15" customHeight="1" s="184">
      <c r="A178" s="15" t="n"/>
      <c r="B178" s="16" t="n"/>
      <c r="C178" s="18" t="n"/>
      <c r="D178" s="16" t="n"/>
      <c r="E178" s="5" t="n"/>
      <c r="F178" s="5" t="n"/>
      <c r="G178" s="5" t="n"/>
    </row>
    <row r="179" ht="15" customHeight="1" s="184">
      <c r="A179" s="15" t="n"/>
      <c r="B179" s="16" t="n"/>
      <c r="C179" s="18" t="n"/>
      <c r="D179" s="16" t="n"/>
      <c r="E179" s="5" t="n"/>
      <c r="F179" s="5" t="n"/>
      <c r="G179" s="5" t="n"/>
    </row>
    <row r="180" ht="15" customHeight="1" s="184">
      <c r="A180" s="15" t="n"/>
      <c r="B180" s="16" t="n"/>
      <c r="C180" s="18" t="n"/>
      <c r="D180" s="16" t="n"/>
      <c r="E180" s="5" t="n"/>
      <c r="F180" s="5" t="n"/>
      <c r="G180" s="5" t="n"/>
    </row>
    <row r="181" ht="15" customHeight="1" s="184">
      <c r="A181" s="15" t="n"/>
      <c r="B181" s="16" t="n"/>
      <c r="C181" s="18" t="n"/>
      <c r="D181" s="16" t="n"/>
      <c r="E181" s="5" t="n"/>
      <c r="F181" s="5" t="n"/>
      <c r="G181" s="5" t="n"/>
    </row>
    <row r="182" ht="15" customHeight="1" s="184">
      <c r="A182" s="15" t="n"/>
      <c r="B182" s="16" t="n"/>
      <c r="C182" s="18" t="n"/>
      <c r="D182" s="16" t="n"/>
      <c r="E182" s="5" t="n"/>
      <c r="F182" s="5" t="n"/>
      <c r="G182" s="5" t="n"/>
    </row>
    <row r="183" ht="15" customHeight="1" s="184">
      <c r="A183" s="15" t="n"/>
      <c r="B183" s="16" t="n"/>
      <c r="C183" s="18" t="n"/>
      <c r="D183" s="16" t="n"/>
      <c r="E183" s="5" t="n"/>
      <c r="F183" s="5" t="n"/>
      <c r="G183" s="5" t="n"/>
    </row>
    <row r="184" ht="15" customHeight="1" s="184">
      <c r="A184" s="15" t="n"/>
      <c r="B184" s="16" t="n"/>
      <c r="C184" s="18" t="n"/>
      <c r="D184" s="16" t="n"/>
      <c r="E184" s="5" t="n"/>
      <c r="F184" s="5" t="n"/>
      <c r="G184" s="5" t="n"/>
    </row>
    <row r="185" ht="15" customHeight="1" s="184">
      <c r="A185" s="15" t="n"/>
      <c r="B185" s="16" t="n"/>
      <c r="C185" s="18" t="n"/>
      <c r="D185" s="16" t="n"/>
      <c r="E185" s="5" t="n"/>
      <c r="F185" s="5" t="n"/>
      <c r="G185" s="5" t="n"/>
    </row>
    <row r="186" ht="15" customHeight="1" s="184">
      <c r="A186" s="15" t="n"/>
      <c r="B186" s="16" t="n"/>
      <c r="C186" s="18" t="n"/>
      <c r="D186" s="16" t="n"/>
      <c r="E186" s="5" t="n"/>
      <c r="F186" s="5" t="n"/>
      <c r="G186" s="5" t="n"/>
    </row>
    <row r="187" ht="15" customHeight="1" s="184">
      <c r="A187" s="15" t="n"/>
      <c r="B187" s="16" t="n"/>
      <c r="C187" s="18" t="n"/>
      <c r="D187" s="16" t="n"/>
      <c r="E187" s="5" t="n"/>
      <c r="F187" s="5" t="n"/>
      <c r="G187" s="5" t="n"/>
    </row>
    <row r="188" ht="15" customHeight="1" s="184">
      <c r="A188" s="15" t="n"/>
      <c r="B188" s="16" t="n"/>
      <c r="C188" s="18" t="n"/>
      <c r="D188" s="16" t="n"/>
      <c r="E188" s="5" t="n"/>
      <c r="F188" s="5" t="n"/>
      <c r="G188" s="5" t="n"/>
    </row>
    <row r="189" ht="15" customHeight="1" s="184">
      <c r="A189" s="15" t="n"/>
      <c r="B189" s="16" t="n"/>
      <c r="C189" s="18" t="n"/>
      <c r="D189" s="16" t="n"/>
      <c r="E189" s="5" t="n"/>
      <c r="F189" s="5" t="n"/>
      <c r="G189" s="5" t="n"/>
    </row>
    <row r="190" ht="15" customHeight="1" s="184">
      <c r="A190" s="15" t="n"/>
      <c r="B190" s="16" t="n"/>
      <c r="C190" s="18" t="n"/>
      <c r="D190" s="16" t="n"/>
      <c r="E190" s="5" t="n"/>
      <c r="F190" s="5" t="n"/>
      <c r="G190" s="5" t="n"/>
    </row>
    <row r="191" ht="15" customHeight="1" s="184">
      <c r="A191" s="15" t="n"/>
      <c r="B191" s="16" t="n"/>
      <c r="C191" s="18" t="n"/>
      <c r="D191" s="16" t="n"/>
      <c r="E191" s="5" t="n"/>
      <c r="F191" s="5" t="n"/>
      <c r="G191" s="5" t="n"/>
    </row>
    <row r="192" ht="15" customHeight="1" s="184">
      <c r="A192" s="15" t="n"/>
      <c r="B192" s="16" t="n"/>
      <c r="C192" s="18" t="n"/>
      <c r="D192" s="16" t="n"/>
      <c r="E192" s="5" t="n"/>
      <c r="F192" s="5" t="n"/>
      <c r="G192" s="5" t="n"/>
    </row>
    <row r="193" ht="15" customHeight="1" s="184">
      <c r="A193" s="15" t="n"/>
      <c r="B193" s="16" t="n"/>
      <c r="C193" s="18" t="n"/>
      <c r="D193" s="16" t="n"/>
      <c r="E193" s="5" t="n"/>
      <c r="F193" s="5" t="n"/>
      <c r="G193" s="5" t="n"/>
    </row>
    <row r="194" ht="15" customHeight="1" s="184">
      <c r="A194" s="15" t="n"/>
      <c r="B194" s="16" t="n"/>
      <c r="C194" s="18" t="n"/>
      <c r="D194" s="16" t="n"/>
      <c r="E194" s="5" t="n"/>
      <c r="F194" s="5" t="n"/>
      <c r="G194" s="5" t="n"/>
    </row>
    <row r="195" ht="15" customHeight="1" s="184">
      <c r="A195" s="15" t="n"/>
      <c r="B195" s="16" t="n"/>
      <c r="C195" s="18" t="n"/>
      <c r="D195" s="16" t="n"/>
      <c r="E195" s="5" t="n"/>
      <c r="F195" s="5" t="n"/>
      <c r="G195" s="5" t="n"/>
    </row>
    <row r="196" ht="15" customHeight="1" s="184">
      <c r="A196" s="15" t="n"/>
      <c r="B196" s="16" t="n"/>
      <c r="C196" s="18" t="n"/>
      <c r="D196" s="16" t="n"/>
      <c r="E196" s="5" t="n"/>
      <c r="F196" s="5" t="n"/>
      <c r="G196" s="5" t="n"/>
    </row>
    <row r="197" ht="15" customHeight="1" s="184">
      <c r="A197" s="15" t="n"/>
      <c r="B197" s="16" t="n"/>
      <c r="C197" s="18" t="n"/>
      <c r="D197" s="16" t="n"/>
      <c r="E197" s="5" t="n"/>
      <c r="F197" s="5" t="n"/>
      <c r="G197" s="5" t="n"/>
    </row>
    <row r="198" ht="15" customHeight="1" s="184">
      <c r="A198" s="15" t="n"/>
      <c r="B198" s="16" t="n"/>
      <c r="C198" s="18" t="n"/>
      <c r="D198" s="16" t="n"/>
      <c r="E198" s="5" t="n"/>
      <c r="F198" s="5" t="n"/>
      <c r="G198" s="5" t="n"/>
    </row>
    <row r="199" ht="15" customHeight="1" s="184">
      <c r="A199" s="15" t="n"/>
      <c r="B199" s="16" t="n"/>
      <c r="C199" s="18" t="n"/>
      <c r="D199" s="16" t="n"/>
      <c r="E199" s="5" t="n"/>
      <c r="F199" s="5" t="n"/>
      <c r="G199" s="5" t="n"/>
    </row>
    <row r="200" ht="15" customHeight="1" s="184">
      <c r="A200" s="15" t="n"/>
      <c r="B200" s="16" t="n"/>
      <c r="C200" s="18" t="n"/>
      <c r="D200" s="16" t="n"/>
      <c r="E200" s="5" t="n"/>
      <c r="F200" s="5" t="n"/>
      <c r="G200" s="5" t="n"/>
    </row>
    <row r="201" ht="15" customHeight="1" s="184">
      <c r="A201" s="15" t="n"/>
      <c r="B201" s="16" t="n"/>
      <c r="C201" s="18" t="n"/>
      <c r="D201" s="16" t="n"/>
      <c r="E201" s="5" t="n"/>
      <c r="F201" s="5" t="n"/>
      <c r="G201" s="5" t="n"/>
    </row>
    <row r="202" ht="15.75" customHeight="1" s="184">
      <c r="A202" s="15" t="n"/>
      <c r="B202" s="16" t="n"/>
      <c r="C202" s="18" t="n"/>
      <c r="D202" s="16" t="n"/>
      <c r="E202" s="5" t="n"/>
      <c r="F202" s="5" t="n"/>
      <c r="G202" s="5" t="n"/>
    </row>
    <row r="203" ht="15.75" customHeight="1" s="184">
      <c r="A203" s="15" t="n"/>
      <c r="B203" s="16" t="n"/>
      <c r="C203" s="18" t="n"/>
      <c r="D203" s="16" t="n"/>
      <c r="E203" s="5" t="n"/>
      <c r="F203" s="5" t="n"/>
      <c r="G203" s="5" t="n"/>
    </row>
    <row r="204" ht="15.75" customHeight="1" s="184">
      <c r="A204" s="15" t="n"/>
      <c r="B204" s="16" t="n"/>
      <c r="C204" s="18" t="n"/>
      <c r="D204" s="16" t="n"/>
      <c r="E204" s="5" t="n"/>
      <c r="F204" s="5" t="n"/>
      <c r="G204" s="5" t="n"/>
    </row>
    <row r="205" ht="15.75" customHeight="1" s="184">
      <c r="A205" s="15" t="n"/>
      <c r="B205" s="16" t="n"/>
      <c r="C205" s="18" t="n"/>
      <c r="D205" s="16" t="n"/>
      <c r="E205" s="5" t="n"/>
      <c r="F205" s="5" t="n"/>
      <c r="G205" s="5" t="n"/>
    </row>
    <row r="206" ht="15.75" customHeight="1" s="184">
      <c r="A206" s="15" t="n"/>
      <c r="B206" s="16" t="n"/>
      <c r="C206" s="18" t="n"/>
      <c r="D206" s="16" t="n"/>
      <c r="E206" s="5" t="n"/>
      <c r="F206" s="5" t="n"/>
      <c r="G206" s="5" t="n"/>
    </row>
    <row r="207" ht="15.75" customHeight="1" s="184">
      <c r="A207" s="15" t="n"/>
      <c r="B207" s="16" t="n"/>
      <c r="C207" s="18" t="n"/>
      <c r="D207" s="16" t="n"/>
      <c r="E207" s="5" t="n"/>
      <c r="F207" s="5" t="n"/>
      <c r="G207" s="5" t="n"/>
    </row>
    <row r="208" ht="15.75" customHeight="1" s="184">
      <c r="A208" s="15" t="n"/>
      <c r="B208" s="16" t="n"/>
      <c r="C208" s="18" t="n"/>
      <c r="D208" s="16" t="n"/>
      <c r="E208" s="5" t="n"/>
      <c r="F208" s="5" t="n"/>
      <c r="G208" s="5" t="n"/>
    </row>
    <row r="209" ht="15.75" customHeight="1" s="184">
      <c r="A209" s="15" t="n"/>
      <c r="B209" s="16" t="n"/>
      <c r="C209" s="18" t="n"/>
      <c r="D209" s="16" t="n"/>
      <c r="E209" s="5" t="n"/>
      <c r="F209" s="5" t="n"/>
      <c r="G209" s="5" t="n"/>
    </row>
    <row r="210" ht="15.75" customHeight="1" s="184">
      <c r="A210" s="15" t="n"/>
      <c r="B210" s="16" t="n"/>
      <c r="C210" s="18" t="n"/>
      <c r="D210" s="16" t="n"/>
      <c r="E210" s="5" t="n"/>
      <c r="F210" s="5" t="n"/>
      <c r="G210" s="5" t="n"/>
    </row>
    <row r="211" ht="15.75" customHeight="1" s="184">
      <c r="A211" s="15" t="n"/>
      <c r="B211" s="16" t="n"/>
      <c r="C211" s="18" t="n"/>
      <c r="D211" s="16" t="n"/>
      <c r="E211" s="5" t="n"/>
      <c r="F211" s="5" t="n"/>
      <c r="G211" s="5" t="n"/>
    </row>
    <row r="212" ht="15.75" customHeight="1" s="184">
      <c r="A212" s="15" t="n"/>
      <c r="B212" s="16" t="n"/>
      <c r="C212" s="18" t="n"/>
      <c r="D212" s="16" t="n"/>
      <c r="E212" s="5" t="n"/>
      <c r="F212" s="5" t="n"/>
      <c r="G212" s="5" t="n"/>
    </row>
    <row r="213" ht="15.75" customHeight="1" s="184">
      <c r="A213" s="15" t="n"/>
      <c r="B213" s="16" t="n"/>
      <c r="C213" s="18" t="n"/>
      <c r="D213" s="16" t="n"/>
      <c r="E213" s="5" t="n"/>
      <c r="F213" s="5" t="n"/>
      <c r="G213" s="5" t="n"/>
    </row>
    <row r="214" ht="15.75" customHeight="1" s="184">
      <c r="A214" s="15" t="n"/>
      <c r="B214" s="16" t="n"/>
      <c r="C214" s="18" t="n"/>
      <c r="D214" s="16" t="n"/>
      <c r="E214" s="5" t="n"/>
      <c r="F214" s="5" t="n"/>
      <c r="G214" s="5" t="n"/>
    </row>
    <row r="215" ht="15.75" customHeight="1" s="184">
      <c r="A215" s="15" t="n"/>
      <c r="B215" s="16" t="n"/>
      <c r="C215" s="18" t="n"/>
      <c r="D215" s="16" t="n"/>
      <c r="E215" s="5" t="n"/>
      <c r="F215" s="5" t="n"/>
      <c r="G215" s="5" t="n"/>
    </row>
    <row r="216" ht="15.75" customHeight="1" s="184">
      <c r="A216" s="15" t="n"/>
      <c r="B216" s="16" t="n"/>
      <c r="C216" s="18" t="n"/>
      <c r="D216" s="16" t="n"/>
      <c r="E216" s="5" t="n"/>
      <c r="F216" s="5" t="n"/>
      <c r="G216" s="5" t="n"/>
    </row>
    <row r="217" ht="15.75" customHeight="1" s="184">
      <c r="A217" s="15" t="n"/>
      <c r="B217" s="16" t="n"/>
      <c r="C217" s="18" t="n"/>
      <c r="D217" s="16" t="n"/>
      <c r="E217" s="5" t="n"/>
      <c r="F217" s="5" t="n"/>
      <c r="G217" s="5" t="n"/>
    </row>
    <row r="218" ht="15.75" customHeight="1" s="184">
      <c r="A218" s="15" t="n"/>
      <c r="B218" s="16" t="n"/>
      <c r="C218" s="18" t="n"/>
      <c r="D218" s="16" t="n"/>
      <c r="E218" s="5" t="n"/>
      <c r="F218" s="5" t="n"/>
      <c r="G218" s="5" t="n"/>
    </row>
    <row r="219" ht="15.75" customHeight="1" s="184">
      <c r="A219" s="15" t="n"/>
      <c r="B219" s="16" t="n"/>
      <c r="C219" s="18" t="n"/>
      <c r="D219" s="16" t="n"/>
      <c r="E219" s="5" t="n"/>
      <c r="F219" s="5" t="n"/>
      <c r="G219" s="5" t="n"/>
    </row>
    <row r="220" ht="15.75" customHeight="1" s="184">
      <c r="A220" s="15" t="n"/>
      <c r="B220" s="16" t="n"/>
      <c r="C220" s="18" t="n"/>
      <c r="D220" s="16" t="n"/>
      <c r="E220" s="5" t="n"/>
      <c r="F220" s="5" t="n"/>
      <c r="G220" s="5" t="n"/>
    </row>
    <row r="221" ht="15.75" customHeight="1" s="184">
      <c r="A221" s="15" t="n"/>
      <c r="B221" s="16" t="n"/>
      <c r="C221" s="18" t="n"/>
      <c r="D221" s="16" t="n"/>
      <c r="E221" s="5" t="n"/>
      <c r="F221" s="5" t="n"/>
      <c r="G221" s="5" t="n"/>
    </row>
    <row r="222" ht="15.75" customHeight="1" s="184">
      <c r="A222" s="5" t="n"/>
      <c r="B222" s="5" t="n"/>
      <c r="C222" s="5" t="n"/>
      <c r="D222" s="5" t="n"/>
      <c r="E222" s="5" t="n"/>
      <c r="F222" s="5" t="n"/>
      <c r="G222" s="5" t="n"/>
    </row>
    <row r="223" ht="15.75" customHeight="1" s="184">
      <c r="A223" s="5" t="n"/>
      <c r="B223" s="5" t="n"/>
      <c r="C223" s="5" t="n"/>
      <c r="D223" s="5" t="n"/>
      <c r="E223" s="5" t="n"/>
      <c r="F223" s="5" t="n"/>
      <c r="G223" s="5" t="n"/>
    </row>
    <row r="224" ht="15.75" customHeight="1" s="184">
      <c r="A224" s="5" t="n"/>
      <c r="B224" s="5" t="n"/>
      <c r="C224" s="5" t="n"/>
      <c r="D224" s="5" t="n"/>
      <c r="E224" s="5" t="n"/>
      <c r="F224" s="5" t="n"/>
      <c r="G224" s="5" t="n"/>
    </row>
    <row r="225" ht="15.75" customHeight="1" s="184">
      <c r="A225" s="5" t="n"/>
      <c r="B225" s="5" t="n"/>
      <c r="C225" s="5" t="n"/>
      <c r="D225" s="5" t="n"/>
      <c r="E225" s="5" t="n"/>
      <c r="F225" s="5" t="n"/>
      <c r="G225" s="5" t="n"/>
    </row>
    <row r="226" ht="15.75" customHeight="1" s="184">
      <c r="A226" s="5" t="n"/>
      <c r="B226" s="5" t="n"/>
      <c r="C226" s="5" t="n"/>
      <c r="D226" s="5" t="n"/>
      <c r="E226" s="5" t="n"/>
      <c r="F226" s="5" t="n"/>
      <c r="G226" s="5" t="n"/>
    </row>
    <row r="227" ht="15.75" customHeight="1" s="184">
      <c r="A227" s="5" t="n"/>
      <c r="B227" s="5" t="n"/>
      <c r="C227" s="5" t="n"/>
      <c r="D227" s="5" t="n"/>
      <c r="E227" s="5" t="n"/>
      <c r="F227" s="5" t="n"/>
      <c r="G227" s="5" t="n"/>
    </row>
    <row r="228" ht="15.75" customHeight="1" s="184">
      <c r="A228" s="5" t="n"/>
      <c r="B228" s="5" t="n"/>
      <c r="C228" s="5" t="n"/>
      <c r="D228" s="5" t="n"/>
      <c r="E228" s="5" t="n"/>
      <c r="F228" s="5" t="n"/>
      <c r="G228" s="5" t="n"/>
    </row>
    <row r="229" ht="15.75" customHeight="1" s="184">
      <c r="A229" s="5" t="n"/>
      <c r="B229" s="5" t="n"/>
      <c r="C229" s="5" t="n"/>
      <c r="D229" s="5" t="n"/>
      <c r="E229" s="5" t="n"/>
      <c r="F229" s="5" t="n"/>
      <c r="G229" s="5" t="n"/>
    </row>
    <row r="230" ht="15.75" customHeight="1" s="184">
      <c r="A230" s="5" t="n"/>
      <c r="B230" s="5" t="n"/>
      <c r="C230" s="5" t="n"/>
      <c r="D230" s="5" t="n"/>
      <c r="E230" s="5" t="n"/>
      <c r="F230" s="5" t="n"/>
      <c r="G230" s="5" t="n"/>
    </row>
    <row r="231" ht="15.75" customHeight="1" s="184">
      <c r="A231" s="5" t="n"/>
      <c r="B231" s="5" t="n"/>
      <c r="C231" s="5" t="n"/>
      <c r="D231" s="5" t="n"/>
      <c r="E231" s="5" t="n"/>
      <c r="F231" s="5" t="n"/>
      <c r="G231" s="5" t="n"/>
    </row>
    <row r="232" ht="15.75" customHeight="1" s="184">
      <c r="A232" s="5" t="n"/>
      <c r="B232" s="5" t="n"/>
      <c r="C232" s="5" t="n"/>
      <c r="D232" s="5" t="n"/>
      <c r="E232" s="5" t="n"/>
      <c r="F232" s="5" t="n"/>
      <c r="G232" s="5" t="n"/>
    </row>
    <row r="233" ht="15.75" customHeight="1" s="184">
      <c r="A233" s="5" t="n"/>
      <c r="B233" s="5" t="n"/>
      <c r="C233" s="5" t="n"/>
      <c r="D233" s="5" t="n"/>
      <c r="E233" s="5" t="n"/>
      <c r="F233" s="5" t="n"/>
      <c r="G233" s="5" t="n"/>
    </row>
    <row r="234" ht="15.75" customHeight="1" s="184">
      <c r="A234" s="5" t="n"/>
      <c r="B234" s="5" t="n"/>
      <c r="C234" s="5" t="n"/>
      <c r="D234" s="5" t="n"/>
      <c r="E234" s="5" t="n"/>
      <c r="F234" s="5" t="n"/>
      <c r="G234" s="5" t="n"/>
    </row>
    <row r="235" ht="15.75" customHeight="1" s="184">
      <c r="A235" s="5" t="n"/>
      <c r="B235" s="5" t="n"/>
      <c r="C235" s="5" t="n"/>
      <c r="D235" s="5" t="n"/>
      <c r="E235" s="5" t="n"/>
      <c r="F235" s="5" t="n"/>
      <c r="G235" s="5" t="n"/>
    </row>
    <row r="236" ht="15.75" customHeight="1" s="184">
      <c r="A236" s="5" t="n"/>
      <c r="B236" s="5" t="n"/>
      <c r="C236" s="5" t="n"/>
      <c r="D236" s="5" t="n"/>
      <c r="E236" s="5" t="n"/>
      <c r="F236" s="5" t="n"/>
      <c r="G236" s="5" t="n"/>
    </row>
    <row r="237" ht="15.75" customHeight="1" s="184">
      <c r="A237" s="5" t="n"/>
      <c r="B237" s="5" t="n"/>
      <c r="C237" s="5" t="n"/>
      <c r="D237" s="5" t="n"/>
      <c r="E237" s="5" t="n"/>
      <c r="F237" s="5" t="n"/>
      <c r="G237" s="5" t="n"/>
    </row>
    <row r="238" ht="15.75" customHeight="1" s="184">
      <c r="A238" s="5" t="n"/>
      <c r="B238" s="5" t="n"/>
      <c r="C238" s="5" t="n"/>
      <c r="D238" s="5" t="n"/>
      <c r="E238" s="5" t="n"/>
      <c r="F238" s="5" t="n"/>
      <c r="G238" s="5" t="n"/>
    </row>
    <row r="239" ht="15.75" customHeight="1" s="184">
      <c r="A239" s="5" t="n"/>
      <c r="B239" s="5" t="n"/>
      <c r="C239" s="5" t="n"/>
      <c r="D239" s="5" t="n"/>
      <c r="E239" s="5" t="n"/>
      <c r="F239" s="5" t="n"/>
      <c r="G239" s="5" t="n"/>
    </row>
    <row r="240" ht="15.75" customHeight="1" s="184">
      <c r="A240" s="5" t="n"/>
      <c r="B240" s="5" t="n"/>
      <c r="C240" s="5" t="n"/>
      <c r="D240" s="5" t="n"/>
      <c r="E240" s="5" t="n"/>
      <c r="F240" s="5" t="n"/>
      <c r="G240" s="5" t="n"/>
    </row>
    <row r="241" ht="15.75" customHeight="1" s="184">
      <c r="A241" s="5" t="n"/>
      <c r="B241" s="5" t="n"/>
      <c r="C241" s="5" t="n"/>
      <c r="D241" s="5" t="n"/>
      <c r="E241" s="5" t="n"/>
      <c r="F241" s="5" t="n"/>
      <c r="G241" s="5" t="n"/>
    </row>
    <row r="242" ht="15.75" customHeight="1" s="184">
      <c r="A242" s="5" t="n"/>
      <c r="B242" s="5" t="n"/>
      <c r="C242" s="5" t="n"/>
      <c r="D242" s="5" t="n"/>
      <c r="E242" s="5" t="n"/>
      <c r="F242" s="5" t="n"/>
      <c r="G242" s="5" t="n"/>
    </row>
    <row r="243" ht="15.75" customHeight="1" s="184">
      <c r="A243" s="5" t="n"/>
      <c r="B243" s="5" t="n"/>
      <c r="C243" s="5" t="n"/>
      <c r="D243" s="5" t="n"/>
      <c r="E243" s="5" t="n"/>
      <c r="F243" s="5" t="n"/>
      <c r="G243" s="5" t="n"/>
    </row>
    <row r="244" ht="15.75" customHeight="1" s="184">
      <c r="A244" s="5" t="n"/>
      <c r="B244" s="5" t="n"/>
      <c r="C244" s="5" t="n"/>
      <c r="D244" s="5" t="n"/>
      <c r="E244" s="5" t="n"/>
      <c r="F244" s="5" t="n"/>
      <c r="G244" s="5" t="n"/>
    </row>
    <row r="245" ht="15.75" customHeight="1" s="184">
      <c r="A245" s="5" t="n"/>
      <c r="B245" s="5" t="n"/>
      <c r="C245" s="5" t="n"/>
      <c r="D245" s="5" t="n"/>
      <c r="E245" s="5" t="n"/>
      <c r="F245" s="5" t="n"/>
      <c r="G245" s="5" t="n"/>
    </row>
    <row r="246" ht="15.75" customHeight="1" s="184">
      <c r="A246" s="5" t="n"/>
      <c r="B246" s="5" t="n"/>
      <c r="C246" s="5" t="n"/>
      <c r="D246" s="5" t="n"/>
      <c r="E246" s="5" t="n"/>
      <c r="F246" s="5" t="n"/>
      <c r="G246" s="5" t="n"/>
    </row>
    <row r="247" ht="15.75" customHeight="1" s="184">
      <c r="A247" s="5" t="n"/>
      <c r="B247" s="5" t="n"/>
      <c r="C247" s="5" t="n"/>
      <c r="D247" s="5" t="n"/>
      <c r="E247" s="5" t="n"/>
      <c r="F247" s="5" t="n"/>
      <c r="G247" s="5" t="n"/>
    </row>
    <row r="248" ht="15.75" customHeight="1" s="184">
      <c r="A248" s="5" t="n"/>
      <c r="B248" s="5" t="n"/>
      <c r="C248" s="5" t="n"/>
      <c r="D248" s="5" t="n"/>
      <c r="E248" s="5" t="n"/>
      <c r="F248" s="5" t="n"/>
      <c r="G248" s="5" t="n"/>
    </row>
    <row r="249" ht="15.75" customHeight="1" s="184">
      <c r="A249" s="5" t="n"/>
      <c r="B249" s="5" t="n"/>
      <c r="C249" s="5" t="n"/>
      <c r="D249" s="5" t="n"/>
      <c r="E249" s="5" t="n"/>
      <c r="F249" s="5" t="n"/>
      <c r="G249" s="5" t="n"/>
    </row>
    <row r="250" ht="15.75" customHeight="1" s="184">
      <c r="A250" s="5" t="n"/>
      <c r="B250" s="5" t="n"/>
      <c r="C250" s="5" t="n"/>
      <c r="D250" s="5" t="n"/>
      <c r="E250" s="5" t="n"/>
      <c r="F250" s="5" t="n"/>
      <c r="G250" s="5" t="n"/>
    </row>
    <row r="251" ht="15.75" customHeight="1" s="184">
      <c r="A251" s="5" t="n"/>
      <c r="B251" s="5" t="n"/>
      <c r="C251" s="5" t="n"/>
      <c r="D251" s="5" t="n"/>
      <c r="E251" s="5" t="n"/>
      <c r="F251" s="5" t="n"/>
      <c r="G251" s="5" t="n"/>
    </row>
    <row r="252" ht="15.75" customHeight="1" s="184">
      <c r="A252" s="5" t="n"/>
      <c r="B252" s="5" t="n"/>
      <c r="C252" s="5" t="n"/>
      <c r="D252" s="5" t="n"/>
      <c r="E252" s="5" t="n"/>
      <c r="F252" s="5" t="n"/>
      <c r="G252" s="5" t="n"/>
    </row>
    <row r="253" ht="15.75" customHeight="1" s="184">
      <c r="A253" s="5" t="n"/>
      <c r="B253" s="5" t="n"/>
      <c r="C253" s="5" t="n"/>
      <c r="D253" s="5" t="n"/>
      <c r="E253" s="5" t="n"/>
      <c r="F253" s="5" t="n"/>
      <c r="G253" s="5" t="n"/>
    </row>
    <row r="254" ht="15.75" customHeight="1" s="184">
      <c r="A254" s="5" t="n"/>
      <c r="B254" s="5" t="n"/>
      <c r="C254" s="5" t="n"/>
      <c r="D254" s="5" t="n"/>
      <c r="E254" s="5" t="n"/>
      <c r="F254" s="5" t="n"/>
      <c r="G254" s="5" t="n"/>
    </row>
    <row r="255" ht="15.75" customHeight="1" s="184">
      <c r="A255" s="5" t="n"/>
      <c r="B255" s="5" t="n"/>
      <c r="C255" s="5" t="n"/>
      <c r="D255" s="5" t="n"/>
      <c r="E255" s="5" t="n"/>
      <c r="F255" s="5" t="n"/>
      <c r="G255" s="5" t="n"/>
    </row>
    <row r="256" ht="15.75" customHeight="1" s="184">
      <c r="A256" s="5" t="n"/>
      <c r="B256" s="5" t="n"/>
      <c r="C256" s="5" t="n"/>
      <c r="D256" s="5" t="n"/>
      <c r="E256" s="5" t="n"/>
      <c r="F256" s="5" t="n"/>
      <c r="G256" s="5" t="n"/>
    </row>
    <row r="257" ht="15.75" customHeight="1" s="184">
      <c r="A257" s="5" t="n"/>
      <c r="B257" s="5" t="n"/>
      <c r="C257" s="5" t="n"/>
      <c r="D257" s="5" t="n"/>
      <c r="E257" s="5" t="n"/>
      <c r="F257" s="5" t="n"/>
      <c r="G257" s="5" t="n"/>
    </row>
    <row r="258" ht="15.75" customHeight="1" s="184">
      <c r="A258" s="5" t="n"/>
      <c r="B258" s="5" t="n"/>
      <c r="C258" s="5" t="n"/>
      <c r="D258" s="5" t="n"/>
      <c r="E258" s="5" t="n"/>
      <c r="F258" s="5" t="n"/>
      <c r="G258" s="5" t="n"/>
    </row>
    <row r="259" ht="15.75" customHeight="1" s="184">
      <c r="A259" s="5" t="n"/>
      <c r="B259" s="5" t="n"/>
      <c r="C259" s="5" t="n"/>
      <c r="D259" s="5" t="n"/>
      <c r="E259" s="5" t="n"/>
      <c r="F259" s="5" t="n"/>
      <c r="G259" s="5" t="n"/>
    </row>
    <row r="260" ht="15.75" customHeight="1" s="184">
      <c r="A260" s="5" t="n"/>
      <c r="B260" s="5" t="n"/>
      <c r="C260" s="5" t="n"/>
      <c r="D260" s="5" t="n"/>
      <c r="E260" s="5" t="n"/>
      <c r="F260" s="5" t="n"/>
      <c r="G260" s="5" t="n"/>
    </row>
    <row r="261" ht="15.75" customHeight="1" s="184">
      <c r="A261" s="5" t="n"/>
      <c r="B261" s="5" t="n"/>
      <c r="C261" s="5" t="n"/>
      <c r="D261" s="5" t="n"/>
      <c r="E261" s="5" t="n"/>
      <c r="F261" s="5" t="n"/>
      <c r="G261" s="5" t="n"/>
    </row>
    <row r="262" ht="15.75" customHeight="1" s="184">
      <c r="A262" s="5" t="n"/>
      <c r="B262" s="5" t="n"/>
      <c r="C262" s="5" t="n"/>
      <c r="D262" s="5" t="n"/>
      <c r="E262" s="5" t="n"/>
      <c r="F262" s="5" t="n"/>
      <c r="G262" s="5" t="n"/>
    </row>
    <row r="263" ht="15.75" customHeight="1" s="184">
      <c r="A263" s="5" t="n"/>
      <c r="B263" s="5" t="n"/>
      <c r="C263" s="5" t="n"/>
      <c r="D263" s="5" t="n"/>
      <c r="E263" s="5" t="n"/>
      <c r="F263" s="5" t="n"/>
      <c r="G263" s="5" t="n"/>
    </row>
    <row r="264" ht="15.75" customHeight="1" s="184">
      <c r="A264" s="5" t="n"/>
      <c r="B264" s="5" t="n"/>
      <c r="C264" s="5" t="n"/>
      <c r="D264" s="5" t="n"/>
      <c r="E264" s="5" t="n"/>
      <c r="F264" s="5" t="n"/>
      <c r="G264" s="5" t="n"/>
    </row>
    <row r="265" ht="15.75" customHeight="1" s="184">
      <c r="A265" s="5" t="n"/>
      <c r="B265" s="5" t="n"/>
      <c r="C265" s="5" t="n"/>
      <c r="D265" s="5" t="n"/>
      <c r="E265" s="5" t="n"/>
      <c r="F265" s="5" t="n"/>
      <c r="G265" s="5" t="n"/>
    </row>
    <row r="266" ht="15.75" customHeight="1" s="184">
      <c r="A266" s="5" t="n"/>
      <c r="B266" s="5" t="n"/>
      <c r="C266" s="5" t="n"/>
      <c r="D266" s="5" t="n"/>
      <c r="E266" s="5" t="n"/>
      <c r="F266" s="5" t="n"/>
      <c r="G266" s="5" t="n"/>
    </row>
    <row r="267" ht="15.75" customHeight="1" s="184">
      <c r="A267" s="5" t="n"/>
      <c r="B267" s="5" t="n"/>
      <c r="C267" s="5" t="n"/>
      <c r="D267" s="5" t="n"/>
      <c r="E267" s="5" t="n"/>
      <c r="F267" s="5" t="n"/>
      <c r="G267" s="5" t="n"/>
    </row>
    <row r="268" ht="15.75" customHeight="1" s="184">
      <c r="A268" s="5" t="n"/>
      <c r="B268" s="5" t="n"/>
      <c r="C268" s="5" t="n"/>
      <c r="D268" s="5" t="n"/>
      <c r="E268" s="5" t="n"/>
      <c r="F268" s="5" t="n"/>
      <c r="G268" s="5" t="n"/>
    </row>
    <row r="269" ht="15.75" customHeight="1" s="184">
      <c r="A269" s="5" t="n"/>
      <c r="B269" s="5" t="n"/>
      <c r="C269" s="5" t="n"/>
      <c r="D269" s="5" t="n"/>
      <c r="E269" s="5" t="n"/>
      <c r="F269" s="5" t="n"/>
      <c r="G269" s="5" t="n"/>
    </row>
    <row r="270" ht="15.75" customHeight="1" s="184">
      <c r="A270" s="5" t="n"/>
      <c r="B270" s="5" t="n"/>
      <c r="C270" s="5" t="n"/>
      <c r="D270" s="5" t="n"/>
      <c r="E270" s="5" t="n"/>
      <c r="F270" s="5" t="n"/>
      <c r="G270" s="5" t="n"/>
    </row>
    <row r="271" ht="15.75" customHeight="1" s="184">
      <c r="A271" s="5" t="n"/>
      <c r="B271" s="5" t="n"/>
      <c r="C271" s="5" t="n"/>
      <c r="D271" s="5" t="n"/>
      <c r="E271" s="5" t="n"/>
      <c r="F271" s="5" t="n"/>
      <c r="G271" s="5" t="n"/>
    </row>
    <row r="272" ht="15.75" customHeight="1" s="184">
      <c r="A272" s="5" t="n"/>
      <c r="B272" s="5" t="n"/>
      <c r="C272" s="5" t="n"/>
      <c r="D272" s="5" t="n"/>
      <c r="E272" s="5" t="n"/>
      <c r="F272" s="5" t="n"/>
      <c r="G272" s="5" t="n"/>
    </row>
    <row r="273" ht="15.75" customHeight="1" s="184">
      <c r="A273" s="5" t="n"/>
      <c r="B273" s="5" t="n"/>
      <c r="C273" s="5" t="n"/>
      <c r="D273" s="5" t="n"/>
      <c r="E273" s="5" t="n"/>
      <c r="F273" s="5" t="n"/>
      <c r="G273" s="5" t="n"/>
    </row>
    <row r="274" ht="15.75" customHeight="1" s="184">
      <c r="A274" s="5" t="n"/>
      <c r="B274" s="5" t="n"/>
      <c r="C274" s="5" t="n"/>
      <c r="D274" s="5" t="n"/>
      <c r="E274" s="5" t="n"/>
      <c r="F274" s="5" t="n"/>
      <c r="G274" s="5" t="n"/>
    </row>
    <row r="275" ht="15.75" customHeight="1" s="184">
      <c r="A275" s="5" t="n"/>
      <c r="B275" s="5" t="n"/>
      <c r="C275" s="5" t="n"/>
      <c r="D275" s="5" t="n"/>
      <c r="E275" s="5" t="n"/>
      <c r="F275" s="5" t="n"/>
      <c r="G275" s="5" t="n"/>
    </row>
    <row r="276" ht="15.75" customHeight="1" s="184">
      <c r="A276" s="5" t="n"/>
      <c r="B276" s="5" t="n"/>
      <c r="C276" s="5" t="n"/>
      <c r="D276" s="5" t="n"/>
      <c r="E276" s="5" t="n"/>
      <c r="F276" s="5" t="n"/>
      <c r="G276" s="5" t="n"/>
    </row>
    <row r="277" ht="15.75" customHeight="1" s="184">
      <c r="A277" s="5" t="n"/>
      <c r="B277" s="5" t="n"/>
      <c r="C277" s="5" t="n"/>
      <c r="D277" s="5" t="n"/>
      <c r="E277" s="5" t="n"/>
      <c r="F277" s="5" t="n"/>
      <c r="G277" s="5" t="n"/>
    </row>
    <row r="278" ht="15.75" customHeight="1" s="184">
      <c r="A278" s="5" t="n"/>
      <c r="B278" s="5" t="n"/>
      <c r="C278" s="5" t="n"/>
      <c r="D278" s="5" t="n"/>
      <c r="E278" s="5" t="n"/>
      <c r="F278" s="5" t="n"/>
      <c r="G278" s="5" t="n"/>
    </row>
    <row r="279" ht="15.75" customHeight="1" s="184">
      <c r="A279" s="5" t="n"/>
      <c r="B279" s="5" t="n"/>
      <c r="C279" s="5" t="n"/>
      <c r="D279" s="5" t="n"/>
      <c r="E279" s="5" t="n"/>
      <c r="F279" s="5" t="n"/>
      <c r="G279" s="5" t="n"/>
    </row>
    <row r="280" ht="15.75" customHeight="1" s="184">
      <c r="A280" s="5" t="n"/>
      <c r="B280" s="5" t="n"/>
      <c r="C280" s="5" t="n"/>
      <c r="D280" s="5" t="n"/>
      <c r="E280" s="5" t="n"/>
      <c r="F280" s="5" t="n"/>
      <c r="G280" s="5" t="n"/>
    </row>
    <row r="281" ht="15.75" customHeight="1" s="184">
      <c r="A281" s="5" t="n"/>
      <c r="B281" s="5" t="n"/>
      <c r="C281" s="5" t="n"/>
      <c r="D281" s="5" t="n"/>
      <c r="E281" s="5" t="n"/>
      <c r="F281" s="5" t="n"/>
      <c r="G281" s="5" t="n"/>
    </row>
    <row r="282" ht="15.75" customHeight="1" s="184">
      <c r="A282" s="5" t="n"/>
      <c r="B282" s="5" t="n"/>
      <c r="C282" s="5" t="n"/>
      <c r="D282" s="5" t="n"/>
      <c r="E282" s="5" t="n"/>
      <c r="F282" s="5" t="n"/>
      <c r="G282" s="5" t="n"/>
    </row>
    <row r="283" ht="15.75" customHeight="1" s="184">
      <c r="A283" s="5" t="n"/>
      <c r="B283" s="5" t="n"/>
      <c r="C283" s="5" t="n"/>
      <c r="D283" s="5" t="n"/>
      <c r="E283" s="5" t="n"/>
      <c r="F283" s="5" t="n"/>
      <c r="G283" s="5" t="n"/>
    </row>
    <row r="284" ht="15.75" customHeight="1" s="184">
      <c r="A284" s="5" t="n"/>
      <c r="B284" s="5" t="n"/>
      <c r="C284" s="5" t="n"/>
      <c r="D284" s="5" t="n"/>
      <c r="E284" s="5" t="n"/>
      <c r="F284" s="5" t="n"/>
      <c r="G284" s="5" t="n"/>
    </row>
    <row r="285" ht="15.75" customHeight="1" s="184">
      <c r="A285" s="5" t="n"/>
      <c r="B285" s="5" t="n"/>
      <c r="C285" s="5" t="n"/>
      <c r="D285" s="5" t="n"/>
      <c r="E285" s="5" t="n"/>
      <c r="F285" s="5" t="n"/>
      <c r="G285" s="5" t="n"/>
    </row>
    <row r="286" ht="15.75" customHeight="1" s="184">
      <c r="A286" s="5" t="n"/>
      <c r="B286" s="5" t="n"/>
      <c r="C286" s="5" t="n"/>
      <c r="D286" s="5" t="n"/>
      <c r="E286" s="5" t="n"/>
      <c r="F286" s="5" t="n"/>
      <c r="G286" s="5" t="n"/>
    </row>
    <row r="287" ht="15.75" customHeight="1" s="184">
      <c r="A287" s="5" t="n"/>
      <c r="B287" s="5" t="n"/>
      <c r="C287" s="5" t="n"/>
      <c r="D287" s="5" t="n"/>
      <c r="E287" s="5" t="n"/>
      <c r="F287" s="5" t="n"/>
      <c r="G287" s="5" t="n"/>
    </row>
    <row r="288" ht="15.75" customHeight="1" s="184">
      <c r="A288" s="5" t="n"/>
      <c r="B288" s="5" t="n"/>
      <c r="C288" s="5" t="n"/>
      <c r="D288" s="5" t="n"/>
      <c r="E288" s="5" t="n"/>
      <c r="F288" s="5" t="n"/>
      <c r="G288" s="5" t="n"/>
    </row>
    <row r="289" ht="15.75" customHeight="1" s="184">
      <c r="A289" s="5" t="n"/>
      <c r="B289" s="5" t="n"/>
      <c r="C289" s="5" t="n"/>
      <c r="D289" s="5" t="n"/>
      <c r="E289" s="5" t="n"/>
      <c r="F289" s="5" t="n"/>
      <c r="G289" s="5" t="n"/>
    </row>
    <row r="290" ht="15.75" customHeight="1" s="184">
      <c r="A290" s="5" t="n"/>
      <c r="B290" s="5" t="n"/>
      <c r="C290" s="5" t="n"/>
      <c r="D290" s="5" t="n"/>
      <c r="E290" s="5" t="n"/>
      <c r="F290" s="5" t="n"/>
      <c r="G290" s="5" t="n"/>
    </row>
    <row r="291" ht="15.75" customHeight="1" s="184">
      <c r="A291" s="5" t="n"/>
      <c r="B291" s="5" t="n"/>
      <c r="C291" s="5" t="n"/>
      <c r="D291" s="5" t="n"/>
      <c r="E291" s="5" t="n"/>
      <c r="F291" s="5" t="n"/>
      <c r="G291" s="5" t="n"/>
    </row>
    <row r="292" ht="15.75" customHeight="1" s="184">
      <c r="A292" s="5" t="n"/>
      <c r="B292" s="5" t="n"/>
      <c r="C292" s="5" t="n"/>
      <c r="D292" s="5" t="n"/>
      <c r="E292" s="5" t="n"/>
      <c r="F292" s="5" t="n"/>
      <c r="G292" s="5" t="n"/>
    </row>
    <row r="293" ht="15.75" customHeight="1" s="184">
      <c r="A293" s="5" t="n"/>
      <c r="B293" s="5" t="n"/>
      <c r="C293" s="5" t="n"/>
      <c r="D293" s="5" t="n"/>
      <c r="E293" s="5" t="n"/>
      <c r="F293" s="5" t="n"/>
      <c r="G293" s="5" t="n"/>
    </row>
    <row r="294" ht="15.75" customHeight="1" s="184">
      <c r="A294" s="5" t="n"/>
      <c r="B294" s="5" t="n"/>
      <c r="C294" s="5" t="n"/>
      <c r="D294" s="5" t="n"/>
      <c r="E294" s="5" t="n"/>
      <c r="F294" s="5" t="n"/>
      <c r="G294" s="5" t="n"/>
    </row>
    <row r="295" ht="15.75" customHeight="1" s="184">
      <c r="A295" s="5" t="n"/>
      <c r="B295" s="5" t="n"/>
      <c r="C295" s="5" t="n"/>
      <c r="D295" s="5" t="n"/>
      <c r="E295" s="5" t="n"/>
      <c r="F295" s="5" t="n"/>
      <c r="G295" s="5" t="n"/>
    </row>
    <row r="296" ht="15.75" customHeight="1" s="184">
      <c r="A296" s="5" t="n"/>
      <c r="B296" s="5" t="n"/>
      <c r="C296" s="5" t="n"/>
      <c r="D296" s="5" t="n"/>
      <c r="E296" s="5" t="n"/>
      <c r="F296" s="5" t="n"/>
      <c r="G296" s="5" t="n"/>
    </row>
    <row r="297" ht="15.75" customHeight="1" s="184">
      <c r="A297" s="5" t="n"/>
      <c r="B297" s="5" t="n"/>
      <c r="C297" s="5" t="n"/>
      <c r="D297" s="5" t="n"/>
      <c r="E297" s="5" t="n"/>
      <c r="F297" s="5" t="n"/>
      <c r="G297" s="5" t="n"/>
    </row>
    <row r="298" ht="15.75" customHeight="1" s="184">
      <c r="A298" s="5" t="n"/>
      <c r="B298" s="5" t="n"/>
      <c r="C298" s="5" t="n"/>
      <c r="D298" s="5" t="n"/>
      <c r="E298" s="5" t="n"/>
      <c r="F298" s="5" t="n"/>
      <c r="G298" s="5" t="n"/>
    </row>
    <row r="299" ht="15.75" customHeight="1" s="184">
      <c r="A299" s="5" t="n"/>
      <c r="B299" s="5" t="n"/>
      <c r="C299" s="5" t="n"/>
      <c r="D299" s="5" t="n"/>
      <c r="E299" s="5" t="n"/>
      <c r="F299" s="5" t="n"/>
      <c r="G299" s="5" t="n"/>
    </row>
    <row r="300" ht="15.75" customHeight="1" s="184">
      <c r="A300" s="5" t="n"/>
      <c r="B300" s="5" t="n"/>
      <c r="C300" s="5" t="n"/>
      <c r="D300" s="5" t="n"/>
      <c r="E300" s="5" t="n"/>
      <c r="F300" s="5" t="n"/>
      <c r="G300" s="5" t="n"/>
    </row>
    <row r="301" ht="15.75" customHeight="1" s="184">
      <c r="A301" s="5" t="n"/>
      <c r="B301" s="5" t="n"/>
      <c r="C301" s="5" t="n"/>
      <c r="D301" s="5" t="n"/>
      <c r="E301" s="5" t="n"/>
      <c r="F301" s="5" t="n"/>
      <c r="G301" s="5" t="n"/>
    </row>
    <row r="302" ht="15.75" customHeight="1" s="184">
      <c r="A302" s="5" t="n"/>
      <c r="B302" s="5" t="n"/>
      <c r="C302" s="5" t="n"/>
      <c r="D302" s="5" t="n"/>
      <c r="E302" s="5" t="n"/>
      <c r="F302" s="5" t="n"/>
      <c r="G302" s="5" t="n"/>
    </row>
    <row r="303" ht="15.75" customHeight="1" s="184">
      <c r="A303" s="5" t="n"/>
      <c r="B303" s="5" t="n"/>
      <c r="C303" s="5" t="n"/>
      <c r="D303" s="5" t="n"/>
      <c r="E303" s="5" t="n"/>
      <c r="F303" s="5" t="n"/>
      <c r="G303" s="5" t="n"/>
    </row>
    <row r="304" ht="15.75" customHeight="1" s="184">
      <c r="A304" s="5" t="n"/>
      <c r="B304" s="5" t="n"/>
      <c r="C304" s="5" t="n"/>
      <c r="D304" s="5" t="n"/>
      <c r="E304" s="5" t="n"/>
      <c r="F304" s="5" t="n"/>
      <c r="G304" s="5" t="n"/>
    </row>
    <row r="305" ht="15.75" customHeight="1" s="184">
      <c r="A305" s="5" t="n"/>
      <c r="B305" s="5" t="n"/>
      <c r="C305" s="5" t="n"/>
      <c r="D305" s="5" t="n"/>
      <c r="E305" s="5" t="n"/>
      <c r="F305" s="5" t="n"/>
      <c r="G305" s="5" t="n"/>
    </row>
    <row r="306" ht="15.75" customHeight="1" s="184">
      <c r="A306" s="5" t="n"/>
      <c r="B306" s="5" t="n"/>
      <c r="C306" s="5" t="n"/>
      <c r="D306" s="5" t="n"/>
      <c r="E306" s="5" t="n"/>
      <c r="F306" s="5" t="n"/>
      <c r="G306" s="5" t="n"/>
    </row>
    <row r="307" ht="15.75" customHeight="1" s="184">
      <c r="A307" s="5" t="n"/>
      <c r="B307" s="5" t="n"/>
      <c r="C307" s="5" t="n"/>
      <c r="D307" s="5" t="n"/>
      <c r="E307" s="5" t="n"/>
      <c r="F307" s="5" t="n"/>
      <c r="G307" s="5" t="n"/>
    </row>
    <row r="308" ht="15.75" customHeight="1" s="184">
      <c r="A308" s="5" t="n"/>
      <c r="B308" s="5" t="n"/>
      <c r="C308" s="5" t="n"/>
      <c r="D308" s="5" t="n"/>
      <c r="E308" s="5" t="n"/>
      <c r="F308" s="5" t="n"/>
      <c r="G308" s="5" t="n"/>
    </row>
    <row r="309" ht="15.75" customHeight="1" s="184">
      <c r="A309" s="5" t="n"/>
      <c r="B309" s="5" t="n"/>
      <c r="C309" s="5" t="n"/>
      <c r="D309" s="5" t="n"/>
      <c r="E309" s="5" t="n"/>
      <c r="F309" s="5" t="n"/>
      <c r="G309" s="5" t="n"/>
    </row>
    <row r="310" ht="15.75" customHeight="1" s="184">
      <c r="A310" s="5" t="n"/>
      <c r="B310" s="5" t="n"/>
      <c r="C310" s="5" t="n"/>
      <c r="D310" s="5" t="n"/>
      <c r="E310" s="5" t="n"/>
      <c r="F310" s="5" t="n"/>
      <c r="G310" s="5" t="n"/>
    </row>
    <row r="311" ht="15.75" customHeight="1" s="184">
      <c r="A311" s="5" t="n"/>
      <c r="B311" s="5" t="n"/>
      <c r="C311" s="5" t="n"/>
      <c r="D311" s="5" t="n"/>
      <c r="E311" s="5" t="n"/>
      <c r="F311" s="5" t="n"/>
      <c r="G311" s="5" t="n"/>
    </row>
    <row r="312" ht="15.75" customHeight="1" s="184">
      <c r="A312" s="5" t="n"/>
      <c r="B312" s="5" t="n"/>
      <c r="C312" s="5" t="n"/>
      <c r="D312" s="5" t="n"/>
      <c r="E312" s="5" t="n"/>
      <c r="F312" s="5" t="n"/>
      <c r="G312" s="5" t="n"/>
    </row>
    <row r="313" ht="15.75" customHeight="1" s="184">
      <c r="A313" s="5" t="n"/>
      <c r="B313" s="5" t="n"/>
      <c r="C313" s="5" t="n"/>
      <c r="D313" s="5" t="n"/>
      <c r="E313" s="5" t="n"/>
      <c r="F313" s="5" t="n"/>
      <c r="G313" s="5" t="n"/>
    </row>
    <row r="314" ht="15.75" customHeight="1" s="184">
      <c r="A314" s="5" t="n"/>
      <c r="B314" s="5" t="n"/>
      <c r="C314" s="5" t="n"/>
      <c r="D314" s="5" t="n"/>
      <c r="E314" s="5" t="n"/>
      <c r="F314" s="5" t="n"/>
      <c r="G314" s="5" t="n"/>
    </row>
    <row r="315" ht="15.75" customHeight="1" s="184">
      <c r="A315" s="5" t="n"/>
      <c r="B315" s="5" t="n"/>
      <c r="C315" s="5" t="n"/>
      <c r="D315" s="5" t="n"/>
      <c r="E315" s="5" t="n"/>
      <c r="F315" s="5" t="n"/>
      <c r="G315" s="5" t="n"/>
    </row>
    <row r="316" ht="15.75" customHeight="1" s="184">
      <c r="A316" s="5" t="n"/>
      <c r="B316" s="5" t="n"/>
      <c r="C316" s="5" t="n"/>
      <c r="D316" s="5" t="n"/>
      <c r="E316" s="5" t="n"/>
      <c r="F316" s="5" t="n"/>
      <c r="G316" s="5" t="n"/>
    </row>
    <row r="317" ht="15.75" customHeight="1" s="184">
      <c r="A317" s="5" t="n"/>
      <c r="B317" s="5" t="n"/>
      <c r="C317" s="5" t="n"/>
      <c r="D317" s="5" t="n"/>
      <c r="E317" s="5" t="n"/>
      <c r="F317" s="5" t="n"/>
      <c r="G317" s="5" t="n"/>
    </row>
    <row r="318" ht="15.75" customHeight="1" s="184">
      <c r="A318" s="5" t="n"/>
      <c r="B318" s="5" t="n"/>
      <c r="C318" s="5" t="n"/>
      <c r="D318" s="5" t="n"/>
      <c r="E318" s="5" t="n"/>
      <c r="F318" s="5" t="n"/>
      <c r="G318" s="5" t="n"/>
    </row>
    <row r="319" ht="15.75" customHeight="1" s="184">
      <c r="A319" s="5" t="n"/>
      <c r="B319" s="5" t="n"/>
      <c r="C319" s="5" t="n"/>
      <c r="D319" s="5" t="n"/>
      <c r="E319" s="5" t="n"/>
      <c r="F319" s="5" t="n"/>
      <c r="G319" s="5" t="n"/>
    </row>
    <row r="320" ht="15.75" customHeight="1" s="184">
      <c r="A320" s="5" t="n"/>
      <c r="B320" s="5" t="n"/>
      <c r="C320" s="5" t="n"/>
      <c r="D320" s="5" t="n"/>
      <c r="E320" s="5" t="n"/>
      <c r="F320" s="5" t="n"/>
      <c r="G320" s="5" t="n"/>
    </row>
    <row r="321" ht="15.75" customHeight="1" s="184">
      <c r="A321" s="5" t="n"/>
      <c r="B321" s="5" t="n"/>
      <c r="C321" s="5" t="n"/>
      <c r="D321" s="5" t="n"/>
      <c r="E321" s="5" t="n"/>
      <c r="F321" s="5" t="n"/>
      <c r="G321" s="5" t="n"/>
    </row>
    <row r="322" ht="15.75" customHeight="1" s="184">
      <c r="A322" s="5" t="n"/>
      <c r="B322" s="5" t="n"/>
      <c r="C322" s="5" t="n"/>
      <c r="D322" s="5" t="n"/>
      <c r="E322" s="5" t="n"/>
      <c r="F322" s="5" t="n"/>
      <c r="G322" s="5" t="n"/>
    </row>
    <row r="323" ht="15.75" customHeight="1" s="184">
      <c r="A323" s="5" t="n"/>
      <c r="B323" s="5" t="n"/>
      <c r="C323" s="5" t="n"/>
      <c r="D323" s="5" t="n"/>
      <c r="E323" s="5" t="n"/>
      <c r="F323" s="5" t="n"/>
      <c r="G323" s="5" t="n"/>
    </row>
    <row r="324" ht="15.75" customHeight="1" s="184">
      <c r="A324" s="5" t="n"/>
      <c r="B324" s="5" t="n"/>
      <c r="C324" s="5" t="n"/>
      <c r="D324" s="5" t="n"/>
      <c r="E324" s="5" t="n"/>
      <c r="F324" s="5" t="n"/>
      <c r="G324" s="5" t="n"/>
    </row>
    <row r="325" ht="15.75" customHeight="1" s="184">
      <c r="A325" s="5" t="n"/>
      <c r="B325" s="5" t="n"/>
      <c r="C325" s="5" t="n"/>
      <c r="D325" s="5" t="n"/>
      <c r="E325" s="5" t="n"/>
      <c r="F325" s="5" t="n"/>
      <c r="G325" s="5" t="n"/>
    </row>
    <row r="326" ht="15.75" customHeight="1" s="184">
      <c r="A326" s="5" t="n"/>
      <c r="B326" s="5" t="n"/>
      <c r="C326" s="5" t="n"/>
      <c r="D326" s="5" t="n"/>
      <c r="E326" s="5" t="n"/>
      <c r="F326" s="5" t="n"/>
      <c r="G326" s="5" t="n"/>
    </row>
    <row r="327" ht="15.75" customHeight="1" s="184">
      <c r="A327" s="5" t="n"/>
      <c r="B327" s="5" t="n"/>
      <c r="C327" s="5" t="n"/>
      <c r="D327" s="5" t="n"/>
      <c r="E327" s="5" t="n"/>
      <c r="F327" s="5" t="n"/>
      <c r="G327" s="5" t="n"/>
    </row>
    <row r="328" ht="15.75" customHeight="1" s="184">
      <c r="A328" s="5" t="n"/>
      <c r="B328" s="5" t="n"/>
      <c r="C328" s="5" t="n"/>
      <c r="D328" s="5" t="n"/>
      <c r="E328" s="5" t="n"/>
      <c r="F328" s="5" t="n"/>
      <c r="G328" s="5" t="n"/>
    </row>
    <row r="329" ht="15.75" customHeight="1" s="184">
      <c r="A329" s="5" t="n"/>
      <c r="B329" s="5" t="n"/>
      <c r="C329" s="5" t="n"/>
      <c r="D329" s="5" t="n"/>
      <c r="E329" s="5" t="n"/>
      <c r="F329" s="5" t="n"/>
      <c r="G329" s="5" t="n"/>
    </row>
    <row r="330" ht="15.75" customHeight="1" s="184">
      <c r="A330" s="5" t="n"/>
      <c r="B330" s="5" t="n"/>
      <c r="C330" s="5" t="n"/>
      <c r="D330" s="5" t="n"/>
      <c r="E330" s="5" t="n"/>
      <c r="F330" s="5" t="n"/>
      <c r="G330" s="5" t="n"/>
    </row>
    <row r="331" ht="15.75" customHeight="1" s="184">
      <c r="A331" s="5" t="n"/>
      <c r="B331" s="5" t="n"/>
      <c r="C331" s="5" t="n"/>
      <c r="D331" s="5" t="n"/>
      <c r="E331" s="5" t="n"/>
      <c r="F331" s="5" t="n"/>
      <c r="G331" s="5" t="n"/>
    </row>
    <row r="332" ht="15.75" customHeight="1" s="184">
      <c r="A332" s="5" t="n"/>
      <c r="B332" s="5" t="n"/>
      <c r="C332" s="5" t="n"/>
      <c r="D332" s="5" t="n"/>
      <c r="E332" s="5" t="n"/>
      <c r="F332" s="5" t="n"/>
      <c r="G332" s="5" t="n"/>
    </row>
    <row r="333" ht="15.75" customHeight="1" s="184">
      <c r="A333" s="5" t="n"/>
      <c r="B333" s="5" t="n"/>
      <c r="C333" s="5" t="n"/>
      <c r="D333" s="5" t="n"/>
      <c r="E333" s="5" t="n"/>
      <c r="F333" s="5" t="n"/>
      <c r="G333" s="5" t="n"/>
    </row>
    <row r="334" ht="15.75" customHeight="1" s="184">
      <c r="A334" s="5" t="n"/>
      <c r="B334" s="5" t="n"/>
      <c r="C334" s="5" t="n"/>
      <c r="D334" s="5" t="n"/>
      <c r="E334" s="5" t="n"/>
      <c r="F334" s="5" t="n"/>
      <c r="G334" s="5" t="n"/>
    </row>
    <row r="335" ht="15.75" customHeight="1" s="184">
      <c r="A335" s="5" t="n"/>
      <c r="B335" s="5" t="n"/>
      <c r="C335" s="5" t="n"/>
      <c r="D335" s="5" t="n"/>
      <c r="E335" s="5" t="n"/>
      <c r="F335" s="5" t="n"/>
      <c r="G335" s="5" t="n"/>
    </row>
    <row r="336" ht="15.75" customHeight="1" s="184">
      <c r="A336" s="5" t="n"/>
      <c r="B336" s="5" t="n"/>
      <c r="C336" s="5" t="n"/>
      <c r="D336" s="5" t="n"/>
      <c r="E336" s="5" t="n"/>
      <c r="F336" s="5" t="n"/>
      <c r="G336" s="5" t="n"/>
    </row>
    <row r="337" ht="15.75" customHeight="1" s="184">
      <c r="A337" s="5" t="n"/>
      <c r="B337" s="5" t="n"/>
      <c r="C337" s="5" t="n"/>
      <c r="D337" s="5" t="n"/>
      <c r="E337" s="5" t="n"/>
      <c r="F337" s="5" t="n"/>
      <c r="G337" s="5" t="n"/>
    </row>
    <row r="338" ht="15.75" customHeight="1" s="184">
      <c r="A338" s="5" t="n"/>
      <c r="B338" s="5" t="n"/>
      <c r="C338" s="5" t="n"/>
      <c r="D338" s="5" t="n"/>
      <c r="E338" s="5" t="n"/>
      <c r="F338" s="5" t="n"/>
      <c r="G338" s="5" t="n"/>
    </row>
    <row r="339" ht="15.75" customHeight="1" s="184">
      <c r="A339" s="5" t="n"/>
      <c r="B339" s="5" t="n"/>
      <c r="C339" s="5" t="n"/>
      <c r="D339" s="5" t="n"/>
      <c r="E339" s="5" t="n"/>
      <c r="F339" s="5" t="n"/>
      <c r="G339" s="5" t="n"/>
    </row>
    <row r="340" ht="15.75" customHeight="1" s="184">
      <c r="A340" s="5" t="n"/>
      <c r="B340" s="5" t="n"/>
      <c r="C340" s="5" t="n"/>
      <c r="D340" s="5" t="n"/>
      <c r="E340" s="5" t="n"/>
      <c r="F340" s="5" t="n"/>
      <c r="G340" s="5" t="n"/>
    </row>
    <row r="341" ht="15.75" customHeight="1" s="184">
      <c r="A341" s="5" t="n"/>
      <c r="B341" s="5" t="n"/>
      <c r="C341" s="5" t="n"/>
      <c r="D341" s="5" t="n"/>
      <c r="E341" s="5" t="n"/>
      <c r="F341" s="5" t="n"/>
      <c r="G341" s="5" t="n"/>
    </row>
    <row r="342" ht="15.75" customHeight="1" s="184">
      <c r="A342" s="5" t="n"/>
      <c r="B342" s="5" t="n"/>
      <c r="C342" s="5" t="n"/>
      <c r="D342" s="5" t="n"/>
      <c r="E342" s="5" t="n"/>
      <c r="F342" s="5" t="n"/>
      <c r="G342" s="5" t="n"/>
    </row>
    <row r="343" ht="15.75" customHeight="1" s="184">
      <c r="A343" s="5" t="n"/>
      <c r="B343" s="5" t="n"/>
      <c r="C343" s="5" t="n"/>
      <c r="D343" s="5" t="n"/>
      <c r="E343" s="5" t="n"/>
      <c r="F343" s="5" t="n"/>
      <c r="G343" s="5" t="n"/>
    </row>
    <row r="344" ht="15.75" customHeight="1" s="184">
      <c r="A344" s="5" t="n"/>
      <c r="B344" s="5" t="n"/>
      <c r="C344" s="5" t="n"/>
      <c r="D344" s="5" t="n"/>
      <c r="E344" s="5" t="n"/>
      <c r="F344" s="5" t="n"/>
      <c r="G344" s="5" t="n"/>
    </row>
    <row r="345" ht="15.75" customHeight="1" s="184">
      <c r="A345" s="5" t="n"/>
      <c r="B345" s="5" t="n"/>
      <c r="C345" s="5" t="n"/>
      <c r="D345" s="5" t="n"/>
      <c r="E345" s="5" t="n"/>
      <c r="F345" s="5" t="n"/>
      <c r="G345" s="5" t="n"/>
    </row>
    <row r="346" ht="15.75" customHeight="1" s="184">
      <c r="A346" s="5" t="n"/>
      <c r="B346" s="5" t="n"/>
      <c r="C346" s="5" t="n"/>
      <c r="D346" s="5" t="n"/>
      <c r="E346" s="5" t="n"/>
      <c r="F346" s="5" t="n"/>
      <c r="G346" s="5" t="n"/>
    </row>
    <row r="347" ht="15.75" customHeight="1" s="184">
      <c r="A347" s="5" t="n"/>
      <c r="B347" s="5" t="n"/>
      <c r="C347" s="5" t="n"/>
      <c r="D347" s="5" t="n"/>
      <c r="E347" s="5" t="n"/>
      <c r="F347" s="5" t="n"/>
      <c r="G347" s="5" t="n"/>
    </row>
    <row r="348" ht="15.75" customHeight="1" s="184">
      <c r="A348" s="5" t="n"/>
      <c r="B348" s="5" t="n"/>
      <c r="C348" s="5" t="n"/>
      <c r="D348" s="5" t="n"/>
      <c r="E348" s="5" t="n"/>
      <c r="F348" s="5" t="n"/>
      <c r="G348" s="5" t="n"/>
    </row>
    <row r="349" ht="15.75" customHeight="1" s="184">
      <c r="A349" s="5" t="n"/>
      <c r="B349" s="5" t="n"/>
      <c r="C349" s="5" t="n"/>
      <c r="D349" s="5" t="n"/>
      <c r="E349" s="5" t="n"/>
      <c r="F349" s="5" t="n"/>
      <c r="G349" s="5" t="n"/>
    </row>
    <row r="350" ht="15.75" customHeight="1" s="184">
      <c r="A350" s="5" t="n"/>
      <c r="B350" s="5" t="n"/>
      <c r="C350" s="5" t="n"/>
      <c r="D350" s="5" t="n"/>
      <c r="E350" s="5" t="n"/>
      <c r="F350" s="5" t="n"/>
      <c r="G350" s="5" t="n"/>
    </row>
    <row r="351" ht="15.75" customHeight="1" s="184">
      <c r="A351" s="5" t="n"/>
      <c r="B351" s="5" t="n"/>
      <c r="C351" s="5" t="n"/>
      <c r="D351" s="5" t="n"/>
      <c r="E351" s="5" t="n"/>
      <c r="F351" s="5" t="n"/>
      <c r="G351" s="5" t="n"/>
    </row>
    <row r="352" ht="15.75" customHeight="1" s="184">
      <c r="A352" s="5" t="n"/>
      <c r="B352" s="5" t="n"/>
      <c r="C352" s="5" t="n"/>
      <c r="D352" s="5" t="n"/>
      <c r="E352" s="5" t="n"/>
      <c r="F352" s="5" t="n"/>
      <c r="G352" s="5" t="n"/>
    </row>
    <row r="353" ht="15.75" customHeight="1" s="184">
      <c r="A353" s="5" t="n"/>
      <c r="B353" s="5" t="n"/>
      <c r="C353" s="5" t="n"/>
      <c r="D353" s="5" t="n"/>
      <c r="E353" s="5" t="n"/>
      <c r="F353" s="5" t="n"/>
      <c r="G353" s="5" t="n"/>
    </row>
    <row r="354" ht="15.75" customHeight="1" s="184">
      <c r="A354" s="5" t="n"/>
      <c r="B354" s="5" t="n"/>
      <c r="C354" s="5" t="n"/>
      <c r="D354" s="5" t="n"/>
      <c r="E354" s="5" t="n"/>
      <c r="F354" s="5" t="n"/>
      <c r="G354" s="5" t="n"/>
    </row>
    <row r="355" ht="15.75" customHeight="1" s="184">
      <c r="A355" s="5" t="n"/>
      <c r="B355" s="5" t="n"/>
      <c r="C355" s="5" t="n"/>
      <c r="D355" s="5" t="n"/>
      <c r="E355" s="5" t="n"/>
      <c r="F355" s="5" t="n"/>
      <c r="G355" s="5" t="n"/>
    </row>
    <row r="356" ht="15.75" customHeight="1" s="184">
      <c r="A356" s="5" t="n"/>
      <c r="B356" s="5" t="n"/>
      <c r="C356" s="5" t="n"/>
      <c r="D356" s="5" t="n"/>
      <c r="E356" s="5" t="n"/>
      <c r="F356" s="5" t="n"/>
      <c r="G356" s="5" t="n"/>
    </row>
    <row r="357" ht="15.75" customHeight="1" s="184">
      <c r="A357" s="5" t="n"/>
      <c r="B357" s="5" t="n"/>
      <c r="C357" s="5" t="n"/>
      <c r="D357" s="5" t="n"/>
      <c r="E357" s="5" t="n"/>
      <c r="F357" s="5" t="n"/>
      <c r="G357" s="5" t="n"/>
    </row>
    <row r="358" ht="15.75" customHeight="1" s="184">
      <c r="A358" s="5" t="n"/>
      <c r="B358" s="5" t="n"/>
      <c r="C358" s="5" t="n"/>
      <c r="D358" s="5" t="n"/>
      <c r="E358" s="5" t="n"/>
      <c r="F358" s="5" t="n"/>
      <c r="G358" s="5" t="n"/>
    </row>
    <row r="359" ht="15.75" customHeight="1" s="184">
      <c r="A359" s="5" t="n"/>
      <c r="B359" s="5" t="n"/>
      <c r="C359" s="5" t="n"/>
      <c r="D359" s="5" t="n"/>
      <c r="E359" s="5" t="n"/>
      <c r="F359" s="5" t="n"/>
      <c r="G359" s="5" t="n"/>
    </row>
    <row r="360" ht="15.75" customHeight="1" s="184">
      <c r="A360" s="5" t="n"/>
      <c r="B360" s="5" t="n"/>
      <c r="C360" s="5" t="n"/>
      <c r="D360" s="5" t="n"/>
      <c r="E360" s="5" t="n"/>
      <c r="F360" s="5" t="n"/>
      <c r="G360" s="5" t="n"/>
    </row>
    <row r="361" ht="15.75" customHeight="1" s="184">
      <c r="A361" s="5" t="n"/>
      <c r="B361" s="5" t="n"/>
      <c r="C361" s="5" t="n"/>
      <c r="D361" s="5" t="n"/>
      <c r="E361" s="5" t="n"/>
      <c r="F361" s="5" t="n"/>
      <c r="G361" s="5" t="n"/>
    </row>
    <row r="362" ht="15.75" customHeight="1" s="184">
      <c r="A362" s="5" t="n"/>
      <c r="B362" s="5" t="n"/>
      <c r="C362" s="5" t="n"/>
      <c r="D362" s="5" t="n"/>
      <c r="E362" s="5" t="n"/>
      <c r="F362" s="5" t="n"/>
      <c r="G362" s="5" t="n"/>
    </row>
    <row r="363" ht="15.75" customHeight="1" s="184">
      <c r="A363" s="5" t="n"/>
      <c r="B363" s="5" t="n"/>
      <c r="C363" s="5" t="n"/>
      <c r="D363" s="5" t="n"/>
      <c r="E363" s="5" t="n"/>
      <c r="F363" s="5" t="n"/>
      <c r="G363" s="5" t="n"/>
    </row>
    <row r="364" ht="15.75" customHeight="1" s="184">
      <c r="A364" s="5" t="n"/>
      <c r="B364" s="5" t="n"/>
      <c r="C364" s="5" t="n"/>
      <c r="D364" s="5" t="n"/>
      <c r="E364" s="5" t="n"/>
      <c r="F364" s="5" t="n"/>
      <c r="G364" s="5" t="n"/>
    </row>
    <row r="365" ht="15.75" customHeight="1" s="184">
      <c r="A365" s="5" t="n"/>
      <c r="B365" s="5" t="n"/>
      <c r="C365" s="5" t="n"/>
      <c r="D365" s="5" t="n"/>
      <c r="E365" s="5" t="n"/>
      <c r="F365" s="5" t="n"/>
      <c r="G365" s="5" t="n"/>
    </row>
    <row r="366" ht="15.75" customHeight="1" s="184">
      <c r="A366" s="5" t="n"/>
      <c r="B366" s="5" t="n"/>
      <c r="C366" s="5" t="n"/>
      <c r="D366" s="5" t="n"/>
      <c r="E366" s="5" t="n"/>
      <c r="F366" s="5" t="n"/>
      <c r="G366" s="5" t="n"/>
    </row>
    <row r="367" ht="15.75" customHeight="1" s="184">
      <c r="A367" s="5" t="n"/>
      <c r="B367" s="5" t="n"/>
      <c r="C367" s="5" t="n"/>
      <c r="D367" s="5" t="n"/>
      <c r="E367" s="5" t="n"/>
      <c r="F367" s="5" t="n"/>
      <c r="G367" s="5" t="n"/>
    </row>
    <row r="368" ht="15.75" customHeight="1" s="184">
      <c r="A368" s="5" t="n"/>
      <c r="B368" s="5" t="n"/>
      <c r="C368" s="5" t="n"/>
      <c r="D368" s="5" t="n"/>
      <c r="E368" s="5" t="n"/>
      <c r="F368" s="5" t="n"/>
      <c r="G368" s="5" t="n"/>
    </row>
    <row r="369" ht="15.75" customHeight="1" s="184">
      <c r="A369" s="5" t="n"/>
      <c r="B369" s="5" t="n"/>
      <c r="C369" s="5" t="n"/>
      <c r="D369" s="5" t="n"/>
      <c r="E369" s="5" t="n"/>
      <c r="F369" s="5" t="n"/>
      <c r="G369" s="5" t="n"/>
    </row>
    <row r="370" ht="15.75" customHeight="1" s="184">
      <c r="A370" s="5" t="n"/>
      <c r="B370" s="5" t="n"/>
      <c r="C370" s="5" t="n"/>
      <c r="D370" s="5" t="n"/>
      <c r="E370" s="5" t="n"/>
      <c r="F370" s="5" t="n"/>
      <c r="G370" s="5" t="n"/>
    </row>
    <row r="371" ht="15.75" customHeight="1" s="184">
      <c r="A371" s="5" t="n"/>
      <c r="B371" s="5" t="n"/>
      <c r="C371" s="5" t="n"/>
      <c r="D371" s="5" t="n"/>
      <c r="E371" s="5" t="n"/>
      <c r="F371" s="5" t="n"/>
      <c r="G371" s="5" t="n"/>
    </row>
    <row r="372" ht="15.75" customHeight="1" s="184">
      <c r="A372" s="5" t="n"/>
      <c r="B372" s="5" t="n"/>
      <c r="C372" s="5" t="n"/>
      <c r="D372" s="5" t="n"/>
      <c r="E372" s="5" t="n"/>
      <c r="F372" s="5" t="n"/>
      <c r="G372" s="5" t="n"/>
    </row>
    <row r="373" ht="15.75" customHeight="1" s="184">
      <c r="A373" s="5" t="n"/>
      <c r="B373" s="5" t="n"/>
      <c r="C373" s="5" t="n"/>
      <c r="D373" s="5" t="n"/>
      <c r="E373" s="5" t="n"/>
      <c r="F373" s="5" t="n"/>
      <c r="G373" s="5" t="n"/>
    </row>
    <row r="374" ht="15.75" customHeight="1" s="184">
      <c r="A374" s="5" t="n"/>
      <c r="B374" s="5" t="n"/>
      <c r="C374" s="5" t="n"/>
      <c r="D374" s="5" t="n"/>
      <c r="E374" s="5" t="n"/>
      <c r="F374" s="5" t="n"/>
      <c r="G374" s="5" t="n"/>
    </row>
    <row r="375" ht="15.75" customHeight="1" s="184">
      <c r="A375" s="5" t="n"/>
      <c r="B375" s="5" t="n"/>
      <c r="C375" s="5" t="n"/>
      <c r="D375" s="5" t="n"/>
      <c r="E375" s="5" t="n"/>
      <c r="F375" s="5" t="n"/>
      <c r="G375" s="5" t="n"/>
    </row>
    <row r="376" ht="15.75" customHeight="1" s="184">
      <c r="A376" s="5" t="n"/>
      <c r="B376" s="5" t="n"/>
      <c r="C376" s="5" t="n"/>
      <c r="D376" s="5" t="n"/>
      <c r="E376" s="5" t="n"/>
      <c r="F376" s="5" t="n"/>
      <c r="G376" s="5" t="n"/>
    </row>
    <row r="377" ht="15.75" customHeight="1" s="184">
      <c r="A377" s="5" t="n"/>
      <c r="B377" s="5" t="n"/>
      <c r="C377" s="5" t="n"/>
      <c r="D377" s="5" t="n"/>
      <c r="E377" s="5" t="n"/>
      <c r="F377" s="5" t="n"/>
      <c r="G377" s="5" t="n"/>
    </row>
    <row r="378" ht="15.75" customHeight="1" s="184">
      <c r="A378" s="5" t="n"/>
      <c r="B378" s="5" t="n"/>
      <c r="C378" s="5" t="n"/>
      <c r="D378" s="5" t="n"/>
      <c r="E378" s="5" t="n"/>
      <c r="F378" s="5" t="n"/>
      <c r="G378" s="5" t="n"/>
    </row>
    <row r="379" ht="15.75" customHeight="1" s="184">
      <c r="A379" s="5" t="n"/>
      <c r="B379" s="5" t="n"/>
      <c r="C379" s="5" t="n"/>
      <c r="D379" s="5" t="n"/>
      <c r="E379" s="5" t="n"/>
      <c r="F379" s="5" t="n"/>
      <c r="G379" s="5" t="n"/>
    </row>
    <row r="380" ht="15.75" customHeight="1" s="184">
      <c r="A380" s="5" t="n"/>
      <c r="B380" s="5" t="n"/>
      <c r="C380" s="5" t="n"/>
      <c r="D380" s="5" t="n"/>
      <c r="E380" s="5" t="n"/>
      <c r="F380" s="5" t="n"/>
      <c r="G380" s="5" t="n"/>
    </row>
    <row r="381" ht="15.75" customHeight="1" s="184">
      <c r="A381" s="5" t="n"/>
      <c r="B381" s="5" t="n"/>
      <c r="C381" s="5" t="n"/>
      <c r="D381" s="5" t="n"/>
      <c r="E381" s="5" t="n"/>
      <c r="F381" s="5" t="n"/>
      <c r="G381" s="5" t="n"/>
    </row>
    <row r="382" ht="15.75" customHeight="1" s="184">
      <c r="A382" s="5" t="n"/>
      <c r="B382" s="5" t="n"/>
      <c r="C382" s="5" t="n"/>
      <c r="D382" s="5" t="n"/>
      <c r="E382" s="5" t="n"/>
      <c r="F382" s="5" t="n"/>
      <c r="G382" s="5" t="n"/>
    </row>
    <row r="383" ht="15.75" customHeight="1" s="184">
      <c r="A383" s="5" t="n"/>
      <c r="B383" s="5" t="n"/>
      <c r="C383" s="5" t="n"/>
      <c r="D383" s="5" t="n"/>
      <c r="E383" s="5" t="n"/>
      <c r="F383" s="5" t="n"/>
      <c r="G383" s="5" t="n"/>
    </row>
    <row r="384" ht="15.75" customHeight="1" s="184">
      <c r="A384" s="5" t="n"/>
      <c r="B384" s="5" t="n"/>
      <c r="C384" s="5" t="n"/>
      <c r="D384" s="5" t="n"/>
      <c r="E384" s="5" t="n"/>
      <c r="F384" s="5" t="n"/>
      <c r="G384" s="5" t="n"/>
    </row>
    <row r="385" ht="15.75" customHeight="1" s="184">
      <c r="A385" s="5" t="n"/>
      <c r="B385" s="5" t="n"/>
      <c r="C385" s="5" t="n"/>
      <c r="D385" s="5" t="n"/>
      <c r="E385" s="5" t="n"/>
      <c r="F385" s="5" t="n"/>
      <c r="G385" s="5" t="n"/>
    </row>
    <row r="386" ht="15.75" customHeight="1" s="184">
      <c r="A386" s="5" t="n"/>
      <c r="B386" s="5" t="n"/>
      <c r="C386" s="5" t="n"/>
      <c r="D386" s="5" t="n"/>
      <c r="E386" s="5" t="n"/>
      <c r="F386" s="5" t="n"/>
      <c r="G386" s="5" t="n"/>
    </row>
    <row r="387" ht="15.75" customHeight="1" s="184">
      <c r="A387" s="5" t="n"/>
      <c r="B387" s="5" t="n"/>
      <c r="C387" s="5" t="n"/>
      <c r="D387" s="5" t="n"/>
      <c r="E387" s="5" t="n"/>
      <c r="F387" s="5" t="n"/>
      <c r="G387" s="5" t="n"/>
    </row>
    <row r="388" ht="15.75" customHeight="1" s="184">
      <c r="A388" s="5" t="n"/>
      <c r="B388" s="5" t="n"/>
      <c r="C388" s="5" t="n"/>
      <c r="D388" s="5" t="n"/>
      <c r="E388" s="5" t="n"/>
      <c r="F388" s="5" t="n"/>
      <c r="G388" s="5" t="n"/>
    </row>
    <row r="389" ht="15.75" customHeight="1" s="184">
      <c r="A389" s="5" t="n"/>
      <c r="B389" s="5" t="n"/>
      <c r="C389" s="5" t="n"/>
      <c r="D389" s="5" t="n"/>
      <c r="E389" s="5" t="n"/>
      <c r="F389" s="5" t="n"/>
      <c r="G389" s="5" t="n"/>
    </row>
    <row r="390" ht="15.75" customHeight="1" s="184">
      <c r="A390" s="5" t="n"/>
      <c r="B390" s="5" t="n"/>
      <c r="C390" s="5" t="n"/>
      <c r="D390" s="5" t="n"/>
      <c r="E390" s="5" t="n"/>
      <c r="F390" s="5" t="n"/>
      <c r="G390" s="5" t="n"/>
    </row>
    <row r="391" ht="15.75" customHeight="1" s="184">
      <c r="A391" s="5" t="n"/>
      <c r="B391" s="5" t="n"/>
      <c r="C391" s="5" t="n"/>
      <c r="D391" s="5" t="n"/>
      <c r="E391" s="5" t="n"/>
      <c r="F391" s="5" t="n"/>
      <c r="G391" s="5" t="n"/>
    </row>
    <row r="392" ht="15.75" customHeight="1" s="184">
      <c r="A392" s="5" t="n"/>
      <c r="B392" s="5" t="n"/>
      <c r="C392" s="5" t="n"/>
      <c r="D392" s="5" t="n"/>
      <c r="E392" s="5" t="n"/>
      <c r="F392" s="5" t="n"/>
      <c r="G392" s="5" t="n"/>
    </row>
    <row r="393" ht="15.75" customHeight="1" s="184">
      <c r="A393" s="5" t="n"/>
      <c r="B393" s="5" t="n"/>
      <c r="C393" s="5" t="n"/>
      <c r="D393" s="5" t="n"/>
      <c r="E393" s="5" t="n"/>
      <c r="F393" s="5" t="n"/>
      <c r="G393" s="5" t="n"/>
    </row>
    <row r="394" ht="15.75" customHeight="1" s="184">
      <c r="A394" s="5" t="n"/>
      <c r="B394" s="5" t="n"/>
      <c r="C394" s="5" t="n"/>
      <c r="D394" s="5" t="n"/>
      <c r="E394" s="5" t="n"/>
      <c r="F394" s="5" t="n"/>
      <c r="G394" s="5" t="n"/>
    </row>
    <row r="395" ht="15.75" customHeight="1" s="184">
      <c r="A395" s="5" t="n"/>
      <c r="B395" s="5" t="n"/>
      <c r="C395" s="5" t="n"/>
      <c r="D395" s="5" t="n"/>
      <c r="E395" s="5" t="n"/>
      <c r="F395" s="5" t="n"/>
      <c r="G395" s="5" t="n"/>
    </row>
    <row r="396" ht="15.75" customHeight="1" s="184">
      <c r="A396" s="5" t="n"/>
      <c r="B396" s="5" t="n"/>
      <c r="C396" s="5" t="n"/>
      <c r="D396" s="5" t="n"/>
      <c r="E396" s="5" t="n"/>
      <c r="F396" s="5" t="n"/>
      <c r="G396" s="5" t="n"/>
    </row>
    <row r="397" ht="15.75" customHeight="1" s="184">
      <c r="A397" s="5" t="n"/>
      <c r="B397" s="5" t="n"/>
      <c r="C397" s="5" t="n"/>
      <c r="D397" s="5" t="n"/>
      <c r="E397" s="5" t="n"/>
      <c r="F397" s="5" t="n"/>
      <c r="G397" s="5" t="n"/>
    </row>
    <row r="398" ht="15.75" customHeight="1" s="184">
      <c r="A398" s="5" t="n"/>
      <c r="B398" s="5" t="n"/>
      <c r="C398" s="5" t="n"/>
      <c r="D398" s="5" t="n"/>
      <c r="E398" s="5" t="n"/>
      <c r="F398" s="5" t="n"/>
      <c r="G398" s="5" t="n"/>
    </row>
    <row r="399" ht="15.75" customHeight="1" s="184">
      <c r="A399" s="5" t="n"/>
      <c r="B399" s="5" t="n"/>
      <c r="C399" s="5" t="n"/>
      <c r="D399" s="5" t="n"/>
      <c r="E399" s="5" t="n"/>
      <c r="F399" s="5" t="n"/>
      <c r="G399" s="5" t="n"/>
    </row>
    <row r="400" ht="15.75" customHeight="1" s="184">
      <c r="A400" s="5" t="n"/>
      <c r="B400" s="5" t="n"/>
      <c r="C400" s="5" t="n"/>
      <c r="D400" s="5" t="n"/>
      <c r="E400" s="5" t="n"/>
      <c r="F400" s="5" t="n"/>
      <c r="G400" s="5" t="n"/>
    </row>
    <row r="401" ht="15.75" customHeight="1" s="184">
      <c r="A401" s="5" t="n"/>
      <c r="B401" s="5" t="n"/>
      <c r="C401" s="5" t="n"/>
      <c r="D401" s="5" t="n"/>
      <c r="E401" s="5" t="n"/>
      <c r="F401" s="5" t="n"/>
      <c r="G401" s="5" t="n"/>
    </row>
    <row r="402" ht="15.75" customHeight="1" s="184">
      <c r="A402" s="5" t="n"/>
      <c r="B402" s="5" t="n"/>
      <c r="C402" s="5" t="n"/>
      <c r="D402" s="5" t="n"/>
      <c r="E402" s="5" t="n"/>
      <c r="F402" s="5" t="n"/>
      <c r="G402" s="5" t="n"/>
    </row>
    <row r="403" ht="15.75" customHeight="1" s="184">
      <c r="A403" s="5" t="n"/>
      <c r="B403" s="5" t="n"/>
      <c r="C403" s="5" t="n"/>
      <c r="D403" s="5" t="n"/>
      <c r="E403" s="5" t="n"/>
      <c r="F403" s="5" t="n"/>
      <c r="G403" s="5" t="n"/>
    </row>
    <row r="404" ht="15.75" customHeight="1" s="184">
      <c r="A404" s="5" t="n"/>
      <c r="B404" s="5" t="n"/>
      <c r="C404" s="5" t="n"/>
      <c r="D404" s="5" t="n"/>
      <c r="E404" s="5" t="n"/>
      <c r="F404" s="5" t="n"/>
      <c r="G404" s="5" t="n"/>
    </row>
    <row r="405" ht="15.75" customHeight="1" s="184">
      <c r="A405" s="5" t="n"/>
      <c r="B405" s="5" t="n"/>
      <c r="C405" s="5" t="n"/>
      <c r="D405" s="5" t="n"/>
      <c r="E405" s="5" t="n"/>
      <c r="F405" s="5" t="n"/>
      <c r="G405" s="5" t="n"/>
    </row>
    <row r="406" ht="15.75" customHeight="1" s="184">
      <c r="A406" s="5" t="n"/>
      <c r="B406" s="5" t="n"/>
      <c r="C406" s="5" t="n"/>
      <c r="D406" s="5" t="n"/>
      <c r="E406" s="5" t="n"/>
      <c r="F406" s="5" t="n"/>
      <c r="G406" s="5" t="n"/>
    </row>
    <row r="407" ht="15.75" customHeight="1" s="184">
      <c r="A407" s="5" t="n"/>
      <c r="B407" s="5" t="n"/>
      <c r="C407" s="5" t="n"/>
      <c r="D407" s="5" t="n"/>
      <c r="E407" s="5" t="n"/>
      <c r="F407" s="5" t="n"/>
      <c r="G407" s="5" t="n"/>
    </row>
    <row r="408" ht="15.75" customHeight="1" s="184">
      <c r="A408" s="5" t="n"/>
      <c r="B408" s="5" t="n"/>
      <c r="C408" s="5" t="n"/>
      <c r="D408" s="5" t="n"/>
      <c r="E408" s="5" t="n"/>
      <c r="F408" s="5" t="n"/>
      <c r="G408" s="5" t="n"/>
    </row>
    <row r="409" ht="15.75" customHeight="1" s="184">
      <c r="A409" s="5" t="n"/>
      <c r="B409" s="5" t="n"/>
      <c r="C409" s="5" t="n"/>
      <c r="D409" s="5" t="n"/>
      <c r="E409" s="5" t="n"/>
      <c r="F409" s="5" t="n"/>
      <c r="G409" s="5" t="n"/>
    </row>
    <row r="410" ht="15.75" customHeight="1" s="184">
      <c r="A410" s="5" t="n"/>
      <c r="B410" s="5" t="n"/>
      <c r="C410" s="5" t="n"/>
      <c r="D410" s="5" t="n"/>
      <c r="E410" s="5" t="n"/>
      <c r="F410" s="5" t="n"/>
      <c r="G410" s="5" t="n"/>
    </row>
    <row r="411" ht="15.75" customHeight="1" s="184">
      <c r="A411" s="5" t="n"/>
      <c r="B411" s="5" t="n"/>
      <c r="C411" s="5" t="n"/>
      <c r="D411" s="5" t="n"/>
      <c r="E411" s="5" t="n"/>
      <c r="F411" s="5" t="n"/>
      <c r="G411" s="5" t="n"/>
    </row>
    <row r="412" ht="15.75" customHeight="1" s="184">
      <c r="A412" s="5" t="n"/>
      <c r="B412" s="5" t="n"/>
      <c r="C412" s="5" t="n"/>
      <c r="D412" s="5" t="n"/>
      <c r="E412" s="5" t="n"/>
      <c r="F412" s="5" t="n"/>
      <c r="G412" s="5" t="n"/>
    </row>
    <row r="413" ht="15.75" customHeight="1" s="184">
      <c r="A413" s="5" t="n"/>
      <c r="B413" s="5" t="n"/>
      <c r="C413" s="5" t="n"/>
      <c r="D413" s="5" t="n"/>
      <c r="E413" s="5" t="n"/>
      <c r="F413" s="5" t="n"/>
      <c r="G413" s="5" t="n"/>
    </row>
    <row r="414" ht="15.75" customHeight="1" s="184">
      <c r="A414" s="5" t="n"/>
      <c r="B414" s="5" t="n"/>
      <c r="C414" s="5" t="n"/>
      <c r="D414" s="5" t="n"/>
      <c r="E414" s="5" t="n"/>
      <c r="F414" s="5" t="n"/>
      <c r="G414" s="5" t="n"/>
    </row>
    <row r="415" ht="15.75" customHeight="1" s="184">
      <c r="A415" s="5" t="n"/>
      <c r="B415" s="5" t="n"/>
      <c r="C415" s="5" t="n"/>
      <c r="D415" s="5" t="n"/>
      <c r="E415" s="5" t="n"/>
      <c r="F415" s="5" t="n"/>
      <c r="G415" s="5" t="n"/>
    </row>
    <row r="416" ht="15.75" customHeight="1" s="184">
      <c r="A416" s="5" t="n"/>
      <c r="B416" s="5" t="n"/>
      <c r="C416" s="5" t="n"/>
      <c r="D416" s="5" t="n"/>
      <c r="E416" s="5" t="n"/>
      <c r="F416" s="5" t="n"/>
      <c r="G416" s="5" t="n"/>
    </row>
    <row r="417" ht="15.75" customHeight="1" s="184">
      <c r="A417" s="5" t="n"/>
      <c r="B417" s="5" t="n"/>
      <c r="C417" s="5" t="n"/>
      <c r="D417" s="5" t="n"/>
      <c r="E417" s="5" t="n"/>
      <c r="F417" s="5" t="n"/>
      <c r="G417" s="5" t="n"/>
    </row>
    <row r="418" ht="15.75" customHeight="1" s="184">
      <c r="A418" s="5" t="n"/>
      <c r="B418" s="5" t="n"/>
      <c r="C418" s="5" t="n"/>
      <c r="D418" s="5" t="n"/>
      <c r="E418" s="5" t="n"/>
      <c r="F418" s="5" t="n"/>
      <c r="G418" s="5" t="n"/>
    </row>
    <row r="419" ht="15.75" customHeight="1" s="184">
      <c r="A419" s="5" t="n"/>
      <c r="B419" s="5" t="n"/>
      <c r="C419" s="5" t="n"/>
      <c r="D419" s="5" t="n"/>
      <c r="E419" s="5" t="n"/>
      <c r="F419" s="5" t="n"/>
      <c r="G419" s="5" t="n"/>
    </row>
    <row r="420" ht="15.75" customHeight="1" s="184">
      <c r="A420" s="5" t="n"/>
      <c r="B420" s="5" t="n"/>
      <c r="C420" s="5" t="n"/>
      <c r="D420" s="5" t="n"/>
      <c r="E420" s="5" t="n"/>
      <c r="F420" s="5" t="n"/>
      <c r="G420" s="5" t="n"/>
    </row>
    <row r="421" ht="15.75" customHeight="1" s="184">
      <c r="A421" s="5" t="n"/>
      <c r="B421" s="5" t="n"/>
      <c r="C421" s="5" t="n"/>
      <c r="D421" s="5" t="n"/>
      <c r="E421" s="5" t="n"/>
      <c r="F421" s="5" t="n"/>
      <c r="G421" s="5" t="n"/>
    </row>
    <row r="422" ht="15.75" customHeight="1" s="184">
      <c r="A422" s="5" t="n"/>
      <c r="B422" s="5" t="n"/>
      <c r="C422" s="5" t="n"/>
      <c r="D422" s="5" t="n"/>
      <c r="E422" s="5" t="n"/>
      <c r="F422" s="5" t="n"/>
      <c r="G422" s="5" t="n"/>
    </row>
    <row r="423" ht="15.75" customHeight="1" s="184">
      <c r="A423" s="5" t="n"/>
      <c r="B423" s="5" t="n"/>
      <c r="C423" s="5" t="n"/>
      <c r="D423" s="5" t="n"/>
      <c r="E423" s="5" t="n"/>
      <c r="F423" s="5" t="n"/>
      <c r="G423" s="5" t="n"/>
    </row>
    <row r="424" ht="15.75" customHeight="1" s="184">
      <c r="A424" s="5" t="n"/>
      <c r="B424" s="5" t="n"/>
      <c r="C424" s="5" t="n"/>
      <c r="D424" s="5" t="n"/>
      <c r="E424" s="5" t="n"/>
      <c r="F424" s="5" t="n"/>
      <c r="G424" s="5" t="n"/>
    </row>
    <row r="425" ht="15.75" customHeight="1" s="184">
      <c r="A425" s="5" t="n"/>
      <c r="B425" s="5" t="n"/>
      <c r="C425" s="5" t="n"/>
      <c r="D425" s="5" t="n"/>
      <c r="E425" s="5" t="n"/>
      <c r="F425" s="5" t="n"/>
      <c r="G425" s="5" t="n"/>
    </row>
    <row r="426" ht="15.75" customHeight="1" s="184">
      <c r="A426" s="5" t="n"/>
      <c r="B426" s="5" t="n"/>
      <c r="C426" s="5" t="n"/>
      <c r="D426" s="5" t="n"/>
      <c r="E426" s="5" t="n"/>
      <c r="F426" s="5" t="n"/>
      <c r="G426" s="5" t="n"/>
    </row>
    <row r="427" ht="15.75" customHeight="1" s="184">
      <c r="A427" s="5" t="n"/>
      <c r="B427" s="5" t="n"/>
      <c r="C427" s="5" t="n"/>
      <c r="D427" s="5" t="n"/>
      <c r="E427" s="5" t="n"/>
      <c r="F427" s="5" t="n"/>
      <c r="G427" s="5" t="n"/>
    </row>
    <row r="428" ht="15.75" customHeight="1" s="184">
      <c r="A428" s="5" t="n"/>
      <c r="B428" s="5" t="n"/>
      <c r="C428" s="5" t="n"/>
      <c r="D428" s="5" t="n"/>
      <c r="E428" s="5" t="n"/>
      <c r="F428" s="5" t="n"/>
      <c r="G428" s="5" t="n"/>
    </row>
    <row r="429" ht="15.75" customHeight="1" s="184">
      <c r="A429" s="5" t="n"/>
      <c r="B429" s="5" t="n"/>
      <c r="C429" s="5" t="n"/>
      <c r="D429" s="5" t="n"/>
      <c r="E429" s="5" t="n"/>
      <c r="F429" s="5" t="n"/>
      <c r="G429" s="5" t="n"/>
    </row>
    <row r="430" ht="15.75" customHeight="1" s="184">
      <c r="A430" s="5" t="n"/>
      <c r="B430" s="5" t="n"/>
      <c r="C430" s="5" t="n"/>
      <c r="D430" s="5" t="n"/>
      <c r="E430" s="5" t="n"/>
      <c r="F430" s="5" t="n"/>
      <c r="G430" s="5" t="n"/>
    </row>
    <row r="431" ht="15.75" customHeight="1" s="184">
      <c r="A431" s="5" t="n"/>
      <c r="B431" s="5" t="n"/>
      <c r="C431" s="5" t="n"/>
      <c r="D431" s="5" t="n"/>
      <c r="E431" s="5" t="n"/>
      <c r="F431" s="5" t="n"/>
      <c r="G431" s="5" t="n"/>
    </row>
    <row r="432" ht="15.75" customHeight="1" s="184">
      <c r="A432" s="5" t="n"/>
      <c r="B432" s="5" t="n"/>
      <c r="C432" s="5" t="n"/>
      <c r="D432" s="5" t="n"/>
      <c r="E432" s="5" t="n"/>
      <c r="F432" s="5" t="n"/>
      <c r="G432" s="5" t="n"/>
    </row>
    <row r="433" ht="15.75" customHeight="1" s="184">
      <c r="A433" s="5" t="n"/>
      <c r="B433" s="5" t="n"/>
      <c r="C433" s="5" t="n"/>
      <c r="D433" s="5" t="n"/>
      <c r="E433" s="5" t="n"/>
      <c r="F433" s="5" t="n"/>
      <c r="G433" s="5" t="n"/>
    </row>
    <row r="434" ht="15.75" customHeight="1" s="184">
      <c r="A434" s="5" t="n"/>
      <c r="B434" s="5" t="n"/>
      <c r="C434" s="5" t="n"/>
      <c r="D434" s="5" t="n"/>
      <c r="E434" s="5" t="n"/>
      <c r="F434" s="5" t="n"/>
      <c r="G434" s="5" t="n"/>
    </row>
    <row r="435" ht="15.75" customHeight="1" s="184">
      <c r="A435" s="5" t="n"/>
      <c r="B435" s="5" t="n"/>
      <c r="C435" s="5" t="n"/>
      <c r="D435" s="5" t="n"/>
      <c r="E435" s="5" t="n"/>
      <c r="F435" s="5" t="n"/>
      <c r="G435" s="5" t="n"/>
    </row>
    <row r="436" ht="15.75" customHeight="1" s="184">
      <c r="A436" s="5" t="n"/>
      <c r="B436" s="5" t="n"/>
      <c r="C436" s="5" t="n"/>
      <c r="D436" s="5" t="n"/>
      <c r="E436" s="5" t="n"/>
      <c r="F436" s="5" t="n"/>
      <c r="G436" s="5" t="n"/>
    </row>
    <row r="437" ht="15.75" customHeight="1" s="184">
      <c r="A437" s="5" t="n"/>
      <c r="B437" s="5" t="n"/>
      <c r="C437" s="5" t="n"/>
      <c r="D437" s="5" t="n"/>
      <c r="E437" s="5" t="n"/>
      <c r="F437" s="5" t="n"/>
      <c r="G437" s="5" t="n"/>
    </row>
    <row r="438" ht="15.75" customHeight="1" s="184">
      <c r="A438" s="5" t="n"/>
      <c r="B438" s="5" t="n"/>
      <c r="C438" s="5" t="n"/>
      <c r="D438" s="5" t="n"/>
      <c r="E438" s="5" t="n"/>
      <c r="F438" s="5" t="n"/>
      <c r="G438" s="5" t="n"/>
    </row>
    <row r="439" ht="15.75" customHeight="1" s="184">
      <c r="A439" s="5" t="n"/>
      <c r="B439" s="5" t="n"/>
      <c r="C439" s="5" t="n"/>
      <c r="D439" s="5" t="n"/>
      <c r="E439" s="5" t="n"/>
      <c r="F439" s="5" t="n"/>
      <c r="G439" s="5" t="n"/>
    </row>
    <row r="440" ht="15.75" customHeight="1" s="184">
      <c r="A440" s="5" t="n"/>
      <c r="B440" s="5" t="n"/>
      <c r="C440" s="5" t="n"/>
      <c r="D440" s="5" t="n"/>
      <c r="E440" s="5" t="n"/>
      <c r="F440" s="5" t="n"/>
      <c r="G440" s="5" t="n"/>
    </row>
    <row r="441" ht="15.75" customHeight="1" s="184">
      <c r="A441" s="5" t="n"/>
      <c r="B441" s="5" t="n"/>
      <c r="C441" s="5" t="n"/>
      <c r="D441" s="5" t="n"/>
      <c r="E441" s="5" t="n"/>
      <c r="F441" s="5" t="n"/>
      <c r="G441" s="5" t="n"/>
    </row>
    <row r="442" ht="15.75" customHeight="1" s="184">
      <c r="A442" s="5" t="n"/>
      <c r="B442" s="5" t="n"/>
      <c r="C442" s="5" t="n"/>
      <c r="D442" s="5" t="n"/>
      <c r="E442" s="5" t="n"/>
      <c r="F442" s="5" t="n"/>
      <c r="G442" s="5" t="n"/>
    </row>
    <row r="443" ht="15.75" customHeight="1" s="184">
      <c r="A443" s="5" t="n"/>
      <c r="B443" s="5" t="n"/>
      <c r="C443" s="5" t="n"/>
      <c r="D443" s="5" t="n"/>
      <c r="E443" s="5" t="n"/>
      <c r="F443" s="5" t="n"/>
      <c r="G443" s="5" t="n"/>
    </row>
    <row r="444" ht="15.75" customHeight="1" s="184">
      <c r="A444" s="5" t="n"/>
      <c r="B444" s="5" t="n"/>
      <c r="C444" s="5" t="n"/>
      <c r="D444" s="5" t="n"/>
      <c r="E444" s="5" t="n"/>
      <c r="F444" s="5" t="n"/>
      <c r="G444" s="5" t="n"/>
    </row>
    <row r="445" ht="15.75" customHeight="1" s="184">
      <c r="A445" s="5" t="n"/>
      <c r="B445" s="5" t="n"/>
      <c r="C445" s="5" t="n"/>
      <c r="D445" s="5" t="n"/>
      <c r="E445" s="5" t="n"/>
      <c r="F445" s="5" t="n"/>
      <c r="G445" s="5" t="n"/>
    </row>
    <row r="446" ht="15.75" customHeight="1" s="184">
      <c r="A446" s="5" t="n"/>
      <c r="B446" s="5" t="n"/>
      <c r="C446" s="5" t="n"/>
      <c r="D446" s="5" t="n"/>
      <c r="E446" s="5" t="n"/>
      <c r="F446" s="5" t="n"/>
      <c r="G446" s="5" t="n"/>
    </row>
    <row r="447" ht="15.75" customHeight="1" s="184">
      <c r="A447" s="5" t="n"/>
      <c r="B447" s="5" t="n"/>
      <c r="C447" s="5" t="n"/>
      <c r="D447" s="5" t="n"/>
      <c r="E447" s="5" t="n"/>
      <c r="F447" s="5" t="n"/>
      <c r="G447" s="5" t="n"/>
    </row>
    <row r="448" ht="15.75" customHeight="1" s="184">
      <c r="A448" s="5" t="n"/>
      <c r="B448" s="5" t="n"/>
      <c r="C448" s="5" t="n"/>
      <c r="D448" s="5" t="n"/>
      <c r="E448" s="5" t="n"/>
      <c r="F448" s="5" t="n"/>
      <c r="G448" s="5" t="n"/>
    </row>
    <row r="449" ht="15.75" customHeight="1" s="184">
      <c r="A449" s="5" t="n"/>
      <c r="B449" s="5" t="n"/>
      <c r="C449" s="5" t="n"/>
      <c r="D449" s="5" t="n"/>
      <c r="E449" s="5" t="n"/>
      <c r="F449" s="5" t="n"/>
      <c r="G449" s="5" t="n"/>
    </row>
    <row r="450" ht="15.75" customHeight="1" s="184">
      <c r="A450" s="5" t="n"/>
      <c r="B450" s="5" t="n"/>
      <c r="C450" s="5" t="n"/>
      <c r="D450" s="5" t="n"/>
      <c r="E450" s="5" t="n"/>
      <c r="F450" s="5" t="n"/>
      <c r="G450" s="5" t="n"/>
    </row>
    <row r="451" ht="15.75" customHeight="1" s="184">
      <c r="A451" s="5" t="n"/>
      <c r="B451" s="5" t="n"/>
      <c r="C451" s="5" t="n"/>
      <c r="D451" s="5" t="n"/>
      <c r="E451" s="5" t="n"/>
      <c r="F451" s="5" t="n"/>
      <c r="G451" s="5" t="n"/>
    </row>
    <row r="452" ht="15.75" customHeight="1" s="184">
      <c r="A452" s="5" t="n"/>
      <c r="B452" s="5" t="n"/>
      <c r="C452" s="5" t="n"/>
      <c r="D452" s="5" t="n"/>
      <c r="E452" s="5" t="n"/>
      <c r="F452" s="5" t="n"/>
      <c r="G452" s="5" t="n"/>
    </row>
    <row r="453" ht="15.75" customHeight="1" s="184">
      <c r="A453" s="5" t="n"/>
      <c r="B453" s="5" t="n"/>
      <c r="C453" s="5" t="n"/>
      <c r="D453" s="5" t="n"/>
      <c r="E453" s="5" t="n"/>
      <c r="F453" s="5" t="n"/>
      <c r="G453" s="5" t="n"/>
    </row>
    <row r="454" ht="15.75" customHeight="1" s="184">
      <c r="A454" s="5" t="n"/>
      <c r="B454" s="5" t="n"/>
      <c r="C454" s="5" t="n"/>
      <c r="D454" s="5" t="n"/>
      <c r="E454" s="5" t="n"/>
      <c r="F454" s="5" t="n"/>
      <c r="G454" s="5" t="n"/>
    </row>
    <row r="455" ht="15.75" customHeight="1" s="184">
      <c r="A455" s="5" t="n"/>
      <c r="B455" s="5" t="n"/>
      <c r="C455" s="5" t="n"/>
      <c r="D455" s="5" t="n"/>
      <c r="E455" s="5" t="n"/>
      <c r="F455" s="5" t="n"/>
      <c r="G455" s="5" t="n"/>
    </row>
    <row r="456" ht="15.75" customHeight="1" s="184">
      <c r="A456" s="5" t="n"/>
      <c r="B456" s="5" t="n"/>
      <c r="C456" s="5" t="n"/>
      <c r="D456" s="5" t="n"/>
      <c r="E456" s="5" t="n"/>
      <c r="F456" s="5" t="n"/>
      <c r="G456" s="5" t="n"/>
    </row>
    <row r="457" ht="15.75" customHeight="1" s="184">
      <c r="A457" s="5" t="n"/>
      <c r="B457" s="5" t="n"/>
      <c r="C457" s="5" t="n"/>
      <c r="D457" s="5" t="n"/>
      <c r="E457" s="5" t="n"/>
      <c r="F457" s="5" t="n"/>
      <c r="G457" s="5" t="n"/>
    </row>
    <row r="458" ht="15.75" customHeight="1" s="184">
      <c r="A458" s="5" t="n"/>
      <c r="B458" s="5" t="n"/>
      <c r="C458" s="5" t="n"/>
      <c r="D458" s="5" t="n"/>
      <c r="E458" s="5" t="n"/>
      <c r="F458" s="5" t="n"/>
      <c r="G458" s="5" t="n"/>
    </row>
    <row r="459" ht="15.75" customHeight="1" s="184">
      <c r="A459" s="5" t="n"/>
      <c r="B459" s="5" t="n"/>
      <c r="C459" s="5" t="n"/>
      <c r="D459" s="5" t="n"/>
      <c r="E459" s="5" t="n"/>
      <c r="F459" s="5" t="n"/>
      <c r="G459" s="5" t="n"/>
    </row>
    <row r="460" ht="15.75" customHeight="1" s="184">
      <c r="A460" s="5" t="n"/>
      <c r="B460" s="5" t="n"/>
      <c r="C460" s="5" t="n"/>
      <c r="D460" s="5" t="n"/>
      <c r="E460" s="5" t="n"/>
      <c r="F460" s="5" t="n"/>
      <c r="G460" s="5" t="n"/>
    </row>
    <row r="461" ht="15.75" customHeight="1" s="184">
      <c r="A461" s="5" t="n"/>
      <c r="B461" s="5" t="n"/>
      <c r="C461" s="5" t="n"/>
      <c r="D461" s="5" t="n"/>
      <c r="E461" s="5" t="n"/>
      <c r="F461" s="5" t="n"/>
      <c r="G461" s="5" t="n"/>
    </row>
    <row r="462" ht="15.75" customHeight="1" s="184">
      <c r="A462" s="5" t="n"/>
      <c r="B462" s="5" t="n"/>
      <c r="C462" s="5" t="n"/>
      <c r="D462" s="5" t="n"/>
      <c r="E462" s="5" t="n"/>
      <c r="F462" s="5" t="n"/>
      <c r="G462" s="5" t="n"/>
    </row>
    <row r="463" ht="15.75" customHeight="1" s="184">
      <c r="A463" s="5" t="n"/>
      <c r="B463" s="5" t="n"/>
      <c r="C463" s="5" t="n"/>
      <c r="D463" s="5" t="n"/>
      <c r="E463" s="5" t="n"/>
      <c r="F463" s="5" t="n"/>
      <c r="G463" s="5" t="n"/>
    </row>
    <row r="464" ht="15.75" customHeight="1" s="184">
      <c r="A464" s="5" t="n"/>
      <c r="B464" s="5" t="n"/>
      <c r="C464" s="5" t="n"/>
      <c r="D464" s="5" t="n"/>
      <c r="E464" s="5" t="n"/>
      <c r="F464" s="5" t="n"/>
      <c r="G464" s="5" t="n"/>
    </row>
    <row r="465" ht="15.75" customHeight="1" s="184">
      <c r="A465" s="5" t="n"/>
      <c r="B465" s="5" t="n"/>
      <c r="C465" s="5" t="n"/>
      <c r="D465" s="5" t="n"/>
      <c r="E465" s="5" t="n"/>
      <c r="F465" s="5" t="n"/>
      <c r="G465" s="5" t="n"/>
    </row>
    <row r="466" ht="15.75" customHeight="1" s="184">
      <c r="A466" s="5" t="n"/>
      <c r="B466" s="5" t="n"/>
      <c r="C466" s="5" t="n"/>
      <c r="D466" s="5" t="n"/>
      <c r="E466" s="5" t="n"/>
      <c r="F466" s="5" t="n"/>
      <c r="G466" s="5" t="n"/>
    </row>
    <row r="467" ht="15.75" customHeight="1" s="184">
      <c r="A467" s="5" t="n"/>
      <c r="B467" s="5" t="n"/>
      <c r="C467" s="5" t="n"/>
      <c r="D467" s="5" t="n"/>
      <c r="E467" s="5" t="n"/>
      <c r="F467" s="5" t="n"/>
      <c r="G467" s="5" t="n"/>
    </row>
    <row r="468" ht="15.75" customHeight="1" s="184">
      <c r="A468" s="5" t="n"/>
      <c r="B468" s="5" t="n"/>
      <c r="C468" s="5" t="n"/>
      <c r="D468" s="5" t="n"/>
      <c r="E468" s="5" t="n"/>
      <c r="F468" s="5" t="n"/>
      <c r="G468" s="5" t="n"/>
    </row>
    <row r="469" ht="15.75" customHeight="1" s="184">
      <c r="A469" s="5" t="n"/>
      <c r="B469" s="5" t="n"/>
      <c r="C469" s="5" t="n"/>
      <c r="D469" s="5" t="n"/>
      <c r="E469" s="5" t="n"/>
      <c r="F469" s="5" t="n"/>
      <c r="G469" s="5" t="n"/>
    </row>
    <row r="470" ht="15.75" customHeight="1" s="184">
      <c r="A470" s="5" t="n"/>
      <c r="B470" s="5" t="n"/>
      <c r="C470" s="5" t="n"/>
      <c r="D470" s="5" t="n"/>
      <c r="E470" s="5" t="n"/>
      <c r="F470" s="5" t="n"/>
      <c r="G470" s="5" t="n"/>
    </row>
    <row r="471" ht="15.75" customHeight="1" s="184">
      <c r="A471" s="5" t="n"/>
      <c r="B471" s="5" t="n"/>
      <c r="C471" s="5" t="n"/>
      <c r="D471" s="5" t="n"/>
      <c r="E471" s="5" t="n"/>
      <c r="F471" s="5" t="n"/>
      <c r="G471" s="5" t="n"/>
    </row>
    <row r="472" ht="15.75" customHeight="1" s="184">
      <c r="A472" s="5" t="n"/>
      <c r="B472" s="5" t="n"/>
      <c r="C472" s="5" t="n"/>
      <c r="D472" s="5" t="n"/>
      <c r="E472" s="5" t="n"/>
      <c r="F472" s="5" t="n"/>
      <c r="G472" s="5" t="n"/>
    </row>
    <row r="473" ht="15.75" customHeight="1" s="184">
      <c r="A473" s="5" t="n"/>
      <c r="B473" s="5" t="n"/>
      <c r="C473" s="5" t="n"/>
      <c r="D473" s="5" t="n"/>
      <c r="E473" s="5" t="n"/>
      <c r="F473" s="5" t="n"/>
      <c r="G473" s="5" t="n"/>
    </row>
    <row r="474" ht="15.75" customHeight="1" s="184">
      <c r="A474" s="5" t="n"/>
      <c r="B474" s="5" t="n"/>
      <c r="C474" s="5" t="n"/>
      <c r="D474" s="5" t="n"/>
      <c r="E474" s="5" t="n"/>
      <c r="F474" s="5" t="n"/>
      <c r="G474" s="5" t="n"/>
    </row>
    <row r="475" ht="15.75" customHeight="1" s="184">
      <c r="A475" s="5" t="n"/>
      <c r="B475" s="5" t="n"/>
      <c r="C475" s="5" t="n"/>
      <c r="D475" s="5" t="n"/>
      <c r="E475" s="5" t="n"/>
      <c r="F475" s="5" t="n"/>
      <c r="G475" s="5" t="n"/>
    </row>
    <row r="476" ht="15.75" customHeight="1" s="184">
      <c r="A476" s="5" t="n"/>
      <c r="B476" s="5" t="n"/>
      <c r="C476" s="5" t="n"/>
      <c r="D476" s="5" t="n"/>
      <c r="E476" s="5" t="n"/>
      <c r="F476" s="5" t="n"/>
      <c r="G476" s="5" t="n"/>
    </row>
    <row r="477" ht="15.75" customHeight="1" s="184">
      <c r="A477" s="5" t="n"/>
      <c r="B477" s="5" t="n"/>
      <c r="C477" s="5" t="n"/>
      <c r="D477" s="5" t="n"/>
      <c r="E477" s="5" t="n"/>
      <c r="F477" s="5" t="n"/>
      <c r="G477" s="5" t="n"/>
    </row>
    <row r="478" ht="15.75" customHeight="1" s="184">
      <c r="A478" s="5" t="n"/>
      <c r="B478" s="5" t="n"/>
      <c r="C478" s="5" t="n"/>
      <c r="D478" s="5" t="n"/>
      <c r="E478" s="5" t="n"/>
      <c r="F478" s="5" t="n"/>
      <c r="G478" s="5" t="n"/>
    </row>
    <row r="479" ht="15.75" customHeight="1" s="184">
      <c r="A479" s="5" t="n"/>
      <c r="B479" s="5" t="n"/>
      <c r="C479" s="5" t="n"/>
      <c r="D479" s="5" t="n"/>
      <c r="E479" s="5" t="n"/>
      <c r="F479" s="5" t="n"/>
      <c r="G479" s="5" t="n"/>
    </row>
    <row r="480" ht="15.75" customHeight="1" s="184">
      <c r="A480" s="5" t="n"/>
      <c r="B480" s="5" t="n"/>
      <c r="C480" s="5" t="n"/>
      <c r="D480" s="5" t="n"/>
      <c r="E480" s="5" t="n"/>
      <c r="F480" s="5" t="n"/>
      <c r="G480" s="5" t="n"/>
    </row>
    <row r="481" ht="15.75" customHeight="1" s="184">
      <c r="A481" s="5" t="n"/>
      <c r="B481" s="5" t="n"/>
      <c r="C481" s="5" t="n"/>
      <c r="D481" s="5" t="n"/>
      <c r="E481" s="5" t="n"/>
      <c r="F481" s="5" t="n"/>
      <c r="G481" s="5" t="n"/>
    </row>
    <row r="482" ht="15.75" customHeight="1" s="184">
      <c r="A482" s="5" t="n"/>
      <c r="B482" s="5" t="n"/>
      <c r="C482" s="5" t="n"/>
      <c r="D482" s="5" t="n"/>
      <c r="E482" s="5" t="n"/>
      <c r="F482" s="5" t="n"/>
      <c r="G482" s="5" t="n"/>
    </row>
    <row r="483" ht="15.75" customHeight="1" s="184">
      <c r="A483" s="5" t="n"/>
      <c r="B483" s="5" t="n"/>
      <c r="C483" s="5" t="n"/>
      <c r="D483" s="5" t="n"/>
      <c r="E483" s="5" t="n"/>
      <c r="F483" s="5" t="n"/>
      <c r="G483" s="5" t="n"/>
    </row>
    <row r="484" ht="15.75" customHeight="1" s="184">
      <c r="A484" s="5" t="n"/>
      <c r="B484" s="5" t="n"/>
      <c r="C484" s="5" t="n"/>
      <c r="D484" s="5" t="n"/>
      <c r="E484" s="5" t="n"/>
      <c r="F484" s="5" t="n"/>
      <c r="G484" s="5" t="n"/>
    </row>
    <row r="485" ht="15.75" customHeight="1" s="184">
      <c r="A485" s="5" t="n"/>
      <c r="B485" s="5" t="n"/>
      <c r="C485" s="5" t="n"/>
      <c r="D485" s="5" t="n"/>
      <c r="E485" s="5" t="n"/>
      <c r="F485" s="5" t="n"/>
      <c r="G485" s="5" t="n"/>
    </row>
    <row r="486" ht="15.75" customHeight="1" s="184">
      <c r="A486" s="5" t="n"/>
      <c r="B486" s="5" t="n"/>
      <c r="C486" s="5" t="n"/>
      <c r="D486" s="5" t="n"/>
      <c r="E486" s="5" t="n"/>
      <c r="F486" s="5" t="n"/>
      <c r="G486" s="5" t="n"/>
    </row>
    <row r="487" ht="15.75" customHeight="1" s="184">
      <c r="A487" s="5" t="n"/>
      <c r="B487" s="5" t="n"/>
      <c r="C487" s="5" t="n"/>
      <c r="D487" s="5" t="n"/>
      <c r="E487" s="5" t="n"/>
      <c r="F487" s="5" t="n"/>
      <c r="G487" s="5" t="n"/>
    </row>
    <row r="488" ht="15.75" customHeight="1" s="184">
      <c r="A488" s="5" t="n"/>
      <c r="B488" s="5" t="n"/>
      <c r="C488" s="5" t="n"/>
      <c r="D488" s="5" t="n"/>
      <c r="E488" s="5" t="n"/>
      <c r="F488" s="5" t="n"/>
      <c r="G488" s="5" t="n"/>
    </row>
    <row r="489" ht="15.75" customHeight="1" s="184">
      <c r="A489" s="5" t="n"/>
      <c r="B489" s="5" t="n"/>
      <c r="C489" s="5" t="n"/>
      <c r="D489" s="5" t="n"/>
      <c r="E489" s="5" t="n"/>
      <c r="F489" s="5" t="n"/>
      <c r="G489" s="5" t="n"/>
    </row>
    <row r="490" ht="15.75" customHeight="1" s="184">
      <c r="A490" s="5" t="n"/>
      <c r="B490" s="5" t="n"/>
      <c r="C490" s="5" t="n"/>
      <c r="D490" s="5" t="n"/>
      <c r="E490" s="5" t="n"/>
      <c r="F490" s="5" t="n"/>
      <c r="G490" s="5" t="n"/>
    </row>
    <row r="491" ht="15.75" customHeight="1" s="184">
      <c r="A491" s="5" t="n"/>
      <c r="B491" s="5" t="n"/>
      <c r="C491" s="5" t="n"/>
      <c r="D491" s="5" t="n"/>
      <c r="E491" s="5" t="n"/>
      <c r="F491" s="5" t="n"/>
      <c r="G491" s="5" t="n"/>
    </row>
    <row r="492" ht="15.75" customHeight="1" s="184">
      <c r="A492" s="5" t="n"/>
      <c r="B492" s="5" t="n"/>
      <c r="C492" s="5" t="n"/>
      <c r="D492" s="5" t="n"/>
      <c r="E492" s="5" t="n"/>
      <c r="F492" s="5" t="n"/>
      <c r="G492" s="5" t="n"/>
    </row>
    <row r="493" ht="15.75" customHeight="1" s="184">
      <c r="A493" s="5" t="n"/>
      <c r="B493" s="5" t="n"/>
      <c r="C493" s="5" t="n"/>
      <c r="D493" s="5" t="n"/>
      <c r="E493" s="5" t="n"/>
      <c r="F493" s="5" t="n"/>
      <c r="G493" s="5" t="n"/>
    </row>
    <row r="494" ht="15.75" customHeight="1" s="184">
      <c r="A494" s="5" t="n"/>
      <c r="B494" s="5" t="n"/>
      <c r="C494" s="5" t="n"/>
      <c r="D494" s="5" t="n"/>
      <c r="E494" s="5" t="n"/>
      <c r="F494" s="5" t="n"/>
      <c r="G494" s="5" t="n"/>
    </row>
    <row r="495" ht="15.75" customHeight="1" s="184">
      <c r="A495" s="5" t="n"/>
      <c r="B495" s="5" t="n"/>
      <c r="C495" s="5" t="n"/>
      <c r="D495" s="5" t="n"/>
      <c r="E495" s="5" t="n"/>
      <c r="F495" s="5" t="n"/>
      <c r="G495" s="5" t="n"/>
    </row>
    <row r="496" ht="15.75" customHeight="1" s="184">
      <c r="A496" s="5" t="n"/>
      <c r="B496" s="5" t="n"/>
      <c r="C496" s="5" t="n"/>
      <c r="D496" s="5" t="n"/>
      <c r="E496" s="5" t="n"/>
      <c r="F496" s="5" t="n"/>
      <c r="G496" s="5" t="n"/>
    </row>
    <row r="497" ht="15.75" customHeight="1" s="184">
      <c r="A497" s="5" t="n"/>
      <c r="B497" s="5" t="n"/>
      <c r="C497" s="5" t="n"/>
      <c r="D497" s="5" t="n"/>
      <c r="E497" s="5" t="n"/>
      <c r="F497" s="5" t="n"/>
      <c r="G497" s="5" t="n"/>
    </row>
    <row r="498" ht="15.75" customHeight="1" s="184">
      <c r="A498" s="5" t="n"/>
      <c r="B498" s="5" t="n"/>
      <c r="C498" s="5" t="n"/>
      <c r="D498" s="5" t="n"/>
      <c r="E498" s="5" t="n"/>
      <c r="F498" s="5" t="n"/>
      <c r="G498" s="5" t="n"/>
    </row>
    <row r="499" ht="15.75" customHeight="1" s="184">
      <c r="A499" s="5" t="n"/>
      <c r="B499" s="5" t="n"/>
      <c r="C499" s="5" t="n"/>
      <c r="D499" s="5" t="n"/>
      <c r="E499" s="5" t="n"/>
      <c r="F499" s="5" t="n"/>
      <c r="G499" s="5" t="n"/>
    </row>
    <row r="500" ht="15.75" customHeight="1" s="184">
      <c r="A500" s="5" t="n"/>
      <c r="B500" s="5" t="n"/>
      <c r="C500" s="5" t="n"/>
      <c r="D500" s="5" t="n"/>
      <c r="E500" s="5" t="n"/>
      <c r="F500" s="5" t="n"/>
      <c r="G500" s="5" t="n"/>
    </row>
    <row r="501" ht="15.75" customHeight="1" s="184">
      <c r="A501" s="5" t="n"/>
      <c r="B501" s="5" t="n"/>
      <c r="C501" s="5" t="n"/>
      <c r="D501" s="5" t="n"/>
      <c r="E501" s="5" t="n"/>
      <c r="F501" s="5" t="n"/>
      <c r="G501" s="5" t="n"/>
    </row>
    <row r="502" ht="15.75" customHeight="1" s="184">
      <c r="A502" s="5" t="n"/>
      <c r="B502" s="5" t="n"/>
      <c r="C502" s="5" t="n"/>
      <c r="D502" s="5" t="n"/>
      <c r="E502" s="5" t="n"/>
      <c r="F502" s="5" t="n"/>
      <c r="G502" s="5" t="n"/>
    </row>
    <row r="503" ht="15.75" customHeight="1" s="184">
      <c r="A503" s="5" t="n"/>
      <c r="B503" s="5" t="n"/>
      <c r="C503" s="5" t="n"/>
      <c r="D503" s="5" t="n"/>
      <c r="E503" s="5" t="n"/>
      <c r="F503" s="5" t="n"/>
      <c r="G503" s="5" t="n"/>
    </row>
    <row r="504" ht="15.75" customHeight="1" s="184">
      <c r="A504" s="5" t="n"/>
      <c r="B504" s="5" t="n"/>
      <c r="C504" s="5" t="n"/>
      <c r="D504" s="5" t="n"/>
      <c r="E504" s="5" t="n"/>
      <c r="F504" s="5" t="n"/>
      <c r="G504" s="5" t="n"/>
    </row>
    <row r="505" ht="15.75" customHeight="1" s="184">
      <c r="A505" s="5" t="n"/>
      <c r="B505" s="5" t="n"/>
      <c r="C505" s="5" t="n"/>
      <c r="D505" s="5" t="n"/>
      <c r="E505" s="5" t="n"/>
      <c r="F505" s="5" t="n"/>
      <c r="G505" s="5" t="n"/>
    </row>
    <row r="506" ht="15.75" customHeight="1" s="184">
      <c r="A506" s="5" t="n"/>
      <c r="B506" s="5" t="n"/>
      <c r="C506" s="5" t="n"/>
      <c r="D506" s="5" t="n"/>
      <c r="E506" s="5" t="n"/>
      <c r="F506" s="5" t="n"/>
      <c r="G506" s="5" t="n"/>
    </row>
    <row r="507" ht="15.75" customHeight="1" s="184">
      <c r="A507" s="5" t="n"/>
      <c r="B507" s="5" t="n"/>
      <c r="C507" s="5" t="n"/>
      <c r="D507" s="5" t="n"/>
      <c r="E507" s="5" t="n"/>
      <c r="F507" s="5" t="n"/>
      <c r="G507" s="5" t="n"/>
    </row>
    <row r="508" ht="15.75" customHeight="1" s="184">
      <c r="A508" s="5" t="n"/>
      <c r="B508" s="5" t="n"/>
      <c r="C508" s="5" t="n"/>
      <c r="D508" s="5" t="n"/>
      <c r="E508" s="5" t="n"/>
      <c r="F508" s="5" t="n"/>
      <c r="G508" s="5" t="n"/>
    </row>
    <row r="509" ht="15.75" customHeight="1" s="184">
      <c r="A509" s="5" t="n"/>
      <c r="B509" s="5" t="n"/>
      <c r="C509" s="5" t="n"/>
      <c r="D509" s="5" t="n"/>
      <c r="E509" s="5" t="n"/>
      <c r="F509" s="5" t="n"/>
      <c r="G509" s="5" t="n"/>
    </row>
    <row r="510" ht="15.75" customHeight="1" s="184">
      <c r="A510" s="5" t="n"/>
      <c r="B510" s="5" t="n"/>
      <c r="C510" s="5" t="n"/>
      <c r="D510" s="5" t="n"/>
      <c r="E510" s="5" t="n"/>
      <c r="F510" s="5" t="n"/>
      <c r="G510" s="5" t="n"/>
    </row>
    <row r="511" ht="15.75" customHeight="1" s="184">
      <c r="A511" s="5" t="n"/>
      <c r="B511" s="5" t="n"/>
      <c r="C511" s="5" t="n"/>
      <c r="D511" s="5" t="n"/>
      <c r="E511" s="5" t="n"/>
      <c r="F511" s="5" t="n"/>
      <c r="G511" s="5" t="n"/>
    </row>
    <row r="512" ht="15.75" customHeight="1" s="184">
      <c r="A512" s="5" t="n"/>
      <c r="B512" s="5" t="n"/>
      <c r="C512" s="5" t="n"/>
      <c r="D512" s="5" t="n"/>
      <c r="E512" s="5" t="n"/>
      <c r="F512" s="5" t="n"/>
      <c r="G512" s="5" t="n"/>
    </row>
    <row r="513" ht="15.75" customHeight="1" s="184">
      <c r="A513" s="5" t="n"/>
      <c r="B513" s="5" t="n"/>
      <c r="C513" s="5" t="n"/>
      <c r="D513" s="5" t="n"/>
      <c r="E513" s="5" t="n"/>
      <c r="F513" s="5" t="n"/>
      <c r="G513" s="5" t="n"/>
    </row>
    <row r="514" ht="15.75" customHeight="1" s="184">
      <c r="A514" s="5" t="n"/>
      <c r="B514" s="5" t="n"/>
      <c r="C514" s="5" t="n"/>
      <c r="D514" s="5" t="n"/>
      <c r="E514" s="5" t="n"/>
      <c r="F514" s="5" t="n"/>
      <c r="G514" s="5" t="n"/>
    </row>
    <row r="515" ht="15.75" customHeight="1" s="184">
      <c r="A515" s="5" t="n"/>
      <c r="B515" s="5" t="n"/>
      <c r="C515" s="5" t="n"/>
      <c r="D515" s="5" t="n"/>
      <c r="E515" s="5" t="n"/>
      <c r="F515" s="5" t="n"/>
      <c r="G515" s="5" t="n"/>
    </row>
    <row r="516" ht="15.75" customHeight="1" s="184">
      <c r="A516" s="5" t="n"/>
      <c r="B516" s="5" t="n"/>
      <c r="C516" s="5" t="n"/>
      <c r="D516" s="5" t="n"/>
      <c r="E516" s="5" t="n"/>
      <c r="F516" s="5" t="n"/>
      <c r="G516" s="5" t="n"/>
    </row>
    <row r="517" ht="15.75" customHeight="1" s="184">
      <c r="A517" s="5" t="n"/>
      <c r="B517" s="5" t="n"/>
      <c r="C517" s="5" t="n"/>
      <c r="D517" s="5" t="n"/>
      <c r="E517" s="5" t="n"/>
      <c r="F517" s="5" t="n"/>
      <c r="G517" s="5" t="n"/>
    </row>
    <row r="518" ht="15.75" customHeight="1" s="184">
      <c r="A518" s="5" t="n"/>
      <c r="B518" s="5" t="n"/>
      <c r="C518" s="5" t="n"/>
      <c r="D518" s="5" t="n"/>
      <c r="E518" s="5" t="n"/>
      <c r="F518" s="5" t="n"/>
      <c r="G518" s="5" t="n"/>
    </row>
    <row r="519" ht="15.75" customHeight="1" s="184">
      <c r="A519" s="5" t="n"/>
      <c r="B519" s="5" t="n"/>
      <c r="C519" s="5" t="n"/>
      <c r="D519" s="5" t="n"/>
      <c r="E519" s="5" t="n"/>
      <c r="F519" s="5" t="n"/>
      <c r="G519" s="5" t="n"/>
    </row>
    <row r="520" ht="15.75" customHeight="1" s="184">
      <c r="A520" s="5" t="n"/>
      <c r="B520" s="5" t="n"/>
      <c r="C520" s="5" t="n"/>
      <c r="D520" s="5" t="n"/>
      <c r="E520" s="5" t="n"/>
      <c r="F520" s="5" t="n"/>
      <c r="G520" s="5" t="n"/>
    </row>
    <row r="521" ht="15.75" customHeight="1" s="184">
      <c r="A521" s="5" t="n"/>
      <c r="B521" s="5" t="n"/>
      <c r="C521" s="5" t="n"/>
      <c r="D521" s="5" t="n"/>
      <c r="E521" s="5" t="n"/>
      <c r="F521" s="5" t="n"/>
      <c r="G521" s="5" t="n"/>
    </row>
    <row r="522" ht="15.75" customHeight="1" s="184">
      <c r="A522" s="5" t="n"/>
      <c r="B522" s="5" t="n"/>
      <c r="C522" s="5" t="n"/>
      <c r="D522" s="5" t="n"/>
      <c r="E522" s="5" t="n"/>
      <c r="F522" s="5" t="n"/>
      <c r="G522" s="5" t="n"/>
    </row>
    <row r="523" ht="15.75" customHeight="1" s="184">
      <c r="A523" s="5" t="n"/>
      <c r="B523" s="5" t="n"/>
      <c r="C523" s="5" t="n"/>
      <c r="D523" s="5" t="n"/>
      <c r="E523" s="5" t="n"/>
      <c r="F523" s="5" t="n"/>
      <c r="G523" s="5" t="n"/>
    </row>
    <row r="524" ht="15.75" customHeight="1" s="184">
      <c r="A524" s="5" t="n"/>
      <c r="B524" s="5" t="n"/>
      <c r="C524" s="5" t="n"/>
      <c r="D524" s="5" t="n"/>
      <c r="E524" s="5" t="n"/>
      <c r="F524" s="5" t="n"/>
      <c r="G524" s="5" t="n"/>
    </row>
    <row r="525" ht="15.75" customHeight="1" s="184">
      <c r="A525" s="5" t="n"/>
      <c r="B525" s="5" t="n"/>
      <c r="C525" s="5" t="n"/>
      <c r="D525" s="5" t="n"/>
      <c r="E525" s="5" t="n"/>
      <c r="F525" s="5" t="n"/>
      <c r="G525" s="5" t="n"/>
    </row>
    <row r="526" ht="15.75" customHeight="1" s="184">
      <c r="A526" s="5" t="n"/>
      <c r="B526" s="5" t="n"/>
      <c r="C526" s="5" t="n"/>
      <c r="D526" s="5" t="n"/>
      <c r="E526" s="5" t="n"/>
      <c r="F526" s="5" t="n"/>
      <c r="G526" s="5" t="n"/>
    </row>
    <row r="527" ht="15.75" customHeight="1" s="184">
      <c r="A527" s="5" t="n"/>
      <c r="B527" s="5" t="n"/>
      <c r="C527" s="5" t="n"/>
      <c r="D527" s="5" t="n"/>
      <c r="E527" s="5" t="n"/>
      <c r="F527" s="5" t="n"/>
      <c r="G527" s="5" t="n"/>
    </row>
    <row r="528" ht="15.75" customHeight="1" s="184">
      <c r="A528" s="5" t="n"/>
      <c r="B528" s="5" t="n"/>
      <c r="C528" s="5" t="n"/>
      <c r="D528" s="5" t="n"/>
      <c r="E528" s="5" t="n"/>
      <c r="F528" s="5" t="n"/>
      <c r="G528" s="5" t="n"/>
    </row>
    <row r="529" ht="15.75" customHeight="1" s="184">
      <c r="A529" s="5" t="n"/>
      <c r="B529" s="5" t="n"/>
      <c r="C529" s="5" t="n"/>
      <c r="D529" s="5" t="n"/>
      <c r="E529" s="5" t="n"/>
      <c r="F529" s="5" t="n"/>
      <c r="G529" s="5" t="n"/>
    </row>
    <row r="530" ht="15.75" customHeight="1" s="184">
      <c r="A530" s="5" t="n"/>
      <c r="B530" s="5" t="n"/>
      <c r="C530" s="5" t="n"/>
      <c r="D530" s="5" t="n"/>
      <c r="E530" s="5" t="n"/>
      <c r="F530" s="5" t="n"/>
      <c r="G530" s="5" t="n"/>
    </row>
    <row r="531" ht="15.75" customHeight="1" s="184">
      <c r="A531" s="5" t="n"/>
      <c r="B531" s="5" t="n"/>
      <c r="C531" s="5" t="n"/>
      <c r="D531" s="5" t="n"/>
      <c r="E531" s="5" t="n"/>
      <c r="F531" s="5" t="n"/>
      <c r="G531" s="5" t="n"/>
    </row>
    <row r="532" ht="15.75" customHeight="1" s="184">
      <c r="A532" s="5" t="n"/>
      <c r="B532" s="5" t="n"/>
      <c r="C532" s="5" t="n"/>
      <c r="D532" s="5" t="n"/>
      <c r="E532" s="5" t="n"/>
      <c r="F532" s="5" t="n"/>
      <c r="G532" s="5" t="n"/>
    </row>
    <row r="533" ht="15.75" customHeight="1" s="184">
      <c r="A533" s="5" t="n"/>
      <c r="B533" s="5" t="n"/>
      <c r="C533" s="5" t="n"/>
      <c r="D533" s="5" t="n"/>
      <c r="E533" s="5" t="n"/>
      <c r="F533" s="5" t="n"/>
      <c r="G533" s="5" t="n"/>
    </row>
    <row r="534" ht="15.75" customHeight="1" s="184">
      <c r="A534" s="5" t="n"/>
      <c r="B534" s="5" t="n"/>
      <c r="C534" s="5" t="n"/>
      <c r="D534" s="5" t="n"/>
      <c r="E534" s="5" t="n"/>
      <c r="F534" s="5" t="n"/>
      <c r="G534" s="5" t="n"/>
    </row>
    <row r="535" ht="15.75" customHeight="1" s="184">
      <c r="A535" s="5" t="n"/>
      <c r="B535" s="5" t="n"/>
      <c r="C535" s="5" t="n"/>
      <c r="D535" s="5" t="n"/>
      <c r="E535" s="5" t="n"/>
      <c r="F535" s="5" t="n"/>
      <c r="G535" s="5" t="n"/>
    </row>
    <row r="536" ht="15.75" customHeight="1" s="184">
      <c r="A536" s="5" t="n"/>
      <c r="B536" s="5" t="n"/>
      <c r="C536" s="5" t="n"/>
      <c r="D536" s="5" t="n"/>
      <c r="E536" s="5" t="n"/>
      <c r="F536" s="5" t="n"/>
      <c r="G536" s="5" t="n"/>
    </row>
    <row r="537" ht="15.75" customHeight="1" s="184">
      <c r="A537" s="5" t="n"/>
      <c r="B537" s="5" t="n"/>
      <c r="C537" s="5" t="n"/>
      <c r="D537" s="5" t="n"/>
      <c r="E537" s="5" t="n"/>
      <c r="F537" s="5" t="n"/>
      <c r="G537" s="5" t="n"/>
    </row>
    <row r="538" ht="15.75" customHeight="1" s="184">
      <c r="A538" s="5" t="n"/>
      <c r="B538" s="5" t="n"/>
      <c r="C538" s="5" t="n"/>
      <c r="D538" s="5" t="n"/>
      <c r="E538" s="5" t="n"/>
      <c r="F538" s="5" t="n"/>
      <c r="G538" s="5" t="n"/>
    </row>
    <row r="539" ht="15.75" customHeight="1" s="184">
      <c r="A539" s="5" t="n"/>
      <c r="B539" s="5" t="n"/>
      <c r="C539" s="5" t="n"/>
      <c r="D539" s="5" t="n"/>
      <c r="E539" s="5" t="n"/>
      <c r="F539" s="5" t="n"/>
      <c r="G539" s="5" t="n"/>
    </row>
    <row r="540" ht="15.75" customHeight="1" s="184">
      <c r="A540" s="5" t="n"/>
      <c r="B540" s="5" t="n"/>
      <c r="C540" s="5" t="n"/>
      <c r="D540" s="5" t="n"/>
      <c r="E540" s="5" t="n"/>
      <c r="F540" s="5" t="n"/>
      <c r="G540" s="5" t="n"/>
    </row>
    <row r="541" ht="15.75" customHeight="1" s="184">
      <c r="A541" s="5" t="n"/>
      <c r="B541" s="5" t="n"/>
      <c r="C541" s="5" t="n"/>
      <c r="D541" s="5" t="n"/>
      <c r="E541" s="5" t="n"/>
      <c r="F541" s="5" t="n"/>
      <c r="G541" s="5" t="n"/>
    </row>
    <row r="542" ht="15.75" customHeight="1" s="184">
      <c r="A542" s="5" t="n"/>
      <c r="B542" s="5" t="n"/>
      <c r="C542" s="5" t="n"/>
      <c r="D542" s="5" t="n"/>
      <c r="E542" s="5" t="n"/>
      <c r="F542" s="5" t="n"/>
      <c r="G542" s="5" t="n"/>
    </row>
    <row r="543" ht="15.75" customHeight="1" s="184">
      <c r="A543" s="5" t="n"/>
      <c r="B543" s="5" t="n"/>
      <c r="C543" s="5" t="n"/>
      <c r="D543" s="5" t="n"/>
      <c r="E543" s="5" t="n"/>
      <c r="F543" s="5" t="n"/>
      <c r="G543" s="5" t="n"/>
    </row>
    <row r="544" ht="15.75" customHeight="1" s="184">
      <c r="A544" s="5" t="n"/>
      <c r="B544" s="5" t="n"/>
      <c r="C544" s="5" t="n"/>
      <c r="D544" s="5" t="n"/>
      <c r="E544" s="5" t="n"/>
      <c r="F544" s="5" t="n"/>
      <c r="G544" s="5" t="n"/>
    </row>
    <row r="545" ht="15.75" customHeight="1" s="184">
      <c r="A545" s="5" t="n"/>
      <c r="B545" s="5" t="n"/>
      <c r="C545" s="5" t="n"/>
      <c r="D545" s="5" t="n"/>
      <c r="E545" s="5" t="n"/>
      <c r="F545" s="5" t="n"/>
      <c r="G545" s="5" t="n"/>
    </row>
    <row r="546" ht="15.75" customHeight="1" s="184">
      <c r="A546" s="5" t="n"/>
      <c r="B546" s="5" t="n"/>
      <c r="C546" s="5" t="n"/>
      <c r="D546" s="5" t="n"/>
      <c r="E546" s="5" t="n"/>
      <c r="F546" s="5" t="n"/>
      <c r="G546" s="5" t="n"/>
    </row>
    <row r="547" ht="15.75" customHeight="1" s="184">
      <c r="A547" s="5" t="n"/>
      <c r="B547" s="5" t="n"/>
      <c r="C547" s="5" t="n"/>
      <c r="D547" s="5" t="n"/>
      <c r="E547" s="5" t="n"/>
      <c r="F547" s="5" t="n"/>
      <c r="G547" s="5" t="n"/>
    </row>
    <row r="548" ht="15.75" customHeight="1" s="184">
      <c r="A548" s="5" t="n"/>
      <c r="B548" s="5" t="n"/>
      <c r="C548" s="5" t="n"/>
      <c r="D548" s="5" t="n"/>
      <c r="E548" s="5" t="n"/>
      <c r="F548" s="5" t="n"/>
      <c r="G548" s="5" t="n"/>
    </row>
    <row r="549" ht="15.75" customHeight="1" s="184">
      <c r="A549" s="5" t="n"/>
      <c r="B549" s="5" t="n"/>
      <c r="C549" s="5" t="n"/>
      <c r="D549" s="5" t="n"/>
      <c r="E549" s="5" t="n"/>
      <c r="F549" s="5" t="n"/>
      <c r="G549" s="5" t="n"/>
    </row>
    <row r="550" ht="15.75" customHeight="1" s="184">
      <c r="A550" s="5" t="n"/>
      <c r="B550" s="5" t="n"/>
      <c r="C550" s="5" t="n"/>
      <c r="D550" s="5" t="n"/>
      <c r="E550" s="5" t="n"/>
      <c r="F550" s="5" t="n"/>
      <c r="G550" s="5" t="n"/>
    </row>
    <row r="551" ht="15.75" customHeight="1" s="184">
      <c r="A551" s="5" t="n"/>
      <c r="B551" s="5" t="n"/>
      <c r="C551" s="5" t="n"/>
      <c r="D551" s="5" t="n"/>
      <c r="E551" s="5" t="n"/>
      <c r="F551" s="5" t="n"/>
      <c r="G551" s="5" t="n"/>
    </row>
    <row r="552" ht="15.75" customHeight="1" s="184">
      <c r="A552" s="5" t="n"/>
      <c r="B552" s="5" t="n"/>
      <c r="C552" s="5" t="n"/>
      <c r="D552" s="5" t="n"/>
      <c r="E552" s="5" t="n"/>
      <c r="F552" s="5" t="n"/>
      <c r="G552" s="5" t="n"/>
    </row>
    <row r="553" ht="15.75" customHeight="1" s="184">
      <c r="A553" s="5" t="n"/>
      <c r="B553" s="5" t="n"/>
      <c r="C553" s="5" t="n"/>
      <c r="D553" s="5" t="n"/>
      <c r="E553" s="5" t="n"/>
      <c r="F553" s="5" t="n"/>
      <c r="G553" s="5" t="n"/>
    </row>
    <row r="554" ht="15.75" customHeight="1" s="184">
      <c r="A554" s="5" t="n"/>
      <c r="B554" s="5" t="n"/>
      <c r="C554" s="5" t="n"/>
      <c r="D554" s="5" t="n"/>
      <c r="E554" s="5" t="n"/>
      <c r="F554" s="5" t="n"/>
      <c r="G554" s="5" t="n"/>
    </row>
    <row r="555" ht="15.75" customHeight="1" s="184">
      <c r="A555" s="5" t="n"/>
      <c r="B555" s="5" t="n"/>
      <c r="C555" s="5" t="n"/>
      <c r="D555" s="5" t="n"/>
      <c r="E555" s="5" t="n"/>
      <c r="F555" s="5" t="n"/>
      <c r="G555" s="5" t="n"/>
    </row>
    <row r="556" ht="15.75" customHeight="1" s="184">
      <c r="A556" s="5" t="n"/>
      <c r="B556" s="5" t="n"/>
      <c r="C556" s="5" t="n"/>
      <c r="D556" s="5" t="n"/>
      <c r="E556" s="5" t="n"/>
      <c r="F556" s="5" t="n"/>
      <c r="G556" s="5" t="n"/>
    </row>
    <row r="557" ht="15.75" customHeight="1" s="184">
      <c r="A557" s="5" t="n"/>
      <c r="B557" s="5" t="n"/>
      <c r="C557" s="5" t="n"/>
      <c r="D557" s="5" t="n"/>
      <c r="E557" s="5" t="n"/>
      <c r="F557" s="5" t="n"/>
      <c r="G557" s="5" t="n"/>
    </row>
    <row r="558" ht="15.75" customHeight="1" s="184">
      <c r="A558" s="5" t="n"/>
      <c r="B558" s="5" t="n"/>
      <c r="C558" s="5" t="n"/>
      <c r="D558" s="5" t="n"/>
      <c r="E558" s="5" t="n"/>
      <c r="F558" s="5" t="n"/>
      <c r="G558" s="5" t="n"/>
    </row>
    <row r="559" ht="15.75" customHeight="1" s="184">
      <c r="A559" s="5" t="n"/>
      <c r="B559" s="5" t="n"/>
      <c r="C559" s="5" t="n"/>
      <c r="D559" s="5" t="n"/>
      <c r="E559" s="5" t="n"/>
      <c r="F559" s="5" t="n"/>
      <c r="G559" s="5" t="n"/>
    </row>
    <row r="560" ht="15.75" customHeight="1" s="184">
      <c r="A560" s="5" t="n"/>
      <c r="B560" s="5" t="n"/>
      <c r="C560" s="5" t="n"/>
      <c r="D560" s="5" t="n"/>
      <c r="E560" s="5" t="n"/>
      <c r="F560" s="5" t="n"/>
      <c r="G560" s="5" t="n"/>
    </row>
    <row r="561" ht="15.75" customHeight="1" s="184">
      <c r="A561" s="5" t="n"/>
      <c r="B561" s="5" t="n"/>
      <c r="C561" s="5" t="n"/>
      <c r="D561" s="5" t="n"/>
      <c r="E561" s="5" t="n"/>
      <c r="F561" s="5" t="n"/>
      <c r="G561" s="5" t="n"/>
    </row>
    <row r="562" ht="15.75" customHeight="1" s="184">
      <c r="A562" s="5" t="n"/>
      <c r="B562" s="5" t="n"/>
      <c r="C562" s="5" t="n"/>
      <c r="D562" s="5" t="n"/>
      <c r="E562" s="5" t="n"/>
      <c r="F562" s="5" t="n"/>
      <c r="G562" s="5" t="n"/>
    </row>
    <row r="563" ht="15.75" customHeight="1" s="184">
      <c r="A563" s="5" t="n"/>
      <c r="B563" s="5" t="n"/>
      <c r="C563" s="5" t="n"/>
      <c r="D563" s="5" t="n"/>
      <c r="E563" s="5" t="n"/>
      <c r="F563" s="5" t="n"/>
      <c r="G563" s="5" t="n"/>
    </row>
    <row r="564" ht="15.75" customHeight="1" s="184">
      <c r="A564" s="5" t="n"/>
      <c r="B564" s="5" t="n"/>
      <c r="C564" s="5" t="n"/>
      <c r="D564" s="5" t="n"/>
      <c r="E564" s="5" t="n"/>
      <c r="F564" s="5" t="n"/>
      <c r="G564" s="5" t="n"/>
    </row>
    <row r="565" ht="15.75" customHeight="1" s="184">
      <c r="A565" s="5" t="n"/>
      <c r="B565" s="5" t="n"/>
      <c r="C565" s="5" t="n"/>
      <c r="D565" s="5" t="n"/>
      <c r="E565" s="5" t="n"/>
      <c r="F565" s="5" t="n"/>
      <c r="G565" s="5" t="n"/>
    </row>
    <row r="566" ht="15.75" customHeight="1" s="184">
      <c r="A566" s="5" t="n"/>
      <c r="B566" s="5" t="n"/>
      <c r="C566" s="5" t="n"/>
      <c r="D566" s="5" t="n"/>
      <c r="E566" s="5" t="n"/>
      <c r="F566" s="5" t="n"/>
      <c r="G566" s="5" t="n"/>
    </row>
    <row r="567" ht="15.75" customHeight="1" s="184">
      <c r="A567" s="5" t="n"/>
      <c r="B567" s="5" t="n"/>
      <c r="C567" s="5" t="n"/>
      <c r="D567" s="5" t="n"/>
      <c r="E567" s="5" t="n"/>
      <c r="F567" s="5" t="n"/>
      <c r="G567" s="5" t="n"/>
    </row>
    <row r="568" ht="15.75" customHeight="1" s="184">
      <c r="A568" s="5" t="n"/>
      <c r="B568" s="5" t="n"/>
      <c r="C568" s="5" t="n"/>
      <c r="D568" s="5" t="n"/>
      <c r="E568" s="5" t="n"/>
      <c r="F568" s="5" t="n"/>
      <c r="G568" s="5" t="n"/>
    </row>
    <row r="569" ht="15.75" customHeight="1" s="184">
      <c r="A569" s="5" t="n"/>
      <c r="B569" s="5" t="n"/>
      <c r="C569" s="5" t="n"/>
      <c r="D569" s="5" t="n"/>
      <c r="E569" s="5" t="n"/>
      <c r="F569" s="5" t="n"/>
      <c r="G569" s="5" t="n"/>
    </row>
    <row r="570" ht="15.75" customHeight="1" s="184">
      <c r="A570" s="5" t="n"/>
      <c r="B570" s="5" t="n"/>
      <c r="C570" s="5" t="n"/>
      <c r="D570" s="5" t="n"/>
      <c r="E570" s="5" t="n"/>
      <c r="F570" s="5" t="n"/>
      <c r="G570" s="5" t="n"/>
    </row>
    <row r="571" ht="15.75" customHeight="1" s="184">
      <c r="A571" s="5" t="n"/>
      <c r="B571" s="5" t="n"/>
      <c r="C571" s="5" t="n"/>
      <c r="D571" s="5" t="n"/>
      <c r="E571" s="5" t="n"/>
      <c r="F571" s="5" t="n"/>
      <c r="G571" s="5" t="n"/>
    </row>
    <row r="572" ht="15.75" customHeight="1" s="184">
      <c r="A572" s="5" t="n"/>
      <c r="B572" s="5" t="n"/>
      <c r="C572" s="5" t="n"/>
      <c r="D572" s="5" t="n"/>
      <c r="E572" s="5" t="n"/>
      <c r="F572" s="5" t="n"/>
      <c r="G572" s="5" t="n"/>
    </row>
    <row r="573" ht="15.75" customHeight="1" s="184">
      <c r="A573" s="5" t="n"/>
      <c r="B573" s="5" t="n"/>
      <c r="C573" s="5" t="n"/>
      <c r="D573" s="5" t="n"/>
      <c r="E573" s="5" t="n"/>
      <c r="F573" s="5" t="n"/>
      <c r="G573" s="5" t="n"/>
    </row>
    <row r="574" ht="15.75" customHeight="1" s="184">
      <c r="A574" s="5" t="n"/>
      <c r="B574" s="5" t="n"/>
      <c r="C574" s="5" t="n"/>
      <c r="D574" s="5" t="n"/>
      <c r="E574" s="5" t="n"/>
      <c r="F574" s="5" t="n"/>
      <c r="G574" s="5" t="n"/>
    </row>
    <row r="575" ht="15.75" customHeight="1" s="184">
      <c r="A575" s="5" t="n"/>
      <c r="B575" s="5" t="n"/>
      <c r="C575" s="5" t="n"/>
      <c r="D575" s="5" t="n"/>
      <c r="E575" s="5" t="n"/>
      <c r="F575" s="5" t="n"/>
      <c r="G575" s="5" t="n"/>
    </row>
    <row r="576" ht="15.75" customHeight="1" s="184">
      <c r="A576" s="5" t="n"/>
      <c r="B576" s="5" t="n"/>
      <c r="C576" s="5" t="n"/>
      <c r="D576" s="5" t="n"/>
      <c r="E576" s="5" t="n"/>
      <c r="F576" s="5" t="n"/>
      <c r="G576" s="5" t="n"/>
    </row>
    <row r="577" ht="15.75" customHeight="1" s="184">
      <c r="A577" s="5" t="n"/>
      <c r="B577" s="5" t="n"/>
      <c r="C577" s="5" t="n"/>
      <c r="D577" s="5" t="n"/>
      <c r="E577" s="5" t="n"/>
      <c r="F577" s="5" t="n"/>
      <c r="G577" s="5" t="n"/>
    </row>
    <row r="578" ht="15.75" customHeight="1" s="184">
      <c r="A578" s="5" t="n"/>
      <c r="B578" s="5" t="n"/>
      <c r="C578" s="5" t="n"/>
      <c r="D578" s="5" t="n"/>
      <c r="E578" s="5" t="n"/>
      <c r="F578" s="5" t="n"/>
      <c r="G578" s="5" t="n"/>
    </row>
    <row r="579" ht="15.75" customHeight="1" s="184">
      <c r="A579" s="5" t="n"/>
      <c r="B579" s="5" t="n"/>
      <c r="C579" s="5" t="n"/>
      <c r="D579" s="5" t="n"/>
      <c r="E579" s="5" t="n"/>
      <c r="F579" s="5" t="n"/>
      <c r="G579" s="5" t="n"/>
    </row>
    <row r="580" ht="15.75" customHeight="1" s="184">
      <c r="A580" s="5" t="n"/>
      <c r="B580" s="5" t="n"/>
      <c r="C580" s="5" t="n"/>
      <c r="D580" s="5" t="n"/>
      <c r="E580" s="5" t="n"/>
      <c r="F580" s="5" t="n"/>
      <c r="G580" s="5" t="n"/>
    </row>
    <row r="581" ht="15.75" customHeight="1" s="184">
      <c r="A581" s="5" t="n"/>
      <c r="B581" s="5" t="n"/>
      <c r="C581" s="5" t="n"/>
      <c r="D581" s="5" t="n"/>
      <c r="E581" s="5" t="n"/>
      <c r="F581" s="5" t="n"/>
      <c r="G581" s="5" t="n"/>
    </row>
    <row r="582" ht="15.75" customHeight="1" s="184">
      <c r="A582" s="5" t="n"/>
      <c r="B582" s="5" t="n"/>
      <c r="C582" s="5" t="n"/>
      <c r="D582" s="5" t="n"/>
      <c r="E582" s="5" t="n"/>
      <c r="F582" s="5" t="n"/>
      <c r="G582" s="5" t="n"/>
    </row>
    <row r="583" ht="15.75" customHeight="1" s="184">
      <c r="A583" s="5" t="n"/>
      <c r="B583" s="5" t="n"/>
      <c r="C583" s="5" t="n"/>
      <c r="D583" s="5" t="n"/>
      <c r="E583" s="5" t="n"/>
      <c r="F583" s="5" t="n"/>
      <c r="G583" s="5" t="n"/>
    </row>
    <row r="584" ht="15.75" customHeight="1" s="184">
      <c r="A584" s="5" t="n"/>
      <c r="B584" s="5" t="n"/>
      <c r="C584" s="5" t="n"/>
      <c r="D584" s="5" t="n"/>
      <c r="E584" s="5" t="n"/>
      <c r="F584" s="5" t="n"/>
      <c r="G584" s="5" t="n"/>
    </row>
    <row r="585" ht="15.75" customHeight="1" s="184">
      <c r="A585" s="5" t="n"/>
      <c r="B585" s="5" t="n"/>
      <c r="C585" s="5" t="n"/>
      <c r="D585" s="5" t="n"/>
      <c r="E585" s="5" t="n"/>
      <c r="F585" s="5" t="n"/>
      <c r="G585" s="5" t="n"/>
    </row>
    <row r="586" ht="15.75" customHeight="1" s="184">
      <c r="A586" s="5" t="n"/>
      <c r="B586" s="5" t="n"/>
      <c r="C586" s="5" t="n"/>
      <c r="D586" s="5" t="n"/>
      <c r="E586" s="5" t="n"/>
      <c r="F586" s="5" t="n"/>
      <c r="G586" s="5" t="n"/>
    </row>
    <row r="587" ht="15.75" customHeight="1" s="184">
      <c r="A587" s="5" t="n"/>
      <c r="B587" s="5" t="n"/>
      <c r="C587" s="5" t="n"/>
      <c r="D587" s="5" t="n"/>
      <c r="E587" s="5" t="n"/>
      <c r="F587" s="5" t="n"/>
      <c r="G587" s="5" t="n"/>
    </row>
    <row r="588" ht="15.75" customHeight="1" s="184">
      <c r="A588" s="5" t="n"/>
      <c r="B588" s="5" t="n"/>
      <c r="C588" s="5" t="n"/>
      <c r="D588" s="5" t="n"/>
      <c r="E588" s="5" t="n"/>
      <c r="F588" s="5" t="n"/>
      <c r="G588" s="5" t="n"/>
    </row>
    <row r="589" ht="15.75" customHeight="1" s="184">
      <c r="A589" s="5" t="n"/>
      <c r="B589" s="5" t="n"/>
      <c r="C589" s="5" t="n"/>
      <c r="D589" s="5" t="n"/>
      <c r="E589" s="5" t="n"/>
      <c r="F589" s="5" t="n"/>
      <c r="G589" s="5" t="n"/>
    </row>
    <row r="590" ht="15.75" customHeight="1" s="184">
      <c r="A590" s="5" t="n"/>
      <c r="B590" s="5" t="n"/>
      <c r="C590" s="5" t="n"/>
      <c r="D590" s="5" t="n"/>
      <c r="E590" s="5" t="n"/>
      <c r="F590" s="5" t="n"/>
      <c r="G590" s="5" t="n"/>
    </row>
    <row r="591" ht="15.75" customHeight="1" s="184">
      <c r="A591" s="5" t="n"/>
      <c r="B591" s="5" t="n"/>
      <c r="C591" s="5" t="n"/>
      <c r="D591" s="5" t="n"/>
      <c r="E591" s="5" t="n"/>
      <c r="F591" s="5" t="n"/>
      <c r="G591" s="5" t="n"/>
    </row>
    <row r="592" ht="15.75" customHeight="1" s="184">
      <c r="A592" s="5" t="n"/>
      <c r="B592" s="5" t="n"/>
      <c r="C592" s="5" t="n"/>
      <c r="D592" s="5" t="n"/>
      <c r="E592" s="5" t="n"/>
      <c r="F592" s="5" t="n"/>
      <c r="G592" s="5" t="n"/>
    </row>
    <row r="593" ht="15.75" customHeight="1" s="184">
      <c r="A593" s="5" t="n"/>
      <c r="B593" s="5" t="n"/>
      <c r="C593" s="5" t="n"/>
      <c r="D593" s="5" t="n"/>
      <c r="E593" s="5" t="n"/>
      <c r="F593" s="5" t="n"/>
      <c r="G593" s="5" t="n"/>
    </row>
    <row r="594" ht="15.75" customHeight="1" s="184">
      <c r="A594" s="5" t="n"/>
      <c r="B594" s="5" t="n"/>
      <c r="C594" s="5" t="n"/>
      <c r="D594" s="5" t="n"/>
      <c r="E594" s="5" t="n"/>
      <c r="F594" s="5" t="n"/>
      <c r="G594" s="5" t="n"/>
    </row>
    <row r="595" ht="15.75" customHeight="1" s="184">
      <c r="A595" s="5" t="n"/>
      <c r="B595" s="5" t="n"/>
      <c r="C595" s="5" t="n"/>
      <c r="D595" s="5" t="n"/>
      <c r="E595" s="5" t="n"/>
      <c r="F595" s="5" t="n"/>
      <c r="G595" s="5" t="n"/>
    </row>
    <row r="596" ht="15.75" customHeight="1" s="184">
      <c r="A596" s="5" t="n"/>
      <c r="B596" s="5" t="n"/>
      <c r="C596" s="5" t="n"/>
      <c r="D596" s="5" t="n"/>
      <c r="E596" s="5" t="n"/>
      <c r="F596" s="5" t="n"/>
      <c r="G596" s="5" t="n"/>
    </row>
    <row r="597" ht="15.75" customHeight="1" s="184">
      <c r="A597" s="5" t="n"/>
      <c r="B597" s="5" t="n"/>
      <c r="C597" s="5" t="n"/>
      <c r="D597" s="5" t="n"/>
      <c r="E597" s="5" t="n"/>
      <c r="F597" s="5" t="n"/>
      <c r="G597" s="5" t="n"/>
    </row>
    <row r="598" ht="15.75" customHeight="1" s="184">
      <c r="A598" s="5" t="n"/>
      <c r="B598" s="5" t="n"/>
      <c r="C598" s="5" t="n"/>
      <c r="D598" s="5" t="n"/>
      <c r="E598" s="5" t="n"/>
      <c r="F598" s="5" t="n"/>
      <c r="G598" s="5" t="n"/>
    </row>
    <row r="599" ht="15.75" customHeight="1" s="184">
      <c r="A599" s="5" t="n"/>
      <c r="B599" s="5" t="n"/>
      <c r="C599" s="5" t="n"/>
      <c r="D599" s="5" t="n"/>
      <c r="E599" s="5" t="n"/>
      <c r="F599" s="5" t="n"/>
      <c r="G599" s="5" t="n"/>
    </row>
    <row r="600" ht="15.75" customHeight="1" s="184">
      <c r="A600" s="5" t="n"/>
      <c r="B600" s="5" t="n"/>
      <c r="C600" s="5" t="n"/>
      <c r="D600" s="5" t="n"/>
      <c r="E600" s="5" t="n"/>
      <c r="F600" s="5" t="n"/>
      <c r="G600" s="5" t="n"/>
    </row>
    <row r="601" ht="15.75" customHeight="1" s="184">
      <c r="A601" s="5" t="n"/>
      <c r="B601" s="5" t="n"/>
      <c r="C601" s="5" t="n"/>
      <c r="D601" s="5" t="n"/>
      <c r="E601" s="5" t="n"/>
      <c r="F601" s="5" t="n"/>
      <c r="G601" s="5" t="n"/>
    </row>
    <row r="602" ht="15.75" customHeight="1" s="184">
      <c r="A602" s="5" t="n"/>
      <c r="B602" s="5" t="n"/>
      <c r="C602" s="5" t="n"/>
      <c r="D602" s="5" t="n"/>
      <c r="E602" s="5" t="n"/>
      <c r="F602" s="5" t="n"/>
      <c r="G602" s="5" t="n"/>
    </row>
    <row r="603" ht="15.75" customHeight="1" s="184">
      <c r="A603" s="5" t="n"/>
      <c r="B603" s="5" t="n"/>
      <c r="C603" s="5" t="n"/>
      <c r="D603" s="5" t="n"/>
      <c r="E603" s="5" t="n"/>
      <c r="F603" s="5" t="n"/>
      <c r="G603" s="5" t="n"/>
    </row>
    <row r="604" ht="15.75" customHeight="1" s="184">
      <c r="A604" s="5" t="n"/>
      <c r="B604" s="5" t="n"/>
      <c r="C604" s="5" t="n"/>
      <c r="D604" s="5" t="n"/>
      <c r="E604" s="5" t="n"/>
      <c r="F604" s="5" t="n"/>
      <c r="G604" s="5" t="n"/>
    </row>
    <row r="605" ht="15.75" customHeight="1" s="184">
      <c r="A605" s="5" t="n"/>
      <c r="B605" s="5" t="n"/>
      <c r="C605" s="5" t="n"/>
      <c r="D605" s="5" t="n"/>
      <c r="E605" s="5" t="n"/>
      <c r="F605" s="5" t="n"/>
      <c r="G605" s="5" t="n"/>
    </row>
    <row r="606" ht="15.75" customHeight="1" s="184">
      <c r="A606" s="5" t="n"/>
      <c r="B606" s="5" t="n"/>
      <c r="C606" s="5" t="n"/>
      <c r="D606" s="5" t="n"/>
      <c r="E606" s="5" t="n"/>
      <c r="F606" s="5" t="n"/>
      <c r="G606" s="5" t="n"/>
    </row>
    <row r="607" ht="15.75" customHeight="1" s="184">
      <c r="A607" s="5" t="n"/>
      <c r="B607" s="5" t="n"/>
      <c r="C607" s="5" t="n"/>
      <c r="D607" s="5" t="n"/>
      <c r="E607" s="5" t="n"/>
      <c r="F607" s="5" t="n"/>
      <c r="G607" s="5" t="n"/>
    </row>
    <row r="608" ht="15.75" customHeight="1" s="184">
      <c r="A608" s="5" t="n"/>
      <c r="B608" s="5" t="n"/>
      <c r="C608" s="5" t="n"/>
      <c r="D608" s="5" t="n"/>
      <c r="E608" s="5" t="n"/>
      <c r="F608" s="5" t="n"/>
      <c r="G608" s="5" t="n"/>
    </row>
    <row r="609" ht="15.75" customHeight="1" s="184">
      <c r="A609" s="5" t="n"/>
      <c r="B609" s="5" t="n"/>
      <c r="C609" s="5" t="n"/>
      <c r="D609" s="5" t="n"/>
      <c r="E609" s="5" t="n"/>
      <c r="F609" s="5" t="n"/>
      <c r="G609" s="5" t="n"/>
    </row>
    <row r="610" ht="15.75" customHeight="1" s="184">
      <c r="A610" s="5" t="n"/>
      <c r="B610" s="5" t="n"/>
      <c r="C610" s="5" t="n"/>
      <c r="D610" s="5" t="n"/>
      <c r="E610" s="5" t="n"/>
      <c r="F610" s="5" t="n"/>
      <c r="G610" s="5" t="n"/>
    </row>
    <row r="611" ht="15.75" customHeight="1" s="184">
      <c r="A611" s="5" t="n"/>
      <c r="B611" s="5" t="n"/>
      <c r="C611" s="5" t="n"/>
      <c r="D611" s="5" t="n"/>
      <c r="E611" s="5" t="n"/>
      <c r="F611" s="5" t="n"/>
      <c r="G611" s="5" t="n"/>
    </row>
    <row r="612" ht="15.75" customHeight="1" s="184">
      <c r="A612" s="5" t="n"/>
      <c r="B612" s="5" t="n"/>
      <c r="C612" s="5" t="n"/>
      <c r="D612" s="5" t="n"/>
      <c r="E612" s="5" t="n"/>
      <c r="F612" s="5" t="n"/>
      <c r="G612" s="5" t="n"/>
    </row>
    <row r="613" ht="15.75" customHeight="1" s="184">
      <c r="A613" s="5" t="n"/>
      <c r="B613" s="5" t="n"/>
      <c r="C613" s="5" t="n"/>
      <c r="D613" s="5" t="n"/>
      <c r="E613" s="5" t="n"/>
      <c r="F613" s="5" t="n"/>
      <c r="G613" s="5" t="n"/>
    </row>
    <row r="614" ht="15.75" customHeight="1" s="184">
      <c r="A614" s="5" t="n"/>
      <c r="B614" s="5" t="n"/>
      <c r="C614" s="5" t="n"/>
      <c r="D614" s="5" t="n"/>
      <c r="E614" s="5" t="n"/>
      <c r="F614" s="5" t="n"/>
      <c r="G614" s="5" t="n"/>
    </row>
    <row r="615" ht="15.75" customHeight="1" s="184">
      <c r="A615" s="5" t="n"/>
      <c r="B615" s="5" t="n"/>
      <c r="C615" s="5" t="n"/>
      <c r="D615" s="5" t="n"/>
      <c r="E615" s="5" t="n"/>
      <c r="F615" s="5" t="n"/>
      <c r="G615" s="5" t="n"/>
    </row>
    <row r="616" ht="15.75" customHeight="1" s="184">
      <c r="A616" s="5" t="n"/>
      <c r="B616" s="5" t="n"/>
      <c r="C616" s="5" t="n"/>
      <c r="D616" s="5" t="n"/>
      <c r="E616" s="5" t="n"/>
      <c r="F616" s="5" t="n"/>
      <c r="G616" s="5" t="n"/>
    </row>
    <row r="617" ht="15.75" customHeight="1" s="184">
      <c r="A617" s="5" t="n"/>
      <c r="B617" s="5" t="n"/>
      <c r="C617" s="5" t="n"/>
      <c r="D617" s="5" t="n"/>
      <c r="E617" s="5" t="n"/>
      <c r="F617" s="5" t="n"/>
      <c r="G617" s="5" t="n"/>
    </row>
    <row r="618" ht="15.75" customHeight="1" s="184">
      <c r="A618" s="5" t="n"/>
      <c r="B618" s="5" t="n"/>
      <c r="C618" s="5" t="n"/>
      <c r="D618" s="5" t="n"/>
      <c r="E618" s="5" t="n"/>
      <c r="F618" s="5" t="n"/>
      <c r="G618" s="5" t="n"/>
    </row>
    <row r="619" ht="15.75" customHeight="1" s="184">
      <c r="A619" s="5" t="n"/>
      <c r="B619" s="5" t="n"/>
      <c r="C619" s="5" t="n"/>
      <c r="D619" s="5" t="n"/>
      <c r="E619" s="5" t="n"/>
      <c r="F619" s="5" t="n"/>
      <c r="G619" s="5" t="n"/>
    </row>
    <row r="620" ht="15.75" customHeight="1" s="184">
      <c r="A620" s="5" t="n"/>
      <c r="B620" s="5" t="n"/>
      <c r="C620" s="5" t="n"/>
      <c r="D620" s="5" t="n"/>
      <c r="E620" s="5" t="n"/>
      <c r="F620" s="5" t="n"/>
      <c r="G620" s="5" t="n"/>
    </row>
    <row r="621" ht="15.75" customHeight="1" s="184">
      <c r="A621" s="5" t="n"/>
      <c r="B621" s="5" t="n"/>
      <c r="C621" s="5" t="n"/>
      <c r="D621" s="5" t="n"/>
      <c r="E621" s="5" t="n"/>
      <c r="F621" s="5" t="n"/>
      <c r="G621" s="5" t="n"/>
    </row>
    <row r="622" ht="15.75" customHeight="1" s="184">
      <c r="A622" s="5" t="n"/>
      <c r="B622" s="5" t="n"/>
      <c r="C622" s="5" t="n"/>
      <c r="D622" s="5" t="n"/>
      <c r="E622" s="5" t="n"/>
      <c r="F622" s="5" t="n"/>
      <c r="G622" s="5" t="n"/>
    </row>
    <row r="623" ht="15.75" customHeight="1" s="184">
      <c r="A623" s="5" t="n"/>
      <c r="B623" s="5" t="n"/>
      <c r="C623" s="5" t="n"/>
      <c r="D623" s="5" t="n"/>
      <c r="E623" s="5" t="n"/>
      <c r="F623" s="5" t="n"/>
      <c r="G623" s="5" t="n"/>
    </row>
    <row r="624" ht="15.75" customHeight="1" s="184">
      <c r="A624" s="5" t="n"/>
      <c r="B624" s="5" t="n"/>
      <c r="C624" s="5" t="n"/>
      <c r="D624" s="5" t="n"/>
      <c r="E624" s="5" t="n"/>
      <c r="F624" s="5" t="n"/>
      <c r="G624" s="5" t="n"/>
    </row>
    <row r="625" ht="15.75" customHeight="1" s="184">
      <c r="A625" s="5" t="n"/>
      <c r="B625" s="5" t="n"/>
      <c r="C625" s="5" t="n"/>
      <c r="D625" s="5" t="n"/>
      <c r="E625" s="5" t="n"/>
      <c r="F625" s="5" t="n"/>
      <c r="G625" s="5" t="n"/>
    </row>
    <row r="626" ht="15.75" customHeight="1" s="184">
      <c r="A626" s="5" t="n"/>
      <c r="B626" s="5" t="n"/>
      <c r="C626" s="5" t="n"/>
      <c r="D626" s="5" t="n"/>
      <c r="E626" s="5" t="n"/>
      <c r="F626" s="5" t="n"/>
      <c r="G626" s="5" t="n"/>
    </row>
    <row r="627" ht="15.75" customHeight="1" s="184">
      <c r="A627" s="5" t="n"/>
      <c r="B627" s="5" t="n"/>
      <c r="C627" s="5" t="n"/>
      <c r="D627" s="5" t="n"/>
      <c r="E627" s="5" t="n"/>
      <c r="F627" s="5" t="n"/>
      <c r="G627" s="5" t="n"/>
    </row>
    <row r="628" ht="15.75" customHeight="1" s="184">
      <c r="A628" s="5" t="n"/>
      <c r="B628" s="5" t="n"/>
      <c r="C628" s="5" t="n"/>
      <c r="D628" s="5" t="n"/>
      <c r="E628" s="5" t="n"/>
      <c r="F628" s="5" t="n"/>
      <c r="G628" s="5" t="n"/>
    </row>
    <row r="629" ht="15.75" customHeight="1" s="184">
      <c r="A629" s="5" t="n"/>
      <c r="B629" s="5" t="n"/>
      <c r="C629" s="5" t="n"/>
      <c r="D629" s="5" t="n"/>
      <c r="E629" s="5" t="n"/>
      <c r="F629" s="5" t="n"/>
      <c r="G629" s="5" t="n"/>
    </row>
    <row r="630" ht="15.75" customHeight="1" s="184">
      <c r="A630" s="5" t="n"/>
      <c r="B630" s="5" t="n"/>
      <c r="C630" s="5" t="n"/>
      <c r="D630" s="5" t="n"/>
      <c r="E630" s="5" t="n"/>
      <c r="F630" s="5" t="n"/>
      <c r="G630" s="5" t="n"/>
    </row>
    <row r="631" ht="15.75" customHeight="1" s="184">
      <c r="A631" s="5" t="n"/>
      <c r="B631" s="5" t="n"/>
      <c r="C631" s="5" t="n"/>
      <c r="D631" s="5" t="n"/>
      <c r="E631" s="5" t="n"/>
      <c r="F631" s="5" t="n"/>
      <c r="G631" s="5" t="n"/>
    </row>
    <row r="632" ht="15.75" customHeight="1" s="184">
      <c r="A632" s="5" t="n"/>
      <c r="B632" s="5" t="n"/>
      <c r="C632" s="5" t="n"/>
      <c r="D632" s="5" t="n"/>
      <c r="E632" s="5" t="n"/>
      <c r="F632" s="5" t="n"/>
      <c r="G632" s="5" t="n"/>
    </row>
    <row r="633" ht="15.75" customHeight="1" s="184">
      <c r="A633" s="5" t="n"/>
      <c r="B633" s="5" t="n"/>
      <c r="C633" s="5" t="n"/>
      <c r="D633" s="5" t="n"/>
      <c r="E633" s="5" t="n"/>
      <c r="F633" s="5" t="n"/>
      <c r="G633" s="5" t="n"/>
    </row>
    <row r="634" ht="15.75" customHeight="1" s="184">
      <c r="A634" s="5" t="n"/>
      <c r="B634" s="5" t="n"/>
      <c r="C634" s="5" t="n"/>
      <c r="D634" s="5" t="n"/>
      <c r="E634" s="5" t="n"/>
      <c r="F634" s="5" t="n"/>
      <c r="G634" s="5" t="n"/>
    </row>
    <row r="635" ht="15.75" customHeight="1" s="184">
      <c r="A635" s="5" t="n"/>
      <c r="B635" s="5" t="n"/>
      <c r="C635" s="5" t="n"/>
      <c r="D635" s="5" t="n"/>
      <c r="E635" s="5" t="n"/>
      <c r="F635" s="5" t="n"/>
      <c r="G635" s="5" t="n"/>
    </row>
    <row r="636" ht="15.75" customHeight="1" s="184">
      <c r="A636" s="5" t="n"/>
      <c r="B636" s="5" t="n"/>
      <c r="C636" s="5" t="n"/>
      <c r="D636" s="5" t="n"/>
      <c r="E636" s="5" t="n"/>
      <c r="F636" s="5" t="n"/>
      <c r="G636" s="5" t="n"/>
    </row>
    <row r="637" ht="15.75" customHeight="1" s="184">
      <c r="A637" s="5" t="n"/>
      <c r="B637" s="5" t="n"/>
      <c r="C637" s="5" t="n"/>
      <c r="D637" s="5" t="n"/>
      <c r="E637" s="5" t="n"/>
      <c r="F637" s="5" t="n"/>
      <c r="G637" s="5" t="n"/>
    </row>
    <row r="638" ht="15.75" customHeight="1" s="184">
      <c r="A638" s="5" t="n"/>
      <c r="B638" s="5" t="n"/>
      <c r="C638" s="5" t="n"/>
      <c r="D638" s="5" t="n"/>
      <c r="E638" s="5" t="n"/>
      <c r="F638" s="5" t="n"/>
      <c r="G638" s="5" t="n"/>
    </row>
    <row r="639" ht="15.75" customHeight="1" s="184">
      <c r="A639" s="5" t="n"/>
      <c r="B639" s="5" t="n"/>
      <c r="C639" s="5" t="n"/>
      <c r="D639" s="5" t="n"/>
      <c r="E639" s="5" t="n"/>
      <c r="F639" s="5" t="n"/>
      <c r="G639" s="5" t="n"/>
    </row>
    <row r="640" ht="15.75" customHeight="1" s="184">
      <c r="A640" s="5" t="n"/>
      <c r="B640" s="5" t="n"/>
      <c r="C640" s="5" t="n"/>
      <c r="D640" s="5" t="n"/>
      <c r="E640" s="5" t="n"/>
      <c r="F640" s="5" t="n"/>
      <c r="G640" s="5" t="n"/>
    </row>
    <row r="641" ht="15.75" customHeight="1" s="184">
      <c r="A641" s="5" t="n"/>
      <c r="B641" s="5" t="n"/>
      <c r="C641" s="5" t="n"/>
      <c r="D641" s="5" t="n"/>
      <c r="E641" s="5" t="n"/>
      <c r="F641" s="5" t="n"/>
      <c r="G641" s="5" t="n"/>
    </row>
    <row r="642" ht="15.75" customHeight="1" s="184">
      <c r="A642" s="5" t="n"/>
      <c r="B642" s="5" t="n"/>
      <c r="C642" s="5" t="n"/>
      <c r="D642" s="5" t="n"/>
      <c r="E642" s="5" t="n"/>
      <c r="F642" s="5" t="n"/>
      <c r="G642" s="5" t="n"/>
    </row>
    <row r="643" ht="15.75" customHeight="1" s="184">
      <c r="A643" s="5" t="n"/>
      <c r="B643" s="5" t="n"/>
      <c r="C643" s="5" t="n"/>
      <c r="D643" s="5" t="n"/>
      <c r="E643" s="5" t="n"/>
      <c r="F643" s="5" t="n"/>
      <c r="G643" s="5" t="n"/>
    </row>
    <row r="644" ht="15.75" customHeight="1" s="184">
      <c r="A644" s="5" t="n"/>
      <c r="B644" s="5" t="n"/>
      <c r="C644" s="5" t="n"/>
      <c r="D644" s="5" t="n"/>
      <c r="E644" s="5" t="n"/>
      <c r="F644" s="5" t="n"/>
      <c r="G644" s="5" t="n"/>
    </row>
    <row r="645" ht="15.75" customHeight="1" s="184">
      <c r="A645" s="5" t="n"/>
      <c r="B645" s="5" t="n"/>
      <c r="C645" s="5" t="n"/>
      <c r="D645" s="5" t="n"/>
      <c r="E645" s="5" t="n"/>
      <c r="F645" s="5" t="n"/>
      <c r="G645" s="5" t="n"/>
    </row>
    <row r="646" ht="15.75" customHeight="1" s="184">
      <c r="A646" s="5" t="n"/>
      <c r="B646" s="5" t="n"/>
      <c r="C646" s="5" t="n"/>
      <c r="D646" s="5" t="n"/>
      <c r="E646" s="5" t="n"/>
      <c r="F646" s="5" t="n"/>
      <c r="G646" s="5" t="n"/>
    </row>
    <row r="647" ht="15.75" customHeight="1" s="184">
      <c r="A647" s="5" t="n"/>
      <c r="B647" s="5" t="n"/>
      <c r="C647" s="5" t="n"/>
      <c r="D647" s="5" t="n"/>
      <c r="E647" s="5" t="n"/>
      <c r="F647" s="5" t="n"/>
      <c r="G647" s="5" t="n"/>
    </row>
    <row r="648" ht="15.75" customHeight="1" s="184">
      <c r="A648" s="5" t="n"/>
      <c r="B648" s="5" t="n"/>
      <c r="C648" s="5" t="n"/>
      <c r="D648" s="5" t="n"/>
      <c r="E648" s="5" t="n"/>
      <c r="F648" s="5" t="n"/>
      <c r="G648" s="5" t="n"/>
    </row>
    <row r="649" ht="15.75" customHeight="1" s="184">
      <c r="A649" s="5" t="n"/>
      <c r="B649" s="5" t="n"/>
      <c r="C649" s="5" t="n"/>
      <c r="D649" s="5" t="n"/>
      <c r="E649" s="5" t="n"/>
      <c r="F649" s="5" t="n"/>
      <c r="G649" s="5" t="n"/>
    </row>
    <row r="650" ht="15.75" customHeight="1" s="184">
      <c r="A650" s="5" t="n"/>
      <c r="B650" s="5" t="n"/>
      <c r="C650" s="5" t="n"/>
      <c r="D650" s="5" t="n"/>
      <c r="E650" s="5" t="n"/>
      <c r="F650" s="5" t="n"/>
      <c r="G650" s="5" t="n"/>
    </row>
    <row r="651" ht="15.75" customHeight="1" s="184">
      <c r="A651" s="5" t="n"/>
      <c r="B651" s="5" t="n"/>
      <c r="C651" s="5" t="n"/>
      <c r="D651" s="5" t="n"/>
      <c r="E651" s="5" t="n"/>
      <c r="F651" s="5" t="n"/>
      <c r="G651" s="5" t="n"/>
    </row>
    <row r="652" ht="15.75" customHeight="1" s="184">
      <c r="A652" s="5" t="n"/>
      <c r="B652" s="5" t="n"/>
      <c r="C652" s="5" t="n"/>
      <c r="D652" s="5" t="n"/>
      <c r="E652" s="5" t="n"/>
      <c r="F652" s="5" t="n"/>
      <c r="G652" s="5" t="n"/>
    </row>
    <row r="653" ht="15.75" customHeight="1" s="184">
      <c r="A653" s="5" t="n"/>
      <c r="B653" s="5" t="n"/>
      <c r="C653" s="5" t="n"/>
      <c r="D653" s="5" t="n"/>
      <c r="E653" s="5" t="n"/>
      <c r="F653" s="5" t="n"/>
      <c r="G653" s="5" t="n"/>
    </row>
    <row r="654" ht="15.75" customHeight="1" s="184">
      <c r="A654" s="5" t="n"/>
      <c r="B654" s="5" t="n"/>
      <c r="C654" s="5" t="n"/>
      <c r="D654" s="5" t="n"/>
      <c r="E654" s="5" t="n"/>
      <c r="F654" s="5" t="n"/>
      <c r="G654" s="5" t="n"/>
    </row>
    <row r="655" ht="15.75" customHeight="1" s="184">
      <c r="A655" s="5" t="n"/>
      <c r="B655" s="5" t="n"/>
      <c r="C655" s="5" t="n"/>
      <c r="D655" s="5" t="n"/>
      <c r="E655" s="5" t="n"/>
      <c r="F655" s="5" t="n"/>
      <c r="G655" s="5" t="n"/>
    </row>
    <row r="656" ht="15.75" customHeight="1" s="184">
      <c r="A656" s="5" t="n"/>
      <c r="B656" s="5" t="n"/>
      <c r="C656" s="5" t="n"/>
      <c r="D656" s="5" t="n"/>
      <c r="E656" s="5" t="n"/>
      <c r="F656" s="5" t="n"/>
      <c r="G656" s="5" t="n"/>
    </row>
    <row r="657" ht="15.75" customHeight="1" s="184">
      <c r="A657" s="5" t="n"/>
      <c r="B657" s="5" t="n"/>
      <c r="C657" s="5" t="n"/>
      <c r="D657" s="5" t="n"/>
      <c r="E657" s="5" t="n"/>
      <c r="F657" s="5" t="n"/>
      <c r="G657" s="5" t="n"/>
    </row>
    <row r="658" ht="15.75" customHeight="1" s="184">
      <c r="A658" s="5" t="n"/>
      <c r="B658" s="5" t="n"/>
      <c r="C658" s="5" t="n"/>
      <c r="D658" s="5" t="n"/>
      <c r="E658" s="5" t="n"/>
      <c r="F658" s="5" t="n"/>
      <c r="G658" s="5" t="n"/>
    </row>
    <row r="659" ht="15.75" customHeight="1" s="184">
      <c r="A659" s="5" t="n"/>
      <c r="B659" s="5" t="n"/>
      <c r="C659" s="5" t="n"/>
      <c r="D659" s="5" t="n"/>
      <c r="E659" s="5" t="n"/>
      <c r="F659" s="5" t="n"/>
      <c r="G659" s="5" t="n"/>
    </row>
    <row r="660" ht="15.75" customHeight="1" s="184">
      <c r="A660" s="5" t="n"/>
      <c r="B660" s="5" t="n"/>
      <c r="C660" s="5" t="n"/>
      <c r="D660" s="5" t="n"/>
      <c r="E660" s="5" t="n"/>
      <c r="F660" s="5" t="n"/>
      <c r="G660" s="5" t="n"/>
    </row>
    <row r="661" ht="15.75" customHeight="1" s="184">
      <c r="A661" s="5" t="n"/>
      <c r="B661" s="5" t="n"/>
      <c r="C661" s="5" t="n"/>
      <c r="D661" s="5" t="n"/>
      <c r="E661" s="5" t="n"/>
      <c r="F661" s="5" t="n"/>
      <c r="G661" s="5" t="n"/>
    </row>
    <row r="662" ht="15.75" customHeight="1" s="184">
      <c r="A662" s="5" t="n"/>
      <c r="B662" s="5" t="n"/>
      <c r="C662" s="5" t="n"/>
      <c r="D662" s="5" t="n"/>
      <c r="E662" s="5" t="n"/>
      <c r="F662" s="5" t="n"/>
      <c r="G662" s="5" t="n"/>
    </row>
    <row r="663" ht="15.75" customHeight="1" s="184">
      <c r="A663" s="5" t="n"/>
      <c r="B663" s="5" t="n"/>
      <c r="C663" s="5" t="n"/>
      <c r="D663" s="5" t="n"/>
      <c r="E663" s="5" t="n"/>
      <c r="F663" s="5" t="n"/>
      <c r="G663" s="5" t="n"/>
    </row>
    <row r="664" ht="15.75" customHeight="1" s="184">
      <c r="A664" s="5" t="n"/>
      <c r="B664" s="5" t="n"/>
      <c r="C664" s="5" t="n"/>
      <c r="D664" s="5" t="n"/>
      <c r="E664" s="5" t="n"/>
      <c r="F664" s="5" t="n"/>
      <c r="G664" s="5" t="n"/>
    </row>
    <row r="665" ht="15.75" customHeight="1" s="184">
      <c r="A665" s="5" t="n"/>
      <c r="B665" s="5" t="n"/>
      <c r="C665" s="5" t="n"/>
      <c r="D665" s="5" t="n"/>
      <c r="E665" s="5" t="n"/>
      <c r="F665" s="5" t="n"/>
      <c r="G665" s="5" t="n"/>
    </row>
    <row r="666" ht="15.75" customHeight="1" s="184">
      <c r="A666" s="5" t="n"/>
      <c r="B666" s="5" t="n"/>
      <c r="C666" s="5" t="n"/>
      <c r="D666" s="5" t="n"/>
      <c r="E666" s="5" t="n"/>
      <c r="F666" s="5" t="n"/>
      <c r="G666" s="5" t="n"/>
    </row>
    <row r="667" ht="15.75" customHeight="1" s="184">
      <c r="A667" s="5" t="n"/>
      <c r="B667" s="5" t="n"/>
      <c r="C667" s="5" t="n"/>
      <c r="D667" s="5" t="n"/>
      <c r="E667" s="5" t="n"/>
      <c r="F667" s="5" t="n"/>
      <c r="G667" s="5" t="n"/>
    </row>
    <row r="668" ht="15.75" customHeight="1" s="184">
      <c r="A668" s="5" t="n"/>
      <c r="B668" s="5" t="n"/>
      <c r="C668" s="5" t="n"/>
      <c r="D668" s="5" t="n"/>
      <c r="E668" s="5" t="n"/>
      <c r="F668" s="5" t="n"/>
      <c r="G668" s="5" t="n"/>
    </row>
    <row r="669" ht="15.75" customHeight="1" s="184">
      <c r="A669" s="5" t="n"/>
      <c r="B669" s="5" t="n"/>
      <c r="C669" s="5" t="n"/>
      <c r="D669" s="5" t="n"/>
      <c r="E669" s="5" t="n"/>
      <c r="F669" s="5" t="n"/>
      <c r="G669" s="5" t="n"/>
    </row>
    <row r="670" ht="15.75" customHeight="1" s="184">
      <c r="A670" s="5" t="n"/>
      <c r="B670" s="5" t="n"/>
      <c r="C670" s="5" t="n"/>
      <c r="D670" s="5" t="n"/>
      <c r="E670" s="5" t="n"/>
      <c r="F670" s="5" t="n"/>
      <c r="G670" s="5" t="n"/>
    </row>
    <row r="671" ht="15.75" customHeight="1" s="184">
      <c r="A671" s="5" t="n"/>
      <c r="B671" s="5" t="n"/>
      <c r="C671" s="5" t="n"/>
      <c r="D671" s="5" t="n"/>
      <c r="E671" s="5" t="n"/>
      <c r="F671" s="5" t="n"/>
      <c r="G671" s="5" t="n"/>
    </row>
    <row r="672" ht="15.75" customHeight="1" s="184">
      <c r="A672" s="5" t="n"/>
      <c r="B672" s="5" t="n"/>
      <c r="C672" s="5" t="n"/>
      <c r="D672" s="5" t="n"/>
      <c r="E672" s="5" t="n"/>
      <c r="F672" s="5" t="n"/>
      <c r="G672" s="5" t="n"/>
    </row>
    <row r="673" ht="15.75" customHeight="1" s="184">
      <c r="A673" s="5" t="n"/>
      <c r="B673" s="5" t="n"/>
      <c r="C673" s="5" t="n"/>
      <c r="D673" s="5" t="n"/>
      <c r="E673" s="5" t="n"/>
      <c r="F673" s="5" t="n"/>
      <c r="G673" s="5" t="n"/>
    </row>
    <row r="674" ht="15.75" customHeight="1" s="184">
      <c r="A674" s="5" t="n"/>
      <c r="B674" s="5" t="n"/>
      <c r="C674" s="5" t="n"/>
      <c r="D674" s="5" t="n"/>
      <c r="E674" s="5" t="n"/>
      <c r="F674" s="5" t="n"/>
      <c r="G674" s="5" t="n"/>
    </row>
    <row r="675" ht="15.75" customHeight="1" s="184">
      <c r="A675" s="5" t="n"/>
      <c r="B675" s="5" t="n"/>
      <c r="C675" s="5" t="n"/>
      <c r="D675" s="5" t="n"/>
      <c r="E675" s="5" t="n"/>
      <c r="F675" s="5" t="n"/>
      <c r="G675" s="5" t="n"/>
    </row>
    <row r="676" ht="15.75" customHeight="1" s="184">
      <c r="A676" s="5" t="n"/>
      <c r="B676" s="5" t="n"/>
      <c r="C676" s="5" t="n"/>
      <c r="D676" s="5" t="n"/>
      <c r="E676" s="5" t="n"/>
      <c r="F676" s="5" t="n"/>
      <c r="G676" s="5" t="n"/>
    </row>
    <row r="677" ht="15.75" customHeight="1" s="184">
      <c r="A677" s="5" t="n"/>
      <c r="B677" s="5" t="n"/>
      <c r="C677" s="5" t="n"/>
      <c r="D677" s="5" t="n"/>
      <c r="E677" s="5" t="n"/>
      <c r="F677" s="5" t="n"/>
      <c r="G677" s="5" t="n"/>
    </row>
    <row r="678" ht="15.75" customHeight="1" s="184">
      <c r="A678" s="5" t="n"/>
      <c r="B678" s="5" t="n"/>
      <c r="C678" s="5" t="n"/>
      <c r="D678" s="5" t="n"/>
      <c r="E678" s="5" t="n"/>
      <c r="F678" s="5" t="n"/>
      <c r="G678" s="5" t="n"/>
    </row>
    <row r="679" ht="15.75" customHeight="1" s="184">
      <c r="A679" s="5" t="n"/>
      <c r="B679" s="5" t="n"/>
      <c r="C679" s="5" t="n"/>
      <c r="D679" s="5" t="n"/>
      <c r="E679" s="5" t="n"/>
      <c r="F679" s="5" t="n"/>
      <c r="G679" s="5" t="n"/>
    </row>
    <row r="680" ht="15.75" customHeight="1" s="184">
      <c r="A680" s="5" t="n"/>
      <c r="B680" s="5" t="n"/>
      <c r="C680" s="5" t="n"/>
      <c r="D680" s="5" t="n"/>
      <c r="E680" s="5" t="n"/>
      <c r="F680" s="5" t="n"/>
      <c r="G680" s="5" t="n"/>
    </row>
    <row r="681" ht="15.75" customHeight="1" s="184">
      <c r="A681" s="5" t="n"/>
      <c r="B681" s="5" t="n"/>
      <c r="C681" s="5" t="n"/>
      <c r="D681" s="5" t="n"/>
      <c r="E681" s="5" t="n"/>
      <c r="F681" s="5" t="n"/>
      <c r="G681" s="5" t="n"/>
    </row>
    <row r="682" ht="15.75" customHeight="1" s="184">
      <c r="A682" s="5" t="n"/>
      <c r="B682" s="5" t="n"/>
      <c r="C682" s="5" t="n"/>
      <c r="D682" s="5" t="n"/>
      <c r="E682" s="5" t="n"/>
      <c r="F682" s="5" t="n"/>
      <c r="G682" s="5" t="n"/>
    </row>
    <row r="683" ht="15.75" customHeight="1" s="184">
      <c r="A683" s="5" t="n"/>
      <c r="B683" s="5" t="n"/>
      <c r="C683" s="5" t="n"/>
      <c r="D683" s="5" t="n"/>
      <c r="E683" s="5" t="n"/>
      <c r="F683" s="5" t="n"/>
      <c r="G683" s="5" t="n"/>
    </row>
    <row r="684" ht="15.75" customHeight="1" s="184">
      <c r="A684" s="5" t="n"/>
      <c r="B684" s="5" t="n"/>
      <c r="C684" s="5" t="n"/>
      <c r="D684" s="5" t="n"/>
      <c r="E684" s="5" t="n"/>
      <c r="F684" s="5" t="n"/>
      <c r="G684" s="5" t="n"/>
    </row>
    <row r="685" ht="15.75" customHeight="1" s="184">
      <c r="A685" s="5" t="n"/>
      <c r="B685" s="5" t="n"/>
      <c r="C685" s="5" t="n"/>
      <c r="D685" s="5" t="n"/>
      <c r="E685" s="5" t="n"/>
      <c r="F685" s="5" t="n"/>
      <c r="G685" s="5" t="n"/>
    </row>
    <row r="686" ht="15.75" customHeight="1" s="184">
      <c r="A686" s="5" t="n"/>
      <c r="B686" s="5" t="n"/>
      <c r="C686" s="5" t="n"/>
      <c r="D686" s="5" t="n"/>
      <c r="E686" s="5" t="n"/>
      <c r="F686" s="5" t="n"/>
      <c r="G686" s="5" t="n"/>
    </row>
    <row r="687" ht="15.75" customHeight="1" s="184">
      <c r="A687" s="5" t="n"/>
      <c r="B687" s="5" t="n"/>
      <c r="C687" s="5" t="n"/>
      <c r="D687" s="5" t="n"/>
      <c r="E687" s="5" t="n"/>
      <c r="F687" s="5" t="n"/>
      <c r="G687" s="5" t="n"/>
    </row>
    <row r="688" ht="15.75" customHeight="1" s="184">
      <c r="A688" s="5" t="n"/>
      <c r="B688" s="5" t="n"/>
      <c r="C688" s="5" t="n"/>
      <c r="D688" s="5" t="n"/>
      <c r="E688" s="5" t="n"/>
      <c r="F688" s="5" t="n"/>
      <c r="G688" s="5" t="n"/>
    </row>
    <row r="689" ht="15.75" customHeight="1" s="184">
      <c r="A689" s="5" t="n"/>
      <c r="B689" s="5" t="n"/>
      <c r="C689" s="5" t="n"/>
      <c r="D689" s="5" t="n"/>
      <c r="E689" s="5" t="n"/>
      <c r="F689" s="5" t="n"/>
      <c r="G689" s="5" t="n"/>
    </row>
    <row r="690" ht="15.75" customHeight="1" s="184">
      <c r="A690" s="5" t="n"/>
      <c r="B690" s="5" t="n"/>
      <c r="C690" s="5" t="n"/>
      <c r="D690" s="5" t="n"/>
      <c r="E690" s="5" t="n"/>
      <c r="F690" s="5" t="n"/>
      <c r="G690" s="5" t="n"/>
    </row>
    <row r="691" ht="15.75" customHeight="1" s="184">
      <c r="A691" s="5" t="n"/>
      <c r="B691" s="5" t="n"/>
      <c r="C691" s="5" t="n"/>
      <c r="D691" s="5" t="n"/>
      <c r="E691" s="5" t="n"/>
      <c r="F691" s="5" t="n"/>
      <c r="G691" s="5" t="n"/>
    </row>
    <row r="692" ht="15.75" customHeight="1" s="184">
      <c r="A692" s="5" t="n"/>
      <c r="B692" s="5" t="n"/>
      <c r="C692" s="5" t="n"/>
      <c r="D692" s="5" t="n"/>
      <c r="E692" s="5" t="n"/>
      <c r="F692" s="5" t="n"/>
      <c r="G692" s="5" t="n"/>
    </row>
    <row r="693" ht="15.75" customHeight="1" s="184">
      <c r="A693" s="5" t="n"/>
      <c r="B693" s="5" t="n"/>
      <c r="C693" s="5" t="n"/>
      <c r="D693" s="5" t="n"/>
      <c r="E693" s="5" t="n"/>
      <c r="F693" s="5" t="n"/>
      <c r="G693" s="5" t="n"/>
    </row>
    <row r="694" ht="15.75" customHeight="1" s="184">
      <c r="A694" s="5" t="n"/>
      <c r="B694" s="5" t="n"/>
      <c r="C694" s="5" t="n"/>
      <c r="D694" s="5" t="n"/>
      <c r="E694" s="5" t="n"/>
      <c r="F694" s="5" t="n"/>
      <c r="G694" s="5" t="n"/>
    </row>
    <row r="695" ht="15.75" customHeight="1" s="184">
      <c r="A695" s="5" t="n"/>
      <c r="B695" s="5" t="n"/>
      <c r="C695" s="5" t="n"/>
      <c r="D695" s="5" t="n"/>
      <c r="E695" s="5" t="n"/>
      <c r="F695" s="5" t="n"/>
      <c r="G695" s="5" t="n"/>
    </row>
    <row r="696" ht="15.75" customHeight="1" s="184">
      <c r="A696" s="5" t="n"/>
      <c r="B696" s="5" t="n"/>
      <c r="C696" s="5" t="n"/>
      <c r="D696" s="5" t="n"/>
      <c r="E696" s="5" t="n"/>
      <c r="F696" s="5" t="n"/>
      <c r="G696" s="5" t="n"/>
    </row>
    <row r="697" ht="15.75" customHeight="1" s="184">
      <c r="A697" s="5" t="n"/>
      <c r="B697" s="5" t="n"/>
      <c r="C697" s="5" t="n"/>
      <c r="D697" s="5" t="n"/>
      <c r="E697" s="5" t="n"/>
      <c r="F697" s="5" t="n"/>
      <c r="G697" s="5" t="n"/>
    </row>
    <row r="698" ht="15.75" customHeight="1" s="184">
      <c r="A698" s="5" t="n"/>
      <c r="B698" s="5" t="n"/>
      <c r="C698" s="5" t="n"/>
      <c r="D698" s="5" t="n"/>
      <c r="E698" s="5" t="n"/>
      <c r="F698" s="5" t="n"/>
      <c r="G698" s="5" t="n"/>
    </row>
    <row r="699" ht="15.75" customHeight="1" s="184">
      <c r="A699" s="5" t="n"/>
      <c r="B699" s="5" t="n"/>
      <c r="C699" s="5" t="n"/>
      <c r="D699" s="5" t="n"/>
      <c r="E699" s="5" t="n"/>
      <c r="F699" s="5" t="n"/>
      <c r="G699" s="5" t="n"/>
    </row>
    <row r="700" ht="15.75" customHeight="1" s="184">
      <c r="A700" s="5" t="n"/>
      <c r="B700" s="5" t="n"/>
      <c r="C700" s="5" t="n"/>
      <c r="D700" s="5" t="n"/>
      <c r="E700" s="5" t="n"/>
      <c r="F700" s="5" t="n"/>
      <c r="G700" s="5" t="n"/>
    </row>
    <row r="701" ht="15.75" customHeight="1" s="184">
      <c r="A701" s="5" t="n"/>
      <c r="B701" s="5" t="n"/>
      <c r="C701" s="5" t="n"/>
      <c r="D701" s="5" t="n"/>
      <c r="E701" s="5" t="n"/>
      <c r="F701" s="5" t="n"/>
      <c r="G701" s="5" t="n"/>
    </row>
    <row r="702" ht="15.75" customHeight="1" s="184">
      <c r="A702" s="5" t="n"/>
      <c r="B702" s="5" t="n"/>
      <c r="C702" s="5" t="n"/>
      <c r="D702" s="5" t="n"/>
      <c r="E702" s="5" t="n"/>
      <c r="F702" s="5" t="n"/>
      <c r="G702" s="5" t="n"/>
    </row>
    <row r="703" ht="15.75" customHeight="1" s="184">
      <c r="A703" s="5" t="n"/>
      <c r="B703" s="5" t="n"/>
      <c r="C703" s="5" t="n"/>
      <c r="D703" s="5" t="n"/>
      <c r="E703" s="5" t="n"/>
      <c r="F703" s="5" t="n"/>
      <c r="G703" s="5" t="n"/>
    </row>
    <row r="704" ht="15.75" customHeight="1" s="184">
      <c r="A704" s="5" t="n"/>
      <c r="B704" s="5" t="n"/>
      <c r="C704" s="5" t="n"/>
      <c r="D704" s="5" t="n"/>
      <c r="E704" s="5" t="n"/>
      <c r="F704" s="5" t="n"/>
      <c r="G704" s="5" t="n"/>
    </row>
    <row r="705" ht="15.75" customHeight="1" s="184">
      <c r="A705" s="5" t="n"/>
      <c r="B705" s="5" t="n"/>
      <c r="C705" s="5" t="n"/>
      <c r="D705" s="5" t="n"/>
      <c r="E705" s="5" t="n"/>
      <c r="F705" s="5" t="n"/>
      <c r="G705" s="5" t="n"/>
    </row>
    <row r="706" ht="15.75" customHeight="1" s="184">
      <c r="A706" s="5" t="n"/>
      <c r="B706" s="5" t="n"/>
      <c r="C706" s="5" t="n"/>
      <c r="D706" s="5" t="n"/>
      <c r="E706" s="5" t="n"/>
      <c r="F706" s="5" t="n"/>
      <c r="G706" s="5" t="n"/>
    </row>
    <row r="707" ht="15.75" customHeight="1" s="184">
      <c r="A707" s="5" t="n"/>
      <c r="B707" s="5" t="n"/>
      <c r="C707" s="5" t="n"/>
      <c r="D707" s="5" t="n"/>
      <c r="E707" s="5" t="n"/>
      <c r="F707" s="5" t="n"/>
      <c r="G707" s="5" t="n"/>
    </row>
    <row r="708" ht="15.75" customHeight="1" s="184">
      <c r="A708" s="5" t="n"/>
      <c r="B708" s="5" t="n"/>
      <c r="C708" s="5" t="n"/>
      <c r="D708" s="5" t="n"/>
      <c r="E708" s="5" t="n"/>
      <c r="F708" s="5" t="n"/>
      <c r="G708" s="5" t="n"/>
    </row>
    <row r="709" ht="15.75" customHeight="1" s="184">
      <c r="A709" s="5" t="n"/>
      <c r="B709" s="5" t="n"/>
      <c r="C709" s="5" t="n"/>
      <c r="D709" s="5" t="n"/>
      <c r="E709" s="5" t="n"/>
      <c r="F709" s="5" t="n"/>
      <c r="G709" s="5" t="n"/>
    </row>
    <row r="710" ht="15.75" customHeight="1" s="184">
      <c r="A710" s="5" t="n"/>
      <c r="B710" s="5" t="n"/>
      <c r="C710" s="5" t="n"/>
      <c r="D710" s="5" t="n"/>
      <c r="E710" s="5" t="n"/>
      <c r="F710" s="5" t="n"/>
      <c r="G710" s="5" t="n"/>
    </row>
    <row r="711" ht="15.75" customHeight="1" s="184">
      <c r="A711" s="5" t="n"/>
      <c r="B711" s="5" t="n"/>
      <c r="C711" s="5" t="n"/>
      <c r="D711" s="5" t="n"/>
      <c r="E711" s="5" t="n"/>
      <c r="F711" s="5" t="n"/>
      <c r="G711" s="5" t="n"/>
    </row>
    <row r="712" ht="15.75" customHeight="1" s="184">
      <c r="A712" s="5" t="n"/>
      <c r="B712" s="5" t="n"/>
      <c r="C712" s="5" t="n"/>
      <c r="D712" s="5" t="n"/>
      <c r="E712" s="5" t="n"/>
      <c r="F712" s="5" t="n"/>
      <c r="G712" s="5" t="n"/>
    </row>
    <row r="713" ht="15.75" customHeight="1" s="184">
      <c r="A713" s="5" t="n"/>
      <c r="B713" s="5" t="n"/>
      <c r="C713" s="5" t="n"/>
      <c r="D713" s="5" t="n"/>
      <c r="E713" s="5" t="n"/>
      <c r="F713" s="5" t="n"/>
      <c r="G713" s="5" t="n"/>
    </row>
    <row r="714" ht="15.75" customHeight="1" s="184">
      <c r="A714" s="5" t="n"/>
      <c r="B714" s="5" t="n"/>
      <c r="C714" s="5" t="n"/>
      <c r="D714" s="5" t="n"/>
      <c r="E714" s="5" t="n"/>
      <c r="F714" s="5" t="n"/>
      <c r="G714" s="5" t="n"/>
    </row>
    <row r="715" ht="15.75" customHeight="1" s="184">
      <c r="A715" s="5" t="n"/>
      <c r="B715" s="5" t="n"/>
      <c r="C715" s="5" t="n"/>
      <c r="D715" s="5" t="n"/>
      <c r="E715" s="5" t="n"/>
      <c r="F715" s="5" t="n"/>
      <c r="G715" s="5" t="n"/>
    </row>
    <row r="716" ht="15.75" customHeight="1" s="184">
      <c r="A716" s="5" t="n"/>
      <c r="B716" s="5" t="n"/>
      <c r="C716" s="5" t="n"/>
      <c r="D716" s="5" t="n"/>
      <c r="E716" s="5" t="n"/>
      <c r="F716" s="5" t="n"/>
      <c r="G716" s="5" t="n"/>
    </row>
    <row r="717" ht="15.75" customHeight="1" s="184">
      <c r="A717" s="5" t="n"/>
      <c r="B717" s="5" t="n"/>
      <c r="C717" s="5" t="n"/>
      <c r="D717" s="5" t="n"/>
      <c r="E717" s="5" t="n"/>
      <c r="F717" s="5" t="n"/>
      <c r="G717" s="5" t="n"/>
    </row>
    <row r="718" ht="15.75" customHeight="1" s="184">
      <c r="A718" s="5" t="n"/>
      <c r="B718" s="5" t="n"/>
      <c r="C718" s="5" t="n"/>
      <c r="D718" s="5" t="n"/>
      <c r="E718" s="5" t="n"/>
      <c r="F718" s="5" t="n"/>
      <c r="G718" s="5" t="n"/>
    </row>
    <row r="719" ht="15.75" customHeight="1" s="184">
      <c r="A719" s="5" t="n"/>
      <c r="B719" s="5" t="n"/>
      <c r="C719" s="5" t="n"/>
      <c r="D719" s="5" t="n"/>
      <c r="E719" s="5" t="n"/>
      <c r="F719" s="5" t="n"/>
      <c r="G719" s="5" t="n"/>
    </row>
    <row r="720" ht="15.75" customHeight="1" s="184">
      <c r="A720" s="5" t="n"/>
      <c r="B720" s="5" t="n"/>
      <c r="C720" s="5" t="n"/>
      <c r="D720" s="5" t="n"/>
      <c r="E720" s="5" t="n"/>
      <c r="F720" s="5" t="n"/>
      <c r="G720" s="5" t="n"/>
    </row>
    <row r="721" ht="15.75" customHeight="1" s="184">
      <c r="A721" s="5" t="n"/>
      <c r="B721" s="5" t="n"/>
      <c r="C721" s="5" t="n"/>
      <c r="D721" s="5" t="n"/>
      <c r="E721" s="5" t="n"/>
      <c r="F721" s="5" t="n"/>
      <c r="G721" s="5" t="n"/>
    </row>
    <row r="722" ht="15.75" customHeight="1" s="184">
      <c r="A722" s="5" t="n"/>
      <c r="B722" s="5" t="n"/>
      <c r="C722" s="5" t="n"/>
      <c r="D722" s="5" t="n"/>
      <c r="E722" s="5" t="n"/>
      <c r="F722" s="5" t="n"/>
      <c r="G722" s="5" t="n"/>
    </row>
    <row r="723" ht="15.75" customHeight="1" s="184">
      <c r="A723" s="5" t="n"/>
      <c r="B723" s="5" t="n"/>
      <c r="C723" s="5" t="n"/>
      <c r="D723" s="5" t="n"/>
      <c r="E723" s="5" t="n"/>
      <c r="F723" s="5" t="n"/>
      <c r="G723" s="5" t="n"/>
    </row>
    <row r="724" ht="15.75" customHeight="1" s="184">
      <c r="A724" s="5" t="n"/>
      <c r="B724" s="5" t="n"/>
      <c r="C724" s="5" t="n"/>
      <c r="D724" s="5" t="n"/>
      <c r="E724" s="5" t="n"/>
      <c r="F724" s="5" t="n"/>
      <c r="G724" s="5" t="n"/>
    </row>
    <row r="725" ht="15.75" customHeight="1" s="184">
      <c r="A725" s="5" t="n"/>
      <c r="B725" s="5" t="n"/>
      <c r="C725" s="5" t="n"/>
      <c r="D725" s="5" t="n"/>
      <c r="E725" s="5" t="n"/>
      <c r="F725" s="5" t="n"/>
      <c r="G725" s="5" t="n"/>
    </row>
    <row r="726" ht="15.75" customHeight="1" s="184">
      <c r="A726" s="5" t="n"/>
      <c r="B726" s="5" t="n"/>
      <c r="C726" s="5" t="n"/>
      <c r="D726" s="5" t="n"/>
      <c r="E726" s="5" t="n"/>
      <c r="F726" s="5" t="n"/>
      <c r="G726" s="5" t="n"/>
    </row>
    <row r="727" ht="15.75" customHeight="1" s="184">
      <c r="A727" s="5" t="n"/>
      <c r="B727" s="5" t="n"/>
      <c r="C727" s="5" t="n"/>
      <c r="D727" s="5" t="n"/>
      <c r="E727" s="5" t="n"/>
      <c r="F727" s="5" t="n"/>
      <c r="G727" s="5" t="n"/>
    </row>
    <row r="728" ht="15.75" customHeight="1" s="184">
      <c r="A728" s="5" t="n"/>
      <c r="B728" s="5" t="n"/>
      <c r="C728" s="5" t="n"/>
      <c r="D728" s="5" t="n"/>
      <c r="E728" s="5" t="n"/>
      <c r="F728" s="5" t="n"/>
      <c r="G728" s="5" t="n"/>
    </row>
    <row r="729" ht="15.75" customHeight="1" s="184">
      <c r="A729" s="5" t="n"/>
      <c r="B729" s="5" t="n"/>
      <c r="C729" s="5" t="n"/>
      <c r="D729" s="5" t="n"/>
      <c r="E729" s="5" t="n"/>
      <c r="F729" s="5" t="n"/>
      <c r="G729" s="5" t="n"/>
    </row>
    <row r="730" ht="15.75" customHeight="1" s="184">
      <c r="A730" s="5" t="n"/>
      <c r="B730" s="5" t="n"/>
      <c r="C730" s="5" t="n"/>
      <c r="D730" s="5" t="n"/>
      <c r="E730" s="5" t="n"/>
      <c r="F730" s="5" t="n"/>
      <c r="G730" s="5" t="n"/>
    </row>
    <row r="731" ht="15.75" customHeight="1" s="184">
      <c r="A731" s="5" t="n"/>
      <c r="B731" s="5" t="n"/>
      <c r="C731" s="5" t="n"/>
      <c r="D731" s="5" t="n"/>
      <c r="E731" s="5" t="n"/>
      <c r="F731" s="5" t="n"/>
      <c r="G731" s="5" t="n"/>
    </row>
    <row r="732" ht="15.75" customHeight="1" s="184">
      <c r="A732" s="5" t="n"/>
      <c r="B732" s="5" t="n"/>
      <c r="C732" s="5" t="n"/>
      <c r="D732" s="5" t="n"/>
      <c r="E732" s="5" t="n"/>
      <c r="F732" s="5" t="n"/>
      <c r="G732" s="5" t="n"/>
    </row>
    <row r="733" ht="15.75" customHeight="1" s="184">
      <c r="A733" s="5" t="n"/>
      <c r="B733" s="5" t="n"/>
      <c r="C733" s="5" t="n"/>
      <c r="D733" s="5" t="n"/>
      <c r="E733" s="5" t="n"/>
      <c r="F733" s="5" t="n"/>
      <c r="G733" s="5" t="n"/>
    </row>
    <row r="734" ht="15.75" customHeight="1" s="184">
      <c r="A734" s="5" t="n"/>
      <c r="B734" s="5" t="n"/>
      <c r="C734" s="5" t="n"/>
      <c r="D734" s="5" t="n"/>
      <c r="E734" s="5" t="n"/>
      <c r="F734" s="5" t="n"/>
      <c r="G734" s="5" t="n"/>
    </row>
    <row r="735" ht="15.75" customHeight="1" s="184">
      <c r="A735" s="5" t="n"/>
      <c r="B735" s="5" t="n"/>
      <c r="C735" s="5" t="n"/>
      <c r="D735" s="5" t="n"/>
      <c r="E735" s="5" t="n"/>
      <c r="F735" s="5" t="n"/>
      <c r="G735" s="5" t="n"/>
    </row>
    <row r="736" ht="15.75" customHeight="1" s="184">
      <c r="A736" s="5" t="n"/>
      <c r="B736" s="5" t="n"/>
      <c r="C736" s="5" t="n"/>
      <c r="D736" s="5" t="n"/>
      <c r="E736" s="5" t="n"/>
      <c r="F736" s="5" t="n"/>
      <c r="G736" s="5" t="n"/>
    </row>
    <row r="737" ht="15.75" customHeight="1" s="184">
      <c r="A737" s="5" t="n"/>
      <c r="B737" s="5" t="n"/>
      <c r="C737" s="5" t="n"/>
      <c r="D737" s="5" t="n"/>
      <c r="E737" s="5" t="n"/>
      <c r="F737" s="5" t="n"/>
      <c r="G737" s="5" t="n"/>
    </row>
    <row r="738" ht="15.75" customHeight="1" s="184">
      <c r="A738" s="5" t="n"/>
      <c r="B738" s="5" t="n"/>
      <c r="C738" s="5" t="n"/>
      <c r="D738" s="5" t="n"/>
      <c r="E738" s="5" t="n"/>
      <c r="F738" s="5" t="n"/>
      <c r="G738" s="5" t="n"/>
    </row>
    <row r="739" ht="15.75" customHeight="1" s="184">
      <c r="A739" s="5" t="n"/>
      <c r="B739" s="5" t="n"/>
      <c r="C739" s="5" t="n"/>
      <c r="D739" s="5" t="n"/>
      <c r="E739" s="5" t="n"/>
      <c r="F739" s="5" t="n"/>
      <c r="G739" s="5" t="n"/>
    </row>
    <row r="740" ht="15.75" customHeight="1" s="184">
      <c r="A740" s="5" t="n"/>
      <c r="B740" s="5" t="n"/>
      <c r="C740" s="5" t="n"/>
      <c r="D740" s="5" t="n"/>
      <c r="E740" s="5" t="n"/>
      <c r="F740" s="5" t="n"/>
      <c r="G740" s="5" t="n"/>
    </row>
    <row r="741" ht="15.75" customHeight="1" s="184">
      <c r="A741" s="5" t="n"/>
      <c r="B741" s="5" t="n"/>
      <c r="C741" s="5" t="n"/>
      <c r="D741" s="5" t="n"/>
      <c r="E741" s="5" t="n"/>
      <c r="F741" s="5" t="n"/>
      <c r="G741" s="5" t="n"/>
    </row>
    <row r="742" ht="15.75" customHeight="1" s="184">
      <c r="A742" s="5" t="n"/>
      <c r="B742" s="5" t="n"/>
      <c r="C742" s="5" t="n"/>
      <c r="D742" s="5" t="n"/>
      <c r="E742" s="5" t="n"/>
      <c r="F742" s="5" t="n"/>
      <c r="G742" s="5" t="n"/>
    </row>
    <row r="743" ht="15.75" customHeight="1" s="184">
      <c r="A743" s="5" t="n"/>
      <c r="B743" s="5" t="n"/>
      <c r="C743" s="5" t="n"/>
      <c r="D743" s="5" t="n"/>
      <c r="E743" s="5" t="n"/>
      <c r="F743" s="5" t="n"/>
      <c r="G743" s="5" t="n"/>
    </row>
    <row r="744" ht="15.75" customHeight="1" s="184">
      <c r="A744" s="5" t="n"/>
      <c r="B744" s="5" t="n"/>
      <c r="C744" s="5" t="n"/>
      <c r="D744" s="5" t="n"/>
      <c r="E744" s="5" t="n"/>
      <c r="F744" s="5" t="n"/>
      <c r="G744" s="5" t="n"/>
    </row>
    <row r="745" ht="15.75" customHeight="1" s="184">
      <c r="A745" s="5" t="n"/>
      <c r="B745" s="5" t="n"/>
      <c r="C745" s="5" t="n"/>
      <c r="D745" s="5" t="n"/>
      <c r="E745" s="5" t="n"/>
      <c r="F745" s="5" t="n"/>
      <c r="G745" s="5" t="n"/>
    </row>
    <row r="746" ht="15.75" customHeight="1" s="184">
      <c r="A746" s="5" t="n"/>
      <c r="B746" s="5" t="n"/>
      <c r="C746" s="5" t="n"/>
      <c r="D746" s="5" t="n"/>
      <c r="E746" s="5" t="n"/>
      <c r="F746" s="5" t="n"/>
      <c r="G746" s="5" t="n"/>
    </row>
    <row r="747" ht="15.75" customHeight="1" s="184">
      <c r="A747" s="5" t="n"/>
      <c r="B747" s="5" t="n"/>
      <c r="C747" s="5" t="n"/>
      <c r="D747" s="5" t="n"/>
      <c r="E747" s="5" t="n"/>
      <c r="F747" s="5" t="n"/>
      <c r="G747" s="5" t="n"/>
    </row>
    <row r="748" ht="15.75" customHeight="1" s="184">
      <c r="A748" s="5" t="n"/>
      <c r="B748" s="5" t="n"/>
      <c r="C748" s="5" t="n"/>
      <c r="D748" s="5" t="n"/>
      <c r="E748" s="5" t="n"/>
      <c r="F748" s="5" t="n"/>
      <c r="G748" s="5" t="n"/>
    </row>
    <row r="749" ht="15.75" customHeight="1" s="184">
      <c r="A749" s="5" t="n"/>
      <c r="B749" s="5" t="n"/>
      <c r="C749" s="5" t="n"/>
      <c r="D749" s="5" t="n"/>
      <c r="E749" s="5" t="n"/>
      <c r="F749" s="5" t="n"/>
      <c r="G749" s="5" t="n"/>
    </row>
    <row r="750" ht="15.75" customHeight="1" s="184">
      <c r="A750" s="5" t="n"/>
      <c r="B750" s="5" t="n"/>
      <c r="C750" s="5" t="n"/>
      <c r="D750" s="5" t="n"/>
      <c r="E750" s="5" t="n"/>
      <c r="F750" s="5" t="n"/>
      <c r="G750" s="5" t="n"/>
    </row>
    <row r="751" ht="15.75" customHeight="1" s="184">
      <c r="A751" s="5" t="n"/>
      <c r="B751" s="5" t="n"/>
      <c r="C751" s="5" t="n"/>
      <c r="D751" s="5" t="n"/>
      <c r="E751" s="5" t="n"/>
      <c r="F751" s="5" t="n"/>
      <c r="G751" s="5" t="n"/>
    </row>
    <row r="752" ht="15.75" customHeight="1" s="184">
      <c r="A752" s="5" t="n"/>
      <c r="B752" s="5" t="n"/>
      <c r="C752" s="5" t="n"/>
      <c r="D752" s="5" t="n"/>
      <c r="E752" s="5" t="n"/>
      <c r="F752" s="5" t="n"/>
      <c r="G752" s="5" t="n"/>
    </row>
    <row r="753" ht="15.75" customHeight="1" s="184">
      <c r="A753" s="5" t="n"/>
      <c r="B753" s="5" t="n"/>
      <c r="C753" s="5" t="n"/>
      <c r="D753" s="5" t="n"/>
      <c r="E753" s="5" t="n"/>
      <c r="F753" s="5" t="n"/>
      <c r="G753" s="5" t="n"/>
    </row>
    <row r="754" ht="15.75" customHeight="1" s="184">
      <c r="A754" s="5" t="n"/>
      <c r="B754" s="5" t="n"/>
      <c r="C754" s="5" t="n"/>
      <c r="D754" s="5" t="n"/>
      <c r="E754" s="5" t="n"/>
      <c r="F754" s="5" t="n"/>
      <c r="G754" s="5" t="n"/>
    </row>
    <row r="755" ht="15.75" customHeight="1" s="184">
      <c r="A755" s="5" t="n"/>
      <c r="B755" s="5" t="n"/>
      <c r="C755" s="5" t="n"/>
      <c r="D755" s="5" t="n"/>
      <c r="E755" s="5" t="n"/>
      <c r="F755" s="5" t="n"/>
      <c r="G755" s="5" t="n"/>
    </row>
    <row r="756" ht="15.75" customHeight="1" s="184">
      <c r="A756" s="5" t="n"/>
      <c r="B756" s="5" t="n"/>
      <c r="C756" s="5" t="n"/>
      <c r="D756" s="5" t="n"/>
      <c r="E756" s="5" t="n"/>
      <c r="F756" s="5" t="n"/>
      <c r="G756" s="5" t="n"/>
    </row>
    <row r="757" ht="15.75" customHeight="1" s="184">
      <c r="A757" s="5" t="n"/>
      <c r="B757" s="5" t="n"/>
      <c r="C757" s="5" t="n"/>
      <c r="D757" s="5" t="n"/>
      <c r="E757" s="5" t="n"/>
      <c r="F757" s="5" t="n"/>
      <c r="G757" s="5" t="n"/>
    </row>
    <row r="758" ht="15.75" customHeight="1" s="184">
      <c r="A758" s="5" t="n"/>
      <c r="B758" s="5" t="n"/>
      <c r="C758" s="5" t="n"/>
      <c r="D758" s="5" t="n"/>
      <c r="E758" s="5" t="n"/>
      <c r="F758" s="5" t="n"/>
      <c r="G758" s="5" t="n"/>
    </row>
    <row r="759" ht="15.75" customHeight="1" s="184">
      <c r="A759" s="5" t="n"/>
      <c r="B759" s="5" t="n"/>
      <c r="C759" s="5" t="n"/>
      <c r="D759" s="5" t="n"/>
      <c r="E759" s="5" t="n"/>
      <c r="F759" s="5" t="n"/>
      <c r="G759" s="5" t="n"/>
    </row>
    <row r="760" ht="15.75" customHeight="1" s="184">
      <c r="A760" s="5" t="n"/>
      <c r="B760" s="5" t="n"/>
      <c r="C760" s="5" t="n"/>
      <c r="D760" s="5" t="n"/>
      <c r="E760" s="5" t="n"/>
      <c r="F760" s="5" t="n"/>
      <c r="G760" s="5" t="n"/>
    </row>
    <row r="761" ht="15.75" customHeight="1" s="184">
      <c r="A761" s="5" t="n"/>
      <c r="B761" s="5" t="n"/>
      <c r="C761" s="5" t="n"/>
      <c r="D761" s="5" t="n"/>
      <c r="E761" s="5" t="n"/>
      <c r="F761" s="5" t="n"/>
      <c r="G761" s="5" t="n"/>
    </row>
    <row r="762" ht="15.75" customHeight="1" s="184">
      <c r="A762" s="5" t="n"/>
      <c r="B762" s="5" t="n"/>
      <c r="C762" s="5" t="n"/>
      <c r="D762" s="5" t="n"/>
      <c r="E762" s="5" t="n"/>
      <c r="F762" s="5" t="n"/>
      <c r="G762" s="5" t="n"/>
    </row>
    <row r="763" ht="15.75" customHeight="1" s="184">
      <c r="A763" s="5" t="n"/>
      <c r="B763" s="5" t="n"/>
      <c r="C763" s="5" t="n"/>
      <c r="D763" s="5" t="n"/>
      <c r="E763" s="5" t="n"/>
      <c r="F763" s="5" t="n"/>
      <c r="G763" s="5" t="n"/>
    </row>
    <row r="764" ht="15.75" customHeight="1" s="184">
      <c r="A764" s="5" t="n"/>
      <c r="B764" s="5" t="n"/>
      <c r="C764" s="5" t="n"/>
      <c r="D764" s="5" t="n"/>
      <c r="E764" s="5" t="n"/>
      <c r="F764" s="5" t="n"/>
      <c r="G764" s="5" t="n"/>
    </row>
    <row r="765" ht="15.75" customHeight="1" s="184">
      <c r="A765" s="5" t="n"/>
      <c r="B765" s="5" t="n"/>
      <c r="C765" s="5" t="n"/>
      <c r="D765" s="5" t="n"/>
      <c r="E765" s="5" t="n"/>
      <c r="F765" s="5" t="n"/>
      <c r="G765" s="5" t="n"/>
    </row>
    <row r="766" ht="15.75" customHeight="1" s="184">
      <c r="A766" s="5" t="n"/>
      <c r="B766" s="5" t="n"/>
      <c r="C766" s="5" t="n"/>
      <c r="D766" s="5" t="n"/>
      <c r="E766" s="5" t="n"/>
      <c r="F766" s="5" t="n"/>
      <c r="G766" s="5" t="n"/>
    </row>
    <row r="767" ht="15.75" customHeight="1" s="184">
      <c r="A767" s="5" t="n"/>
      <c r="B767" s="5" t="n"/>
      <c r="C767" s="5" t="n"/>
      <c r="D767" s="5" t="n"/>
      <c r="E767" s="5" t="n"/>
      <c r="F767" s="5" t="n"/>
      <c r="G767" s="5" t="n"/>
    </row>
    <row r="768" ht="15.75" customHeight="1" s="184">
      <c r="A768" s="5" t="n"/>
      <c r="B768" s="5" t="n"/>
      <c r="C768" s="5" t="n"/>
      <c r="D768" s="5" t="n"/>
      <c r="E768" s="5" t="n"/>
      <c r="F768" s="5" t="n"/>
      <c r="G768" s="5" t="n"/>
    </row>
    <row r="769" ht="15.75" customHeight="1" s="184">
      <c r="A769" s="5" t="n"/>
      <c r="B769" s="5" t="n"/>
      <c r="C769" s="5" t="n"/>
      <c r="D769" s="5" t="n"/>
      <c r="E769" s="5" t="n"/>
      <c r="F769" s="5" t="n"/>
      <c r="G769" s="5" t="n"/>
    </row>
    <row r="770" ht="15.75" customHeight="1" s="184">
      <c r="A770" s="5" t="n"/>
      <c r="B770" s="5" t="n"/>
      <c r="C770" s="5" t="n"/>
      <c r="D770" s="5" t="n"/>
      <c r="E770" s="5" t="n"/>
      <c r="F770" s="5" t="n"/>
      <c r="G770" s="5" t="n"/>
    </row>
    <row r="771" ht="15.75" customHeight="1" s="184">
      <c r="A771" s="5" t="n"/>
      <c r="B771" s="5" t="n"/>
      <c r="C771" s="5" t="n"/>
      <c r="D771" s="5" t="n"/>
      <c r="E771" s="5" t="n"/>
      <c r="F771" s="5" t="n"/>
      <c r="G771" s="5" t="n"/>
    </row>
    <row r="772" ht="15.75" customHeight="1" s="184">
      <c r="A772" s="5" t="n"/>
      <c r="B772" s="5" t="n"/>
      <c r="C772" s="5" t="n"/>
      <c r="D772" s="5" t="n"/>
      <c r="E772" s="5" t="n"/>
      <c r="F772" s="5" t="n"/>
      <c r="G772" s="5" t="n"/>
    </row>
    <row r="773" ht="15.75" customHeight="1" s="184">
      <c r="A773" s="5" t="n"/>
      <c r="B773" s="5" t="n"/>
      <c r="C773" s="5" t="n"/>
      <c r="D773" s="5" t="n"/>
      <c r="E773" s="5" t="n"/>
      <c r="F773" s="5" t="n"/>
      <c r="G773" s="5" t="n"/>
    </row>
    <row r="774" ht="15.75" customHeight="1" s="184">
      <c r="A774" s="5" t="n"/>
      <c r="B774" s="5" t="n"/>
      <c r="C774" s="5" t="n"/>
      <c r="D774" s="5" t="n"/>
      <c r="E774" s="5" t="n"/>
      <c r="F774" s="5" t="n"/>
      <c r="G774" s="5" t="n"/>
    </row>
    <row r="775" ht="15.75" customHeight="1" s="184">
      <c r="A775" s="5" t="n"/>
      <c r="B775" s="5" t="n"/>
      <c r="C775" s="5" t="n"/>
      <c r="D775" s="5" t="n"/>
      <c r="E775" s="5" t="n"/>
      <c r="F775" s="5" t="n"/>
      <c r="G775" s="5" t="n"/>
    </row>
    <row r="776" ht="15.75" customHeight="1" s="184">
      <c r="A776" s="5" t="n"/>
      <c r="B776" s="5" t="n"/>
      <c r="C776" s="5" t="n"/>
      <c r="D776" s="5" t="n"/>
      <c r="E776" s="5" t="n"/>
      <c r="F776" s="5" t="n"/>
      <c r="G776" s="5" t="n"/>
    </row>
    <row r="777" ht="15.75" customHeight="1" s="184">
      <c r="A777" s="5" t="n"/>
      <c r="B777" s="5" t="n"/>
      <c r="C777" s="5" t="n"/>
      <c r="D777" s="5" t="n"/>
      <c r="E777" s="5" t="n"/>
      <c r="F777" s="5" t="n"/>
      <c r="G777" s="5" t="n"/>
    </row>
    <row r="778" ht="15.75" customHeight="1" s="184">
      <c r="A778" s="5" t="n"/>
      <c r="B778" s="5" t="n"/>
      <c r="C778" s="5" t="n"/>
      <c r="D778" s="5" t="n"/>
      <c r="E778" s="5" t="n"/>
      <c r="F778" s="5" t="n"/>
      <c r="G778" s="5" t="n"/>
    </row>
    <row r="779" ht="15.75" customHeight="1" s="184">
      <c r="A779" s="5" t="n"/>
      <c r="B779" s="5" t="n"/>
      <c r="C779" s="5" t="n"/>
      <c r="D779" s="5" t="n"/>
      <c r="E779" s="5" t="n"/>
      <c r="F779" s="5" t="n"/>
      <c r="G779" s="5" t="n"/>
    </row>
    <row r="780" ht="15.75" customHeight="1" s="184">
      <c r="A780" s="5" t="n"/>
      <c r="B780" s="5" t="n"/>
      <c r="C780" s="5" t="n"/>
      <c r="D780" s="5" t="n"/>
      <c r="E780" s="5" t="n"/>
      <c r="F780" s="5" t="n"/>
      <c r="G780" s="5" t="n"/>
    </row>
    <row r="781" ht="15.75" customHeight="1" s="184">
      <c r="A781" s="5" t="n"/>
      <c r="B781" s="5" t="n"/>
      <c r="C781" s="5" t="n"/>
      <c r="D781" s="5" t="n"/>
      <c r="E781" s="5" t="n"/>
      <c r="F781" s="5" t="n"/>
      <c r="G781" s="5" t="n"/>
    </row>
    <row r="782" ht="15.75" customHeight="1" s="184">
      <c r="A782" s="5" t="n"/>
      <c r="B782" s="5" t="n"/>
      <c r="C782" s="5" t="n"/>
      <c r="D782" s="5" t="n"/>
      <c r="E782" s="5" t="n"/>
      <c r="F782" s="5" t="n"/>
      <c r="G782" s="5" t="n"/>
    </row>
    <row r="783" ht="15.75" customHeight="1" s="184">
      <c r="A783" s="5" t="n"/>
      <c r="B783" s="5" t="n"/>
      <c r="C783" s="5" t="n"/>
      <c r="D783" s="5" t="n"/>
      <c r="E783" s="5" t="n"/>
      <c r="F783" s="5" t="n"/>
      <c r="G783" s="5" t="n"/>
    </row>
    <row r="784" ht="15.75" customHeight="1" s="184">
      <c r="A784" s="5" t="n"/>
      <c r="B784" s="5" t="n"/>
      <c r="C784" s="5" t="n"/>
      <c r="D784" s="5" t="n"/>
      <c r="E784" s="5" t="n"/>
      <c r="F784" s="5" t="n"/>
      <c r="G784" s="5" t="n"/>
    </row>
    <row r="785" ht="15.75" customHeight="1" s="184">
      <c r="A785" s="5" t="n"/>
      <c r="B785" s="5" t="n"/>
      <c r="C785" s="5" t="n"/>
      <c r="D785" s="5" t="n"/>
      <c r="E785" s="5" t="n"/>
      <c r="F785" s="5" t="n"/>
      <c r="G785" s="5" t="n"/>
    </row>
    <row r="786" ht="15.75" customHeight="1" s="184">
      <c r="A786" s="5" t="n"/>
      <c r="B786" s="5" t="n"/>
      <c r="C786" s="5" t="n"/>
      <c r="D786" s="5" t="n"/>
      <c r="E786" s="5" t="n"/>
      <c r="F786" s="5" t="n"/>
      <c r="G786" s="5" t="n"/>
    </row>
    <row r="787" ht="15.75" customHeight="1" s="184">
      <c r="A787" s="5" t="n"/>
      <c r="B787" s="5" t="n"/>
      <c r="C787" s="5" t="n"/>
      <c r="D787" s="5" t="n"/>
      <c r="E787" s="5" t="n"/>
      <c r="F787" s="5" t="n"/>
      <c r="G787" s="5" t="n"/>
    </row>
    <row r="788" ht="15.75" customHeight="1" s="184">
      <c r="A788" s="5" t="n"/>
      <c r="B788" s="5" t="n"/>
      <c r="C788" s="5" t="n"/>
      <c r="D788" s="5" t="n"/>
      <c r="E788" s="5" t="n"/>
      <c r="F788" s="5" t="n"/>
      <c r="G788" s="5" t="n"/>
    </row>
    <row r="789" ht="15.75" customHeight="1" s="184">
      <c r="A789" s="5" t="n"/>
      <c r="B789" s="5" t="n"/>
      <c r="C789" s="5" t="n"/>
      <c r="D789" s="5" t="n"/>
      <c r="E789" s="5" t="n"/>
      <c r="F789" s="5" t="n"/>
      <c r="G789" s="5" t="n"/>
    </row>
    <row r="790" ht="15.75" customHeight="1" s="184">
      <c r="A790" s="5" t="n"/>
      <c r="B790" s="5" t="n"/>
      <c r="C790" s="5" t="n"/>
      <c r="D790" s="5" t="n"/>
      <c r="E790" s="5" t="n"/>
      <c r="F790" s="5" t="n"/>
      <c r="G790" s="5" t="n"/>
    </row>
    <row r="791" ht="15.75" customHeight="1" s="184">
      <c r="A791" s="5" t="n"/>
      <c r="B791" s="5" t="n"/>
      <c r="C791" s="5" t="n"/>
      <c r="D791" s="5" t="n"/>
      <c r="E791" s="5" t="n"/>
      <c r="F791" s="5" t="n"/>
      <c r="G791" s="5" t="n"/>
    </row>
    <row r="792" ht="15.75" customHeight="1" s="184">
      <c r="A792" s="5" t="n"/>
      <c r="B792" s="5" t="n"/>
      <c r="C792" s="5" t="n"/>
      <c r="D792" s="5" t="n"/>
      <c r="E792" s="5" t="n"/>
      <c r="F792" s="5" t="n"/>
      <c r="G792" s="5" t="n"/>
    </row>
    <row r="793" ht="15.75" customHeight="1" s="184">
      <c r="A793" s="5" t="n"/>
      <c r="B793" s="5" t="n"/>
      <c r="C793" s="5" t="n"/>
      <c r="D793" s="5" t="n"/>
      <c r="E793" s="5" t="n"/>
      <c r="F793" s="5" t="n"/>
      <c r="G793" s="5" t="n"/>
    </row>
    <row r="794" ht="15.75" customHeight="1" s="184">
      <c r="A794" s="5" t="n"/>
      <c r="B794" s="5" t="n"/>
      <c r="C794" s="5" t="n"/>
      <c r="D794" s="5" t="n"/>
      <c r="E794" s="5" t="n"/>
      <c r="F794" s="5" t="n"/>
      <c r="G794" s="5" t="n"/>
    </row>
    <row r="795" ht="15.75" customHeight="1" s="184">
      <c r="A795" s="5" t="n"/>
      <c r="B795" s="5" t="n"/>
      <c r="C795" s="5" t="n"/>
      <c r="D795" s="5" t="n"/>
      <c r="E795" s="5" t="n"/>
      <c r="F795" s="5" t="n"/>
      <c r="G795" s="5" t="n"/>
    </row>
    <row r="796" ht="15.75" customHeight="1" s="184">
      <c r="A796" s="5" t="n"/>
      <c r="B796" s="5" t="n"/>
      <c r="C796" s="5" t="n"/>
      <c r="D796" s="5" t="n"/>
      <c r="E796" s="5" t="n"/>
      <c r="F796" s="5" t="n"/>
      <c r="G796" s="5" t="n"/>
    </row>
    <row r="797" ht="15.75" customHeight="1" s="184">
      <c r="A797" s="5" t="n"/>
      <c r="B797" s="5" t="n"/>
      <c r="C797" s="5" t="n"/>
      <c r="D797" s="5" t="n"/>
      <c r="E797" s="5" t="n"/>
      <c r="F797" s="5" t="n"/>
      <c r="G797" s="5" t="n"/>
    </row>
    <row r="798" ht="15.75" customHeight="1" s="184">
      <c r="A798" s="5" t="n"/>
      <c r="B798" s="5" t="n"/>
      <c r="C798" s="5" t="n"/>
      <c r="D798" s="5" t="n"/>
      <c r="E798" s="5" t="n"/>
      <c r="F798" s="5" t="n"/>
      <c r="G798" s="5" t="n"/>
    </row>
    <row r="799" ht="15.75" customHeight="1" s="184">
      <c r="A799" s="5" t="n"/>
      <c r="B799" s="5" t="n"/>
      <c r="C799" s="5" t="n"/>
      <c r="D799" s="5" t="n"/>
      <c r="E799" s="5" t="n"/>
      <c r="F799" s="5" t="n"/>
      <c r="G799" s="5" t="n"/>
    </row>
    <row r="800" ht="15.75" customHeight="1" s="184">
      <c r="A800" s="5" t="n"/>
      <c r="B800" s="5" t="n"/>
      <c r="C800" s="5" t="n"/>
      <c r="D800" s="5" t="n"/>
      <c r="E800" s="5" t="n"/>
      <c r="F800" s="5" t="n"/>
      <c r="G800" s="5" t="n"/>
    </row>
    <row r="801" ht="15.75" customHeight="1" s="184">
      <c r="A801" s="5" t="n"/>
      <c r="B801" s="5" t="n"/>
      <c r="C801" s="5" t="n"/>
      <c r="D801" s="5" t="n"/>
      <c r="E801" s="5" t="n"/>
      <c r="F801" s="5" t="n"/>
      <c r="G801" s="5" t="n"/>
    </row>
    <row r="802" ht="15.75" customHeight="1" s="184">
      <c r="A802" s="5" t="n"/>
      <c r="B802" s="5" t="n"/>
      <c r="C802" s="5" t="n"/>
      <c r="D802" s="5" t="n"/>
      <c r="E802" s="5" t="n"/>
      <c r="F802" s="5" t="n"/>
      <c r="G802" s="5" t="n"/>
    </row>
    <row r="803" ht="15.75" customHeight="1" s="184">
      <c r="A803" s="5" t="n"/>
      <c r="B803" s="5" t="n"/>
      <c r="C803" s="5" t="n"/>
      <c r="D803" s="5" t="n"/>
      <c r="E803" s="5" t="n"/>
      <c r="F803" s="5" t="n"/>
      <c r="G803" s="5" t="n"/>
    </row>
    <row r="804" ht="15.75" customHeight="1" s="184">
      <c r="A804" s="5" t="n"/>
      <c r="B804" s="5" t="n"/>
      <c r="C804" s="5" t="n"/>
      <c r="D804" s="5" t="n"/>
      <c r="E804" s="5" t="n"/>
      <c r="F804" s="5" t="n"/>
      <c r="G804" s="5" t="n"/>
    </row>
    <row r="805" ht="15.75" customHeight="1" s="184">
      <c r="A805" s="5" t="n"/>
      <c r="B805" s="5" t="n"/>
      <c r="C805" s="5" t="n"/>
      <c r="D805" s="5" t="n"/>
      <c r="E805" s="5" t="n"/>
      <c r="F805" s="5" t="n"/>
      <c r="G805" s="5" t="n"/>
    </row>
    <row r="806" ht="15.75" customHeight="1" s="184">
      <c r="A806" s="5" t="n"/>
      <c r="B806" s="5" t="n"/>
      <c r="C806" s="5" t="n"/>
      <c r="D806" s="5" t="n"/>
      <c r="E806" s="5" t="n"/>
      <c r="F806" s="5" t="n"/>
      <c r="G806" s="5" t="n"/>
    </row>
    <row r="807" ht="15.75" customHeight="1" s="184">
      <c r="A807" s="5" t="n"/>
      <c r="B807" s="5" t="n"/>
      <c r="C807" s="5" t="n"/>
      <c r="D807" s="5" t="n"/>
      <c r="E807" s="5" t="n"/>
      <c r="F807" s="5" t="n"/>
      <c r="G807" s="5" t="n"/>
    </row>
    <row r="808" ht="15.75" customHeight="1" s="184">
      <c r="A808" s="5" t="n"/>
      <c r="B808" s="5" t="n"/>
      <c r="C808" s="5" t="n"/>
      <c r="D808" s="5" t="n"/>
      <c r="E808" s="5" t="n"/>
      <c r="F808" s="5" t="n"/>
      <c r="G808" s="5" t="n"/>
    </row>
    <row r="809" ht="15.75" customHeight="1" s="184">
      <c r="A809" s="5" t="n"/>
      <c r="B809" s="5" t="n"/>
      <c r="C809" s="5" t="n"/>
      <c r="D809" s="5" t="n"/>
      <c r="E809" s="5" t="n"/>
      <c r="F809" s="5" t="n"/>
      <c r="G809" s="5" t="n"/>
    </row>
    <row r="810" ht="15.75" customHeight="1" s="184">
      <c r="A810" s="5" t="n"/>
      <c r="B810" s="5" t="n"/>
      <c r="C810" s="5" t="n"/>
      <c r="D810" s="5" t="n"/>
      <c r="E810" s="5" t="n"/>
      <c r="F810" s="5" t="n"/>
      <c r="G810" s="5" t="n"/>
    </row>
    <row r="811" ht="15.75" customHeight="1" s="184">
      <c r="A811" s="5" t="n"/>
      <c r="B811" s="5" t="n"/>
      <c r="C811" s="5" t="n"/>
      <c r="D811" s="5" t="n"/>
      <c r="E811" s="5" t="n"/>
      <c r="F811" s="5" t="n"/>
      <c r="G811" s="5" t="n"/>
    </row>
    <row r="812" ht="15.75" customHeight="1" s="184">
      <c r="A812" s="5" t="n"/>
      <c r="B812" s="5" t="n"/>
      <c r="C812" s="5" t="n"/>
      <c r="D812" s="5" t="n"/>
      <c r="E812" s="5" t="n"/>
      <c r="F812" s="5" t="n"/>
      <c r="G812" s="5" t="n"/>
    </row>
    <row r="813" ht="15.75" customHeight="1" s="184">
      <c r="A813" s="5" t="n"/>
      <c r="B813" s="5" t="n"/>
      <c r="C813" s="5" t="n"/>
      <c r="D813" s="5" t="n"/>
      <c r="E813" s="5" t="n"/>
      <c r="F813" s="5" t="n"/>
      <c r="G813" s="5" t="n"/>
    </row>
    <row r="814" ht="15.75" customHeight="1" s="184">
      <c r="A814" s="5" t="n"/>
      <c r="B814" s="5" t="n"/>
      <c r="C814" s="5" t="n"/>
      <c r="D814" s="5" t="n"/>
      <c r="E814" s="5" t="n"/>
      <c r="F814" s="5" t="n"/>
      <c r="G814" s="5" t="n"/>
    </row>
    <row r="815" ht="15.75" customHeight="1" s="184">
      <c r="A815" s="5" t="n"/>
      <c r="B815" s="5" t="n"/>
      <c r="C815" s="5" t="n"/>
      <c r="D815" s="5" t="n"/>
      <c r="E815" s="5" t="n"/>
      <c r="F815" s="5" t="n"/>
      <c r="G815" s="5" t="n"/>
    </row>
    <row r="816" ht="15.75" customHeight="1" s="184">
      <c r="A816" s="5" t="n"/>
      <c r="B816" s="5" t="n"/>
      <c r="C816" s="5" t="n"/>
      <c r="D816" s="5" t="n"/>
      <c r="E816" s="5" t="n"/>
      <c r="F816" s="5" t="n"/>
      <c r="G816" s="5" t="n"/>
    </row>
    <row r="817" ht="15.75" customHeight="1" s="184">
      <c r="A817" s="5" t="n"/>
      <c r="B817" s="5" t="n"/>
      <c r="C817" s="5" t="n"/>
      <c r="D817" s="5" t="n"/>
      <c r="E817" s="5" t="n"/>
      <c r="F817" s="5" t="n"/>
      <c r="G817" s="5" t="n"/>
    </row>
    <row r="818" ht="15.75" customHeight="1" s="184">
      <c r="A818" s="5" t="n"/>
      <c r="B818" s="5" t="n"/>
      <c r="C818" s="5" t="n"/>
      <c r="D818" s="5" t="n"/>
      <c r="E818" s="5" t="n"/>
      <c r="F818" s="5" t="n"/>
      <c r="G818" s="5" t="n"/>
    </row>
    <row r="819" ht="15.75" customHeight="1" s="184">
      <c r="A819" s="5" t="n"/>
      <c r="B819" s="5" t="n"/>
      <c r="C819" s="5" t="n"/>
      <c r="D819" s="5" t="n"/>
      <c r="E819" s="5" t="n"/>
      <c r="F819" s="5" t="n"/>
      <c r="G819" s="5" t="n"/>
    </row>
    <row r="820" ht="15.75" customHeight="1" s="184">
      <c r="A820" s="5" t="n"/>
      <c r="B820" s="5" t="n"/>
      <c r="C820" s="5" t="n"/>
      <c r="D820" s="5" t="n"/>
      <c r="E820" s="5" t="n"/>
      <c r="F820" s="5" t="n"/>
      <c r="G820" s="5" t="n"/>
    </row>
    <row r="821" ht="15.75" customHeight="1" s="184">
      <c r="A821" s="5" t="n"/>
      <c r="B821" s="5" t="n"/>
      <c r="C821" s="5" t="n"/>
      <c r="D821" s="5" t="n"/>
      <c r="E821" s="5" t="n"/>
      <c r="F821" s="5" t="n"/>
      <c r="G821" s="5" t="n"/>
    </row>
    <row r="822" ht="15.75" customHeight="1" s="184">
      <c r="A822" s="5" t="n"/>
      <c r="B822" s="5" t="n"/>
      <c r="C822" s="5" t="n"/>
      <c r="D822" s="5" t="n"/>
      <c r="E822" s="5" t="n"/>
      <c r="F822" s="5" t="n"/>
      <c r="G822" s="5" t="n"/>
    </row>
    <row r="823" ht="15.75" customHeight="1" s="184">
      <c r="A823" s="5" t="n"/>
      <c r="B823" s="5" t="n"/>
      <c r="C823" s="5" t="n"/>
      <c r="D823" s="5" t="n"/>
      <c r="E823" s="5" t="n"/>
      <c r="F823" s="5" t="n"/>
      <c r="G823" s="5" t="n"/>
    </row>
    <row r="824" ht="15.75" customHeight="1" s="184">
      <c r="A824" s="5" t="n"/>
      <c r="B824" s="5" t="n"/>
      <c r="C824" s="5" t="n"/>
      <c r="D824" s="5" t="n"/>
      <c r="E824" s="5" t="n"/>
      <c r="F824" s="5" t="n"/>
      <c r="G824" s="5" t="n"/>
    </row>
    <row r="825" ht="15.75" customHeight="1" s="184">
      <c r="A825" s="5" t="n"/>
      <c r="B825" s="5" t="n"/>
      <c r="C825" s="5" t="n"/>
      <c r="D825" s="5" t="n"/>
      <c r="E825" s="5" t="n"/>
      <c r="F825" s="5" t="n"/>
      <c r="G825" s="5" t="n"/>
    </row>
    <row r="826" ht="15.75" customHeight="1" s="184">
      <c r="A826" s="5" t="n"/>
      <c r="B826" s="5" t="n"/>
      <c r="C826" s="5" t="n"/>
      <c r="D826" s="5" t="n"/>
      <c r="E826" s="5" t="n"/>
      <c r="F826" s="5" t="n"/>
      <c r="G826" s="5" t="n"/>
    </row>
    <row r="827" ht="15.75" customHeight="1" s="184">
      <c r="A827" s="5" t="n"/>
      <c r="B827" s="5" t="n"/>
      <c r="C827" s="5" t="n"/>
      <c r="D827" s="5" t="n"/>
      <c r="E827" s="5" t="n"/>
      <c r="F827" s="5" t="n"/>
      <c r="G827" s="5" t="n"/>
    </row>
    <row r="828" ht="15.75" customHeight="1" s="184">
      <c r="A828" s="5" t="n"/>
      <c r="B828" s="5" t="n"/>
      <c r="C828" s="5" t="n"/>
      <c r="D828" s="5" t="n"/>
      <c r="E828" s="5" t="n"/>
      <c r="F828" s="5" t="n"/>
      <c r="G828" s="5" t="n"/>
    </row>
    <row r="829" ht="15.75" customHeight="1" s="184">
      <c r="A829" s="5" t="n"/>
      <c r="B829" s="5" t="n"/>
      <c r="C829" s="5" t="n"/>
      <c r="D829" s="5" t="n"/>
      <c r="E829" s="5" t="n"/>
      <c r="F829" s="5" t="n"/>
      <c r="G829" s="5" t="n"/>
    </row>
    <row r="830" ht="15.75" customHeight="1" s="184">
      <c r="A830" s="5" t="n"/>
      <c r="B830" s="5" t="n"/>
      <c r="C830" s="5" t="n"/>
      <c r="D830" s="5" t="n"/>
      <c r="E830" s="5" t="n"/>
      <c r="F830" s="5" t="n"/>
      <c r="G830" s="5" t="n"/>
    </row>
    <row r="831" ht="15.75" customHeight="1" s="184">
      <c r="A831" s="5" t="n"/>
      <c r="B831" s="5" t="n"/>
      <c r="C831" s="5" t="n"/>
      <c r="D831" s="5" t="n"/>
      <c r="E831" s="5" t="n"/>
      <c r="F831" s="5" t="n"/>
      <c r="G831" s="5" t="n"/>
    </row>
    <row r="832" ht="15.75" customHeight="1" s="184">
      <c r="A832" s="5" t="n"/>
      <c r="B832" s="5" t="n"/>
      <c r="C832" s="5" t="n"/>
      <c r="D832" s="5" t="n"/>
      <c r="E832" s="5" t="n"/>
      <c r="F832" s="5" t="n"/>
      <c r="G832" s="5" t="n"/>
    </row>
    <row r="833" ht="15.75" customHeight="1" s="184">
      <c r="A833" s="5" t="n"/>
      <c r="B833" s="5" t="n"/>
      <c r="C833" s="5" t="n"/>
      <c r="D833" s="5" t="n"/>
      <c r="E833" s="5" t="n"/>
      <c r="F833" s="5" t="n"/>
      <c r="G833" s="5" t="n"/>
    </row>
    <row r="834" ht="15.75" customHeight="1" s="184">
      <c r="A834" s="5" t="n"/>
      <c r="B834" s="5" t="n"/>
      <c r="C834" s="5" t="n"/>
      <c r="D834" s="5" t="n"/>
      <c r="E834" s="5" t="n"/>
      <c r="F834" s="5" t="n"/>
      <c r="G834" s="5" t="n"/>
    </row>
    <row r="835" ht="15.75" customHeight="1" s="184">
      <c r="A835" s="5" t="n"/>
      <c r="B835" s="5" t="n"/>
      <c r="C835" s="5" t="n"/>
      <c r="D835" s="5" t="n"/>
      <c r="E835" s="5" t="n"/>
      <c r="F835" s="5" t="n"/>
      <c r="G835" s="5" t="n"/>
    </row>
    <row r="836" ht="15.75" customHeight="1" s="184">
      <c r="A836" s="5" t="n"/>
      <c r="B836" s="5" t="n"/>
      <c r="C836" s="5" t="n"/>
      <c r="D836" s="5" t="n"/>
      <c r="E836" s="5" t="n"/>
      <c r="F836" s="5" t="n"/>
      <c r="G836" s="5" t="n"/>
    </row>
    <row r="837" ht="15.75" customHeight="1" s="184">
      <c r="A837" s="5" t="n"/>
      <c r="B837" s="5" t="n"/>
      <c r="C837" s="5" t="n"/>
      <c r="D837" s="5" t="n"/>
      <c r="E837" s="5" t="n"/>
      <c r="F837" s="5" t="n"/>
      <c r="G837" s="5" t="n"/>
    </row>
    <row r="838" ht="15.75" customHeight="1" s="184">
      <c r="A838" s="5" t="n"/>
      <c r="B838" s="5" t="n"/>
      <c r="C838" s="5" t="n"/>
      <c r="D838" s="5" t="n"/>
      <c r="E838" s="5" t="n"/>
      <c r="F838" s="5" t="n"/>
      <c r="G838" s="5" t="n"/>
    </row>
    <row r="839" ht="15.75" customHeight="1" s="184">
      <c r="A839" s="5" t="n"/>
      <c r="B839" s="5" t="n"/>
      <c r="C839" s="5" t="n"/>
      <c r="D839" s="5" t="n"/>
      <c r="E839" s="5" t="n"/>
      <c r="F839" s="5" t="n"/>
      <c r="G839" s="5" t="n"/>
    </row>
    <row r="840" ht="15.75" customHeight="1" s="184">
      <c r="A840" s="5" t="n"/>
      <c r="B840" s="5" t="n"/>
      <c r="C840" s="5" t="n"/>
      <c r="D840" s="5" t="n"/>
      <c r="E840" s="5" t="n"/>
      <c r="F840" s="5" t="n"/>
      <c r="G840" s="5" t="n"/>
    </row>
    <row r="841" ht="15.75" customHeight="1" s="184">
      <c r="A841" s="5" t="n"/>
      <c r="B841" s="5" t="n"/>
      <c r="C841" s="5" t="n"/>
      <c r="D841" s="5" t="n"/>
      <c r="E841" s="5" t="n"/>
      <c r="F841" s="5" t="n"/>
      <c r="G841" s="5" t="n"/>
    </row>
    <row r="842" ht="15.75" customHeight="1" s="184">
      <c r="A842" s="5" t="n"/>
      <c r="B842" s="5" t="n"/>
      <c r="C842" s="5" t="n"/>
      <c r="D842" s="5" t="n"/>
      <c r="E842" s="5" t="n"/>
      <c r="F842" s="5" t="n"/>
      <c r="G842" s="5" t="n"/>
    </row>
    <row r="843" ht="15.75" customHeight="1" s="184">
      <c r="A843" s="5" t="n"/>
      <c r="B843" s="5" t="n"/>
      <c r="C843" s="5" t="n"/>
      <c r="D843" s="5" t="n"/>
      <c r="E843" s="5" t="n"/>
      <c r="F843" s="5" t="n"/>
      <c r="G843" s="5" t="n"/>
    </row>
    <row r="844" ht="15.75" customHeight="1" s="184">
      <c r="A844" s="5" t="n"/>
      <c r="B844" s="5" t="n"/>
      <c r="C844" s="5" t="n"/>
      <c r="D844" s="5" t="n"/>
      <c r="E844" s="5" t="n"/>
      <c r="F844" s="5" t="n"/>
      <c r="G844" s="5" t="n"/>
    </row>
    <row r="845" ht="15.75" customHeight="1" s="184">
      <c r="A845" s="5" t="n"/>
      <c r="B845" s="5" t="n"/>
      <c r="C845" s="5" t="n"/>
      <c r="D845" s="5" t="n"/>
      <c r="E845" s="5" t="n"/>
      <c r="F845" s="5" t="n"/>
      <c r="G845" s="5" t="n"/>
    </row>
    <row r="846" ht="15.75" customHeight="1" s="184">
      <c r="A846" s="5" t="n"/>
      <c r="B846" s="5" t="n"/>
      <c r="C846" s="5" t="n"/>
      <c r="D846" s="5" t="n"/>
      <c r="E846" s="5" t="n"/>
      <c r="F846" s="5" t="n"/>
      <c r="G846" s="5" t="n"/>
    </row>
    <row r="847" ht="15.75" customHeight="1" s="184">
      <c r="A847" s="5" t="n"/>
      <c r="B847" s="5" t="n"/>
      <c r="C847" s="5" t="n"/>
      <c r="D847" s="5" t="n"/>
      <c r="E847" s="5" t="n"/>
      <c r="F847" s="5" t="n"/>
      <c r="G847" s="5" t="n"/>
    </row>
    <row r="848" ht="15.75" customHeight="1" s="184">
      <c r="A848" s="5" t="n"/>
      <c r="B848" s="5" t="n"/>
      <c r="C848" s="5" t="n"/>
      <c r="D848" s="5" t="n"/>
      <c r="E848" s="5" t="n"/>
      <c r="F848" s="5" t="n"/>
      <c r="G848" s="5" t="n"/>
    </row>
    <row r="849" ht="15.75" customHeight="1" s="184">
      <c r="A849" s="5" t="n"/>
      <c r="B849" s="5" t="n"/>
      <c r="C849" s="5" t="n"/>
      <c r="D849" s="5" t="n"/>
      <c r="E849" s="5" t="n"/>
      <c r="F849" s="5" t="n"/>
      <c r="G849" s="5" t="n"/>
    </row>
    <row r="850" ht="15.75" customHeight="1" s="184">
      <c r="A850" s="5" t="n"/>
      <c r="B850" s="5" t="n"/>
      <c r="C850" s="5" t="n"/>
      <c r="D850" s="5" t="n"/>
      <c r="E850" s="5" t="n"/>
      <c r="F850" s="5" t="n"/>
      <c r="G850" s="5" t="n"/>
    </row>
    <row r="851" ht="15.75" customHeight="1" s="184">
      <c r="A851" s="5" t="n"/>
      <c r="B851" s="5" t="n"/>
      <c r="C851" s="5" t="n"/>
      <c r="D851" s="5" t="n"/>
      <c r="E851" s="5" t="n"/>
      <c r="F851" s="5" t="n"/>
      <c r="G851" s="5" t="n"/>
    </row>
    <row r="852" ht="15.75" customHeight="1" s="184">
      <c r="A852" s="5" t="n"/>
      <c r="B852" s="5" t="n"/>
      <c r="C852" s="5" t="n"/>
      <c r="D852" s="5" t="n"/>
      <c r="E852" s="5" t="n"/>
      <c r="F852" s="5" t="n"/>
      <c r="G852" s="5" t="n"/>
    </row>
    <row r="853" ht="15.75" customHeight="1" s="184">
      <c r="A853" s="5" t="n"/>
      <c r="B853" s="5" t="n"/>
      <c r="C853" s="5" t="n"/>
      <c r="D853" s="5" t="n"/>
      <c r="E853" s="5" t="n"/>
      <c r="F853" s="5" t="n"/>
      <c r="G853" s="5" t="n"/>
    </row>
    <row r="854" ht="15.75" customHeight="1" s="184">
      <c r="A854" s="5" t="n"/>
      <c r="B854" s="5" t="n"/>
      <c r="C854" s="5" t="n"/>
      <c r="D854" s="5" t="n"/>
      <c r="E854" s="5" t="n"/>
      <c r="F854" s="5" t="n"/>
      <c r="G854" s="5" t="n"/>
    </row>
    <row r="855" ht="15.75" customHeight="1" s="184">
      <c r="A855" s="5" t="n"/>
      <c r="B855" s="5" t="n"/>
      <c r="C855" s="5" t="n"/>
      <c r="D855" s="5" t="n"/>
      <c r="E855" s="5" t="n"/>
      <c r="F855" s="5" t="n"/>
      <c r="G855" s="5" t="n"/>
    </row>
    <row r="856" ht="15.75" customHeight="1" s="184">
      <c r="A856" s="5" t="n"/>
      <c r="B856" s="5" t="n"/>
      <c r="C856" s="5" t="n"/>
      <c r="D856" s="5" t="n"/>
      <c r="E856" s="5" t="n"/>
      <c r="F856" s="5" t="n"/>
      <c r="G856" s="5" t="n"/>
    </row>
    <row r="857" ht="15.75" customHeight="1" s="184">
      <c r="A857" s="5" t="n"/>
      <c r="B857" s="5" t="n"/>
      <c r="C857" s="5" t="n"/>
      <c r="D857" s="5" t="n"/>
      <c r="E857" s="5" t="n"/>
      <c r="F857" s="5" t="n"/>
      <c r="G857" s="5" t="n"/>
    </row>
    <row r="858" ht="15.75" customHeight="1" s="184">
      <c r="A858" s="5" t="n"/>
      <c r="B858" s="5" t="n"/>
      <c r="C858" s="5" t="n"/>
      <c r="D858" s="5" t="n"/>
      <c r="E858" s="5" t="n"/>
      <c r="F858" s="5" t="n"/>
      <c r="G858" s="5" t="n"/>
    </row>
    <row r="859" ht="15.75" customHeight="1" s="184">
      <c r="A859" s="5" t="n"/>
      <c r="B859" s="5" t="n"/>
      <c r="C859" s="5" t="n"/>
      <c r="D859" s="5" t="n"/>
      <c r="E859" s="5" t="n"/>
      <c r="F859" s="5" t="n"/>
      <c r="G859" s="5" t="n"/>
    </row>
    <row r="860" ht="15.75" customHeight="1" s="184">
      <c r="A860" s="5" t="n"/>
      <c r="B860" s="5" t="n"/>
      <c r="C860" s="5" t="n"/>
      <c r="D860" s="5" t="n"/>
      <c r="E860" s="5" t="n"/>
      <c r="F860" s="5" t="n"/>
      <c r="G860" s="5" t="n"/>
    </row>
    <row r="861" ht="15.75" customHeight="1" s="184">
      <c r="A861" s="5" t="n"/>
      <c r="B861" s="5" t="n"/>
      <c r="C861" s="5" t="n"/>
      <c r="D861" s="5" t="n"/>
      <c r="E861" s="5" t="n"/>
      <c r="F861" s="5" t="n"/>
      <c r="G861" s="5" t="n"/>
    </row>
    <row r="862" ht="15.75" customHeight="1" s="184">
      <c r="A862" s="5" t="n"/>
      <c r="B862" s="5" t="n"/>
      <c r="C862" s="5" t="n"/>
      <c r="D862" s="5" t="n"/>
      <c r="E862" s="5" t="n"/>
      <c r="F862" s="5" t="n"/>
      <c r="G862" s="5" t="n"/>
    </row>
    <row r="863" ht="15.75" customHeight="1" s="184">
      <c r="A863" s="5" t="n"/>
      <c r="B863" s="5" t="n"/>
      <c r="C863" s="5" t="n"/>
      <c r="D863" s="5" t="n"/>
      <c r="E863" s="5" t="n"/>
      <c r="F863" s="5" t="n"/>
      <c r="G863" s="5" t="n"/>
    </row>
    <row r="864" ht="15.75" customHeight="1" s="184">
      <c r="A864" s="5" t="n"/>
      <c r="B864" s="5" t="n"/>
      <c r="C864" s="5" t="n"/>
      <c r="D864" s="5" t="n"/>
      <c r="E864" s="5" t="n"/>
      <c r="F864" s="5" t="n"/>
      <c r="G864" s="5" t="n"/>
    </row>
    <row r="865" ht="15.75" customHeight="1" s="184">
      <c r="A865" s="5" t="n"/>
      <c r="B865" s="5" t="n"/>
      <c r="C865" s="5" t="n"/>
      <c r="D865" s="5" t="n"/>
      <c r="E865" s="5" t="n"/>
      <c r="F865" s="5" t="n"/>
      <c r="G865" s="5" t="n"/>
    </row>
    <row r="866" ht="15.75" customHeight="1" s="184">
      <c r="A866" s="5" t="n"/>
      <c r="B866" s="5" t="n"/>
      <c r="C866" s="5" t="n"/>
      <c r="D866" s="5" t="n"/>
      <c r="E866" s="5" t="n"/>
      <c r="F866" s="5" t="n"/>
      <c r="G866" s="5" t="n"/>
    </row>
    <row r="867" ht="15.75" customHeight="1" s="184">
      <c r="A867" s="5" t="n"/>
      <c r="B867" s="5" t="n"/>
      <c r="C867" s="5" t="n"/>
      <c r="D867" s="5" t="n"/>
      <c r="E867" s="5" t="n"/>
      <c r="F867" s="5" t="n"/>
      <c r="G867" s="5" t="n"/>
    </row>
    <row r="868" ht="15.75" customHeight="1" s="184">
      <c r="A868" s="5" t="n"/>
      <c r="B868" s="5" t="n"/>
      <c r="C868" s="5" t="n"/>
      <c r="D868" s="5" t="n"/>
      <c r="E868" s="5" t="n"/>
      <c r="F868" s="5" t="n"/>
      <c r="G868" s="5" t="n"/>
    </row>
    <row r="869" ht="15.75" customHeight="1" s="184">
      <c r="A869" s="5" t="n"/>
      <c r="B869" s="5" t="n"/>
      <c r="C869" s="5" t="n"/>
      <c r="D869" s="5" t="n"/>
      <c r="E869" s="5" t="n"/>
      <c r="F869" s="5" t="n"/>
      <c r="G869" s="5" t="n"/>
    </row>
    <row r="870" ht="15.75" customHeight="1" s="184">
      <c r="A870" s="5" t="n"/>
      <c r="B870" s="5" t="n"/>
      <c r="C870" s="5" t="n"/>
      <c r="D870" s="5" t="n"/>
      <c r="E870" s="5" t="n"/>
      <c r="F870" s="5" t="n"/>
      <c r="G870" s="5" t="n"/>
    </row>
    <row r="871" ht="15.75" customHeight="1" s="184">
      <c r="A871" s="5" t="n"/>
      <c r="B871" s="5" t="n"/>
      <c r="C871" s="5" t="n"/>
      <c r="D871" s="5" t="n"/>
      <c r="E871" s="5" t="n"/>
      <c r="F871" s="5" t="n"/>
      <c r="G871" s="5" t="n"/>
    </row>
    <row r="872" ht="15.75" customHeight="1" s="184">
      <c r="A872" s="5" t="n"/>
      <c r="B872" s="5" t="n"/>
      <c r="C872" s="5" t="n"/>
      <c r="D872" s="5" t="n"/>
      <c r="E872" s="5" t="n"/>
      <c r="F872" s="5" t="n"/>
      <c r="G872" s="5" t="n"/>
    </row>
    <row r="873" ht="15.75" customHeight="1" s="184">
      <c r="A873" s="5" t="n"/>
      <c r="B873" s="5" t="n"/>
      <c r="C873" s="5" t="n"/>
      <c r="D873" s="5" t="n"/>
      <c r="E873" s="5" t="n"/>
      <c r="F873" s="5" t="n"/>
      <c r="G873" s="5" t="n"/>
    </row>
    <row r="874" ht="15.75" customHeight="1" s="184">
      <c r="A874" s="5" t="n"/>
      <c r="B874" s="5" t="n"/>
      <c r="C874" s="5" t="n"/>
      <c r="D874" s="5" t="n"/>
      <c r="E874" s="5" t="n"/>
      <c r="F874" s="5" t="n"/>
      <c r="G874" s="5" t="n"/>
    </row>
    <row r="875" ht="15.75" customHeight="1" s="184">
      <c r="A875" s="5" t="n"/>
      <c r="B875" s="5" t="n"/>
      <c r="C875" s="5" t="n"/>
      <c r="D875" s="5" t="n"/>
      <c r="E875" s="5" t="n"/>
      <c r="F875" s="5" t="n"/>
      <c r="G875" s="5" t="n"/>
    </row>
    <row r="876" ht="15.75" customHeight="1" s="184">
      <c r="A876" s="5" t="n"/>
      <c r="B876" s="5" t="n"/>
      <c r="C876" s="5" t="n"/>
      <c r="D876" s="5" t="n"/>
      <c r="E876" s="5" t="n"/>
      <c r="F876" s="5" t="n"/>
      <c r="G876" s="5" t="n"/>
    </row>
    <row r="877" ht="15.75" customHeight="1" s="184">
      <c r="A877" s="5" t="n"/>
      <c r="B877" s="5" t="n"/>
      <c r="C877" s="5" t="n"/>
      <c r="D877" s="5" t="n"/>
      <c r="E877" s="5" t="n"/>
      <c r="F877" s="5" t="n"/>
      <c r="G877" s="5" t="n"/>
    </row>
    <row r="878" ht="15.75" customHeight="1" s="184">
      <c r="A878" s="5" t="n"/>
      <c r="B878" s="5" t="n"/>
      <c r="C878" s="5" t="n"/>
      <c r="D878" s="5" t="n"/>
      <c r="E878" s="5" t="n"/>
      <c r="F878" s="5" t="n"/>
      <c r="G878" s="5" t="n"/>
    </row>
    <row r="879" ht="15.75" customHeight="1" s="184">
      <c r="A879" s="5" t="n"/>
      <c r="B879" s="5" t="n"/>
      <c r="C879" s="5" t="n"/>
      <c r="D879" s="5" t="n"/>
      <c r="E879" s="5" t="n"/>
      <c r="F879" s="5" t="n"/>
      <c r="G879" s="5" t="n"/>
    </row>
    <row r="880" ht="15.75" customHeight="1" s="184">
      <c r="A880" s="5" t="n"/>
      <c r="B880" s="5" t="n"/>
      <c r="C880" s="5" t="n"/>
      <c r="D880" s="5" t="n"/>
      <c r="E880" s="5" t="n"/>
      <c r="F880" s="5" t="n"/>
      <c r="G880" s="5" t="n"/>
    </row>
    <row r="881" ht="15.75" customHeight="1" s="184">
      <c r="A881" s="5" t="n"/>
      <c r="B881" s="5" t="n"/>
      <c r="C881" s="5" t="n"/>
      <c r="D881" s="5" t="n"/>
      <c r="E881" s="5" t="n"/>
      <c r="F881" s="5" t="n"/>
      <c r="G881" s="5" t="n"/>
    </row>
    <row r="882" ht="15.75" customHeight="1" s="184">
      <c r="A882" s="5" t="n"/>
      <c r="B882" s="5" t="n"/>
      <c r="C882" s="5" t="n"/>
      <c r="D882" s="5" t="n"/>
      <c r="E882" s="5" t="n"/>
      <c r="F882" s="5" t="n"/>
      <c r="G882" s="5" t="n"/>
    </row>
    <row r="883" ht="15.75" customHeight="1" s="184">
      <c r="A883" s="5" t="n"/>
      <c r="B883" s="5" t="n"/>
      <c r="C883" s="5" t="n"/>
      <c r="D883" s="5" t="n"/>
      <c r="E883" s="5" t="n"/>
      <c r="F883" s="5" t="n"/>
      <c r="G883" s="5" t="n"/>
    </row>
    <row r="884" ht="15.75" customHeight="1" s="184">
      <c r="A884" s="5" t="n"/>
      <c r="B884" s="5" t="n"/>
      <c r="C884" s="5" t="n"/>
      <c r="D884" s="5" t="n"/>
      <c r="E884" s="5" t="n"/>
      <c r="F884" s="5" t="n"/>
      <c r="G884" s="5" t="n"/>
    </row>
    <row r="885" ht="15.75" customHeight="1" s="184">
      <c r="A885" s="5" t="n"/>
      <c r="B885" s="5" t="n"/>
      <c r="C885" s="5" t="n"/>
      <c r="D885" s="5" t="n"/>
      <c r="E885" s="5" t="n"/>
      <c r="F885" s="5" t="n"/>
      <c r="G885" s="5" t="n"/>
    </row>
    <row r="886" ht="15.75" customHeight="1" s="184">
      <c r="A886" s="5" t="n"/>
      <c r="B886" s="5" t="n"/>
      <c r="C886" s="5" t="n"/>
      <c r="D886" s="5" t="n"/>
      <c r="E886" s="5" t="n"/>
      <c r="F886" s="5" t="n"/>
      <c r="G886" s="5" t="n"/>
    </row>
    <row r="887" ht="15.75" customHeight="1" s="184">
      <c r="A887" s="5" t="n"/>
      <c r="B887" s="5" t="n"/>
      <c r="C887" s="5" t="n"/>
      <c r="D887" s="5" t="n"/>
      <c r="E887" s="5" t="n"/>
      <c r="F887" s="5" t="n"/>
      <c r="G887" s="5" t="n"/>
    </row>
    <row r="888" ht="15.75" customHeight="1" s="184">
      <c r="A888" s="5" t="n"/>
      <c r="B888" s="5" t="n"/>
      <c r="C888" s="5" t="n"/>
      <c r="D888" s="5" t="n"/>
      <c r="E888" s="5" t="n"/>
      <c r="F888" s="5" t="n"/>
      <c r="G888" s="5" t="n"/>
    </row>
    <row r="889" ht="15.75" customHeight="1" s="184">
      <c r="A889" s="5" t="n"/>
      <c r="B889" s="5" t="n"/>
      <c r="C889" s="5" t="n"/>
      <c r="D889" s="5" t="n"/>
      <c r="E889" s="5" t="n"/>
      <c r="F889" s="5" t="n"/>
      <c r="G889" s="5" t="n"/>
    </row>
    <row r="890" ht="15.75" customHeight="1" s="184">
      <c r="A890" s="5" t="n"/>
      <c r="B890" s="5" t="n"/>
      <c r="C890" s="5" t="n"/>
      <c r="D890" s="5" t="n"/>
      <c r="E890" s="5" t="n"/>
      <c r="F890" s="5" t="n"/>
      <c r="G890" s="5" t="n"/>
    </row>
    <row r="891" ht="15.75" customHeight="1" s="184">
      <c r="A891" s="5" t="n"/>
      <c r="B891" s="5" t="n"/>
      <c r="C891" s="5" t="n"/>
      <c r="D891" s="5" t="n"/>
      <c r="E891" s="5" t="n"/>
      <c r="F891" s="5" t="n"/>
      <c r="G891" s="5" t="n"/>
    </row>
    <row r="892" ht="15.75" customHeight="1" s="184">
      <c r="A892" s="5" t="n"/>
      <c r="B892" s="5" t="n"/>
      <c r="C892" s="5" t="n"/>
      <c r="D892" s="5" t="n"/>
      <c r="E892" s="5" t="n"/>
      <c r="F892" s="5" t="n"/>
      <c r="G892" s="5" t="n"/>
    </row>
    <row r="893" ht="15.75" customHeight="1" s="184">
      <c r="A893" s="5" t="n"/>
      <c r="B893" s="5" t="n"/>
      <c r="C893" s="5" t="n"/>
      <c r="D893" s="5" t="n"/>
      <c r="E893" s="5" t="n"/>
      <c r="F893" s="5" t="n"/>
      <c r="G893" s="5" t="n"/>
    </row>
    <row r="894" ht="15.75" customHeight="1" s="184">
      <c r="A894" s="5" t="n"/>
      <c r="B894" s="5" t="n"/>
      <c r="C894" s="5" t="n"/>
      <c r="D894" s="5" t="n"/>
      <c r="E894" s="5" t="n"/>
      <c r="F894" s="5" t="n"/>
      <c r="G894" s="5" t="n"/>
    </row>
    <row r="895" ht="15.75" customHeight="1" s="184">
      <c r="A895" s="5" t="n"/>
      <c r="B895" s="5" t="n"/>
      <c r="C895" s="5" t="n"/>
      <c r="D895" s="5" t="n"/>
      <c r="E895" s="5" t="n"/>
      <c r="F895" s="5" t="n"/>
      <c r="G895" s="5" t="n"/>
    </row>
    <row r="896" ht="15.75" customHeight="1" s="184">
      <c r="A896" s="5" t="n"/>
      <c r="B896" s="5" t="n"/>
      <c r="C896" s="5" t="n"/>
      <c r="D896" s="5" t="n"/>
      <c r="E896" s="5" t="n"/>
      <c r="F896" s="5" t="n"/>
      <c r="G896" s="5" t="n"/>
    </row>
    <row r="897" ht="15.75" customHeight="1" s="184">
      <c r="A897" s="5" t="n"/>
      <c r="B897" s="5" t="n"/>
      <c r="C897" s="5" t="n"/>
      <c r="D897" s="5" t="n"/>
      <c r="E897" s="5" t="n"/>
      <c r="F897" s="5" t="n"/>
      <c r="G897" s="5" t="n"/>
    </row>
    <row r="898" ht="15.75" customHeight="1" s="184">
      <c r="A898" s="5" t="n"/>
      <c r="B898" s="5" t="n"/>
      <c r="C898" s="5" t="n"/>
      <c r="D898" s="5" t="n"/>
      <c r="E898" s="5" t="n"/>
      <c r="F898" s="5" t="n"/>
      <c r="G898" s="5" t="n"/>
    </row>
    <row r="899" ht="15.75" customHeight="1" s="184">
      <c r="A899" s="5" t="n"/>
      <c r="B899" s="5" t="n"/>
      <c r="C899" s="5" t="n"/>
      <c r="D899" s="5" t="n"/>
      <c r="E899" s="5" t="n"/>
      <c r="F899" s="5" t="n"/>
      <c r="G899" s="5" t="n"/>
    </row>
    <row r="900" ht="15.75" customHeight="1" s="184">
      <c r="A900" s="5" t="n"/>
      <c r="B900" s="5" t="n"/>
      <c r="C900" s="5" t="n"/>
      <c r="D900" s="5" t="n"/>
      <c r="E900" s="5" t="n"/>
      <c r="F900" s="5" t="n"/>
      <c r="G900" s="5" t="n"/>
    </row>
    <row r="901" ht="15.75" customHeight="1" s="184">
      <c r="A901" s="5" t="n"/>
      <c r="B901" s="5" t="n"/>
      <c r="C901" s="5" t="n"/>
      <c r="D901" s="5" t="n"/>
      <c r="E901" s="5" t="n"/>
      <c r="F901" s="5" t="n"/>
      <c r="G901" s="5" t="n"/>
    </row>
    <row r="902" ht="15.75" customHeight="1" s="184">
      <c r="A902" s="5" t="n"/>
      <c r="B902" s="5" t="n"/>
      <c r="C902" s="5" t="n"/>
      <c r="D902" s="5" t="n"/>
      <c r="E902" s="5" t="n"/>
      <c r="F902" s="5" t="n"/>
      <c r="G902" s="5" t="n"/>
    </row>
    <row r="903" ht="15.75" customHeight="1" s="184">
      <c r="A903" s="5" t="n"/>
      <c r="B903" s="5" t="n"/>
      <c r="C903" s="5" t="n"/>
      <c r="D903" s="5" t="n"/>
      <c r="E903" s="5" t="n"/>
      <c r="F903" s="5" t="n"/>
      <c r="G903" s="5" t="n"/>
    </row>
    <row r="904" ht="15.75" customHeight="1" s="184">
      <c r="A904" s="5" t="n"/>
      <c r="B904" s="5" t="n"/>
      <c r="C904" s="5" t="n"/>
      <c r="D904" s="5" t="n"/>
      <c r="E904" s="5" t="n"/>
      <c r="F904" s="5" t="n"/>
      <c r="G904" s="5" t="n"/>
    </row>
    <row r="905" ht="15.75" customHeight="1" s="184">
      <c r="A905" s="5" t="n"/>
      <c r="B905" s="5" t="n"/>
      <c r="C905" s="5" t="n"/>
      <c r="D905" s="5" t="n"/>
      <c r="E905" s="5" t="n"/>
      <c r="F905" s="5" t="n"/>
      <c r="G905" s="5" t="n"/>
    </row>
    <row r="906" ht="15.75" customHeight="1" s="184">
      <c r="A906" s="5" t="n"/>
      <c r="B906" s="5" t="n"/>
      <c r="C906" s="5" t="n"/>
      <c r="D906" s="5" t="n"/>
      <c r="E906" s="5" t="n"/>
      <c r="F906" s="5" t="n"/>
      <c r="G906" s="5" t="n"/>
    </row>
    <row r="907" ht="15.75" customHeight="1" s="184">
      <c r="A907" s="5" t="n"/>
      <c r="B907" s="5" t="n"/>
      <c r="C907" s="5" t="n"/>
      <c r="D907" s="5" t="n"/>
      <c r="E907" s="5" t="n"/>
      <c r="F907" s="5" t="n"/>
      <c r="G907" s="5" t="n"/>
    </row>
    <row r="908" ht="15.75" customHeight="1" s="184">
      <c r="A908" s="5" t="n"/>
      <c r="B908" s="5" t="n"/>
      <c r="C908" s="5" t="n"/>
      <c r="D908" s="5" t="n"/>
      <c r="E908" s="5" t="n"/>
      <c r="F908" s="5" t="n"/>
      <c r="G908" s="5" t="n"/>
    </row>
    <row r="909" ht="15.75" customHeight="1" s="184">
      <c r="A909" s="5" t="n"/>
      <c r="B909" s="5" t="n"/>
      <c r="C909" s="5" t="n"/>
      <c r="D909" s="5" t="n"/>
      <c r="E909" s="5" t="n"/>
      <c r="F909" s="5" t="n"/>
      <c r="G909" s="5" t="n"/>
    </row>
    <row r="910" ht="15.75" customHeight="1" s="184">
      <c r="A910" s="5" t="n"/>
      <c r="B910" s="5" t="n"/>
      <c r="C910" s="5" t="n"/>
      <c r="D910" s="5" t="n"/>
      <c r="E910" s="5" t="n"/>
      <c r="F910" s="5" t="n"/>
      <c r="G910" s="5" t="n"/>
    </row>
    <row r="911" ht="15.75" customHeight="1" s="184">
      <c r="A911" s="5" t="n"/>
      <c r="B911" s="5" t="n"/>
      <c r="C911" s="5" t="n"/>
      <c r="D911" s="5" t="n"/>
      <c r="E911" s="5" t="n"/>
      <c r="F911" s="5" t="n"/>
      <c r="G911" s="5" t="n"/>
    </row>
    <row r="912" ht="15.75" customHeight="1" s="184">
      <c r="A912" s="5" t="n"/>
      <c r="B912" s="5" t="n"/>
      <c r="C912" s="5" t="n"/>
      <c r="D912" s="5" t="n"/>
      <c r="E912" s="5" t="n"/>
      <c r="F912" s="5" t="n"/>
      <c r="G912" s="5" t="n"/>
    </row>
    <row r="913" ht="15.75" customHeight="1" s="184">
      <c r="A913" s="5" t="n"/>
      <c r="B913" s="5" t="n"/>
      <c r="C913" s="5" t="n"/>
      <c r="D913" s="5" t="n"/>
      <c r="E913" s="5" t="n"/>
      <c r="F913" s="5" t="n"/>
      <c r="G913" s="5" t="n"/>
    </row>
    <row r="914" ht="15.75" customHeight="1" s="184">
      <c r="A914" s="5" t="n"/>
      <c r="B914" s="5" t="n"/>
      <c r="C914" s="5" t="n"/>
      <c r="D914" s="5" t="n"/>
      <c r="E914" s="5" t="n"/>
      <c r="F914" s="5" t="n"/>
      <c r="G914" s="5" t="n"/>
    </row>
    <row r="915" ht="15.75" customHeight="1" s="184">
      <c r="A915" s="5" t="n"/>
      <c r="B915" s="5" t="n"/>
      <c r="C915" s="5" t="n"/>
      <c r="D915" s="5" t="n"/>
      <c r="E915" s="5" t="n"/>
      <c r="F915" s="5" t="n"/>
      <c r="G915" s="5" t="n"/>
    </row>
    <row r="916" ht="15.75" customHeight="1" s="184">
      <c r="A916" s="5" t="n"/>
      <c r="B916" s="5" t="n"/>
      <c r="C916" s="5" t="n"/>
      <c r="D916" s="5" t="n"/>
      <c r="E916" s="5" t="n"/>
      <c r="F916" s="5" t="n"/>
      <c r="G916" s="5" t="n"/>
    </row>
    <row r="917" ht="15.75" customHeight="1" s="184">
      <c r="A917" s="5" t="n"/>
      <c r="B917" s="5" t="n"/>
      <c r="C917" s="5" t="n"/>
      <c r="D917" s="5" t="n"/>
      <c r="E917" s="5" t="n"/>
      <c r="F917" s="5" t="n"/>
      <c r="G917" s="5" t="n"/>
    </row>
    <row r="918" ht="15.75" customHeight="1" s="184">
      <c r="A918" s="5" t="n"/>
      <c r="B918" s="5" t="n"/>
      <c r="C918" s="5" t="n"/>
      <c r="D918" s="5" t="n"/>
      <c r="E918" s="5" t="n"/>
      <c r="F918" s="5" t="n"/>
      <c r="G918" s="5" t="n"/>
    </row>
    <row r="919" ht="15.75" customHeight="1" s="184">
      <c r="A919" s="5" t="n"/>
      <c r="B919" s="5" t="n"/>
      <c r="C919" s="5" t="n"/>
      <c r="D919" s="5" t="n"/>
      <c r="E919" s="5" t="n"/>
      <c r="F919" s="5" t="n"/>
      <c r="G919" s="5" t="n"/>
    </row>
    <row r="920" ht="15.75" customHeight="1" s="184">
      <c r="A920" s="5" t="n"/>
      <c r="B920" s="5" t="n"/>
      <c r="C920" s="5" t="n"/>
      <c r="D920" s="5" t="n"/>
      <c r="E920" s="5" t="n"/>
      <c r="F920" s="5" t="n"/>
      <c r="G920" s="5" t="n"/>
    </row>
    <row r="921" ht="15.75" customHeight="1" s="184">
      <c r="A921" s="5" t="n"/>
      <c r="B921" s="5" t="n"/>
      <c r="C921" s="5" t="n"/>
      <c r="D921" s="5" t="n"/>
      <c r="E921" s="5" t="n"/>
      <c r="F921" s="5" t="n"/>
      <c r="G921" s="5" t="n"/>
    </row>
    <row r="922" ht="15.75" customHeight="1" s="184">
      <c r="A922" s="5" t="n"/>
      <c r="B922" s="5" t="n"/>
      <c r="C922" s="5" t="n"/>
      <c r="D922" s="5" t="n"/>
      <c r="E922" s="5" t="n"/>
      <c r="F922" s="5" t="n"/>
      <c r="G922" s="5" t="n"/>
    </row>
    <row r="923" ht="15.75" customHeight="1" s="184">
      <c r="A923" s="5" t="n"/>
      <c r="B923" s="5" t="n"/>
      <c r="C923" s="5" t="n"/>
      <c r="D923" s="5" t="n"/>
      <c r="E923" s="5" t="n"/>
      <c r="F923" s="5" t="n"/>
      <c r="G923" s="5" t="n"/>
    </row>
    <row r="924" ht="15.75" customHeight="1" s="184">
      <c r="A924" s="5" t="n"/>
      <c r="B924" s="5" t="n"/>
      <c r="C924" s="5" t="n"/>
      <c r="D924" s="5" t="n"/>
      <c r="E924" s="5" t="n"/>
      <c r="F924" s="5" t="n"/>
      <c r="G924" s="5" t="n"/>
    </row>
    <row r="925" ht="15.75" customHeight="1" s="184">
      <c r="A925" s="5" t="n"/>
      <c r="B925" s="5" t="n"/>
      <c r="C925" s="5" t="n"/>
      <c r="D925" s="5" t="n"/>
      <c r="E925" s="5" t="n"/>
      <c r="F925" s="5" t="n"/>
      <c r="G925" s="5" t="n"/>
    </row>
    <row r="926" ht="15.75" customHeight="1" s="184">
      <c r="A926" s="5" t="n"/>
      <c r="B926" s="5" t="n"/>
      <c r="C926" s="5" t="n"/>
      <c r="D926" s="5" t="n"/>
      <c r="E926" s="5" t="n"/>
      <c r="F926" s="5" t="n"/>
      <c r="G926" s="5" t="n"/>
    </row>
    <row r="927" ht="15.75" customHeight="1" s="184">
      <c r="A927" s="5" t="n"/>
      <c r="B927" s="5" t="n"/>
      <c r="C927" s="5" t="n"/>
      <c r="D927" s="5" t="n"/>
      <c r="E927" s="5" t="n"/>
      <c r="F927" s="5" t="n"/>
      <c r="G927" s="5" t="n"/>
    </row>
    <row r="928" ht="15.75" customHeight="1" s="184">
      <c r="A928" s="5" t="n"/>
      <c r="B928" s="5" t="n"/>
      <c r="C928" s="5" t="n"/>
      <c r="D928" s="5" t="n"/>
      <c r="E928" s="5" t="n"/>
      <c r="F928" s="5" t="n"/>
      <c r="G928" s="5" t="n"/>
    </row>
    <row r="929" ht="15.75" customHeight="1" s="184">
      <c r="A929" s="5" t="n"/>
      <c r="B929" s="5" t="n"/>
      <c r="C929" s="5" t="n"/>
      <c r="D929" s="5" t="n"/>
      <c r="E929" s="5" t="n"/>
      <c r="F929" s="5" t="n"/>
      <c r="G929" s="5" t="n"/>
    </row>
    <row r="930" ht="15.75" customHeight="1" s="184">
      <c r="A930" s="5" t="n"/>
      <c r="B930" s="5" t="n"/>
      <c r="C930" s="5" t="n"/>
      <c r="D930" s="5" t="n"/>
      <c r="E930" s="5" t="n"/>
      <c r="F930" s="5" t="n"/>
      <c r="G930" s="5" t="n"/>
    </row>
    <row r="931" ht="15.75" customHeight="1" s="184">
      <c r="A931" s="5" t="n"/>
      <c r="B931" s="5" t="n"/>
      <c r="C931" s="5" t="n"/>
      <c r="D931" s="5" t="n"/>
      <c r="E931" s="5" t="n"/>
      <c r="F931" s="5" t="n"/>
      <c r="G931" s="5" t="n"/>
    </row>
    <row r="932" ht="15.75" customHeight="1" s="184">
      <c r="A932" s="5" t="n"/>
      <c r="B932" s="5" t="n"/>
      <c r="C932" s="5" t="n"/>
      <c r="D932" s="5" t="n"/>
      <c r="E932" s="5" t="n"/>
      <c r="F932" s="5" t="n"/>
      <c r="G932" s="5" t="n"/>
    </row>
    <row r="933" ht="15.75" customHeight="1" s="184">
      <c r="A933" s="5" t="n"/>
      <c r="B933" s="5" t="n"/>
      <c r="C933" s="5" t="n"/>
      <c r="D933" s="5" t="n"/>
      <c r="E933" s="5" t="n"/>
      <c r="F933" s="5" t="n"/>
      <c r="G933" s="5" t="n"/>
    </row>
    <row r="934" ht="15.75" customHeight="1" s="184">
      <c r="A934" s="5" t="n"/>
      <c r="B934" s="5" t="n"/>
      <c r="C934" s="5" t="n"/>
      <c r="D934" s="5" t="n"/>
      <c r="E934" s="5" t="n"/>
      <c r="F934" s="5" t="n"/>
      <c r="G934" s="5" t="n"/>
    </row>
    <row r="935" ht="15.75" customHeight="1" s="184">
      <c r="A935" s="5" t="n"/>
      <c r="B935" s="5" t="n"/>
      <c r="C935" s="5" t="n"/>
      <c r="D935" s="5" t="n"/>
      <c r="E935" s="5" t="n"/>
      <c r="F935" s="5" t="n"/>
      <c r="G935" s="5" t="n"/>
    </row>
    <row r="936" ht="15.75" customHeight="1" s="184">
      <c r="A936" s="5" t="n"/>
      <c r="B936" s="5" t="n"/>
      <c r="C936" s="5" t="n"/>
      <c r="D936" s="5" t="n"/>
      <c r="E936" s="5" t="n"/>
      <c r="F936" s="5" t="n"/>
      <c r="G936" s="5" t="n"/>
    </row>
    <row r="937" ht="15.75" customHeight="1" s="184">
      <c r="A937" s="5" t="n"/>
      <c r="B937" s="5" t="n"/>
      <c r="C937" s="5" t="n"/>
      <c r="D937" s="5" t="n"/>
      <c r="E937" s="5" t="n"/>
      <c r="F937" s="5" t="n"/>
      <c r="G937" s="5" t="n"/>
    </row>
    <row r="938" ht="15.75" customHeight="1" s="184">
      <c r="A938" s="5" t="n"/>
      <c r="B938" s="5" t="n"/>
      <c r="C938" s="5" t="n"/>
      <c r="D938" s="5" t="n"/>
      <c r="E938" s="5" t="n"/>
      <c r="F938" s="5" t="n"/>
      <c r="G938" s="5" t="n"/>
    </row>
    <row r="939" ht="15.75" customHeight="1" s="184">
      <c r="A939" s="5" t="n"/>
      <c r="B939" s="5" t="n"/>
      <c r="C939" s="5" t="n"/>
      <c r="D939" s="5" t="n"/>
      <c r="E939" s="5" t="n"/>
      <c r="F939" s="5" t="n"/>
      <c r="G939" s="5" t="n"/>
    </row>
    <row r="940" ht="15.75" customHeight="1" s="184">
      <c r="A940" s="5" t="n"/>
      <c r="B940" s="5" t="n"/>
      <c r="C940" s="5" t="n"/>
      <c r="D940" s="5" t="n"/>
      <c r="E940" s="5" t="n"/>
      <c r="F940" s="5" t="n"/>
      <c r="G940" s="5" t="n"/>
    </row>
    <row r="941" ht="15.75" customHeight="1" s="184">
      <c r="A941" s="5" t="n"/>
      <c r="B941" s="5" t="n"/>
      <c r="C941" s="5" t="n"/>
      <c r="D941" s="5" t="n"/>
      <c r="E941" s="5" t="n"/>
      <c r="F941" s="5" t="n"/>
      <c r="G941" s="5" t="n"/>
    </row>
    <row r="942" ht="15.75" customHeight="1" s="184">
      <c r="A942" s="5" t="n"/>
      <c r="B942" s="5" t="n"/>
      <c r="C942" s="5" t="n"/>
      <c r="D942" s="5" t="n"/>
      <c r="E942" s="5" t="n"/>
      <c r="F942" s="5" t="n"/>
      <c r="G942" s="5" t="n"/>
    </row>
    <row r="943" ht="15.75" customHeight="1" s="184">
      <c r="A943" s="5" t="n"/>
      <c r="B943" s="5" t="n"/>
      <c r="C943" s="5" t="n"/>
      <c r="D943" s="5" t="n"/>
      <c r="E943" s="5" t="n"/>
      <c r="F943" s="5" t="n"/>
      <c r="G943" s="5" t="n"/>
    </row>
    <row r="944" ht="15.75" customHeight="1" s="184">
      <c r="A944" s="5" t="n"/>
      <c r="B944" s="5" t="n"/>
      <c r="C944" s="5" t="n"/>
      <c r="D944" s="5" t="n"/>
      <c r="E944" s="5" t="n"/>
      <c r="F944" s="5" t="n"/>
      <c r="G944" s="5" t="n"/>
    </row>
    <row r="945" ht="15.75" customHeight="1" s="184">
      <c r="A945" s="5" t="n"/>
      <c r="B945" s="5" t="n"/>
      <c r="C945" s="5" t="n"/>
      <c r="D945" s="5" t="n"/>
      <c r="E945" s="5" t="n"/>
      <c r="F945" s="5" t="n"/>
      <c r="G945" s="5" t="n"/>
    </row>
    <row r="946" ht="15.75" customHeight="1" s="184">
      <c r="A946" s="5" t="n"/>
      <c r="B946" s="5" t="n"/>
      <c r="C946" s="5" t="n"/>
      <c r="D946" s="5" t="n"/>
      <c r="E946" s="5" t="n"/>
      <c r="F946" s="5" t="n"/>
      <c r="G946" s="5" t="n"/>
    </row>
    <row r="947" ht="15.75" customHeight="1" s="184">
      <c r="A947" s="5" t="n"/>
      <c r="B947" s="5" t="n"/>
      <c r="C947" s="5" t="n"/>
      <c r="D947" s="5" t="n"/>
      <c r="E947" s="5" t="n"/>
      <c r="F947" s="5" t="n"/>
      <c r="G947" s="5" t="n"/>
    </row>
    <row r="948" ht="15.75" customHeight="1" s="184">
      <c r="A948" s="5" t="n"/>
      <c r="B948" s="5" t="n"/>
      <c r="C948" s="5" t="n"/>
      <c r="D948" s="5" t="n"/>
      <c r="E948" s="5" t="n"/>
      <c r="F948" s="5" t="n"/>
      <c r="G948" s="5" t="n"/>
    </row>
    <row r="949" ht="15.75" customHeight="1" s="184">
      <c r="A949" s="5" t="n"/>
      <c r="B949" s="5" t="n"/>
      <c r="C949" s="5" t="n"/>
      <c r="D949" s="5" t="n"/>
      <c r="E949" s="5" t="n"/>
      <c r="F949" s="5" t="n"/>
      <c r="G949" s="5" t="n"/>
    </row>
    <row r="950" ht="15.75" customHeight="1" s="184">
      <c r="A950" s="5" t="n"/>
      <c r="B950" s="5" t="n"/>
      <c r="C950" s="5" t="n"/>
      <c r="D950" s="5" t="n"/>
      <c r="E950" s="5" t="n"/>
      <c r="F950" s="5" t="n"/>
      <c r="G950" s="5" t="n"/>
    </row>
    <row r="951" ht="15.75" customHeight="1" s="184">
      <c r="A951" s="5" t="n"/>
      <c r="B951" s="5" t="n"/>
      <c r="C951" s="5" t="n"/>
      <c r="D951" s="5" t="n"/>
      <c r="E951" s="5" t="n"/>
      <c r="F951" s="5" t="n"/>
      <c r="G951" s="5" t="n"/>
    </row>
    <row r="952" ht="15.75" customHeight="1" s="184">
      <c r="A952" s="5" t="n"/>
      <c r="B952" s="5" t="n"/>
      <c r="C952" s="5" t="n"/>
      <c r="D952" s="5" t="n"/>
      <c r="E952" s="5" t="n"/>
      <c r="F952" s="5" t="n"/>
      <c r="G952" s="5" t="n"/>
    </row>
    <row r="953" ht="15.75" customHeight="1" s="184">
      <c r="A953" s="5" t="n"/>
      <c r="B953" s="5" t="n"/>
      <c r="C953" s="5" t="n"/>
      <c r="D953" s="5" t="n"/>
      <c r="E953" s="5" t="n"/>
      <c r="F953" s="5" t="n"/>
      <c r="G953" s="5" t="n"/>
    </row>
    <row r="954" ht="15.75" customHeight="1" s="184">
      <c r="A954" s="5" t="n"/>
      <c r="B954" s="5" t="n"/>
      <c r="C954" s="5" t="n"/>
      <c r="D954" s="5" t="n"/>
      <c r="E954" s="5" t="n"/>
      <c r="F954" s="5" t="n"/>
      <c r="G954" s="5" t="n"/>
    </row>
    <row r="955" ht="15.75" customHeight="1" s="184">
      <c r="A955" s="5" t="n"/>
      <c r="B955" s="5" t="n"/>
      <c r="C955" s="5" t="n"/>
      <c r="D955" s="5" t="n"/>
      <c r="E955" s="5" t="n"/>
      <c r="F955" s="5" t="n"/>
      <c r="G955" s="5" t="n"/>
    </row>
    <row r="956" ht="15.75" customHeight="1" s="184">
      <c r="A956" s="5" t="n"/>
      <c r="B956" s="5" t="n"/>
      <c r="C956" s="5" t="n"/>
      <c r="D956" s="5" t="n"/>
      <c r="E956" s="5" t="n"/>
      <c r="F956" s="5" t="n"/>
      <c r="G956" s="5" t="n"/>
    </row>
    <row r="957" ht="15.75" customHeight="1" s="184">
      <c r="A957" s="5" t="n"/>
      <c r="B957" s="5" t="n"/>
      <c r="C957" s="5" t="n"/>
      <c r="D957" s="5" t="n"/>
      <c r="E957" s="5" t="n"/>
      <c r="F957" s="5" t="n"/>
      <c r="G957" s="5" t="n"/>
    </row>
    <row r="958" ht="15.75" customHeight="1" s="184">
      <c r="A958" s="5" t="n"/>
      <c r="B958" s="5" t="n"/>
      <c r="C958" s="5" t="n"/>
      <c r="D958" s="5" t="n"/>
      <c r="E958" s="5" t="n"/>
      <c r="F958" s="5" t="n"/>
      <c r="G958" s="5" t="n"/>
    </row>
    <row r="959" ht="15.75" customHeight="1" s="184">
      <c r="A959" s="5" t="n"/>
      <c r="B959" s="5" t="n"/>
      <c r="C959" s="5" t="n"/>
      <c r="D959" s="5" t="n"/>
      <c r="E959" s="5" t="n"/>
      <c r="F959" s="5" t="n"/>
      <c r="G959" s="5" t="n"/>
    </row>
    <row r="960" ht="15.75" customHeight="1" s="184">
      <c r="A960" s="5" t="n"/>
      <c r="B960" s="5" t="n"/>
      <c r="C960" s="5" t="n"/>
      <c r="D960" s="5" t="n"/>
      <c r="E960" s="5" t="n"/>
      <c r="F960" s="5" t="n"/>
      <c r="G960" s="5" t="n"/>
    </row>
    <row r="961" ht="15.75" customHeight="1" s="184">
      <c r="A961" s="5" t="n"/>
      <c r="B961" s="5" t="n"/>
      <c r="C961" s="5" t="n"/>
      <c r="D961" s="5" t="n"/>
      <c r="E961" s="5" t="n"/>
      <c r="F961" s="5" t="n"/>
      <c r="G961" s="5" t="n"/>
    </row>
    <row r="962" ht="15.75" customHeight="1" s="184">
      <c r="A962" s="5" t="n"/>
      <c r="B962" s="5" t="n"/>
      <c r="C962" s="5" t="n"/>
      <c r="D962" s="5" t="n"/>
      <c r="E962" s="5" t="n"/>
      <c r="F962" s="5" t="n"/>
      <c r="G962" s="5" t="n"/>
    </row>
    <row r="963" ht="15.75" customHeight="1" s="184">
      <c r="A963" s="5" t="n"/>
      <c r="B963" s="5" t="n"/>
      <c r="C963" s="5" t="n"/>
      <c r="D963" s="5" t="n"/>
      <c r="E963" s="5" t="n"/>
      <c r="F963" s="5" t="n"/>
      <c r="G963" s="5" t="n"/>
    </row>
    <row r="964" ht="15.75" customHeight="1" s="184">
      <c r="A964" s="5" t="n"/>
      <c r="B964" s="5" t="n"/>
      <c r="C964" s="5" t="n"/>
      <c r="D964" s="5" t="n"/>
      <c r="E964" s="5" t="n"/>
      <c r="F964" s="5" t="n"/>
      <c r="G964" s="5" t="n"/>
    </row>
    <row r="965" ht="15.75" customHeight="1" s="184">
      <c r="A965" s="5" t="n"/>
      <c r="B965" s="5" t="n"/>
      <c r="C965" s="5" t="n"/>
      <c r="D965" s="5" t="n"/>
      <c r="E965" s="5" t="n"/>
      <c r="F965" s="5" t="n"/>
      <c r="G965" s="5" t="n"/>
    </row>
    <row r="966" ht="15.75" customHeight="1" s="184">
      <c r="A966" s="5" t="n"/>
      <c r="B966" s="5" t="n"/>
      <c r="C966" s="5" t="n"/>
      <c r="D966" s="5" t="n"/>
      <c r="E966" s="5" t="n"/>
      <c r="F966" s="5" t="n"/>
      <c r="G966" s="5" t="n"/>
    </row>
    <row r="967" ht="15.75" customHeight="1" s="184">
      <c r="A967" s="5" t="n"/>
      <c r="B967" s="5" t="n"/>
      <c r="C967" s="5" t="n"/>
      <c r="D967" s="5" t="n"/>
      <c r="E967" s="5" t="n"/>
      <c r="F967" s="5" t="n"/>
      <c r="G967" s="5" t="n"/>
    </row>
    <row r="968" ht="15.75" customHeight="1" s="184">
      <c r="A968" s="5" t="n"/>
      <c r="B968" s="5" t="n"/>
      <c r="C968" s="5" t="n"/>
      <c r="D968" s="5" t="n"/>
      <c r="E968" s="5" t="n"/>
      <c r="F968" s="5" t="n"/>
      <c r="G968" s="5" t="n"/>
    </row>
    <row r="969" ht="15.75" customHeight="1" s="184">
      <c r="A969" s="5" t="n"/>
      <c r="B969" s="5" t="n"/>
      <c r="C969" s="5" t="n"/>
      <c r="D969" s="5" t="n"/>
      <c r="E969" s="5" t="n"/>
      <c r="F969" s="5" t="n"/>
      <c r="G969" s="5" t="n"/>
    </row>
    <row r="970" ht="15.75" customHeight="1" s="184">
      <c r="A970" s="5" t="n"/>
      <c r="B970" s="5" t="n"/>
      <c r="C970" s="5" t="n"/>
      <c r="D970" s="5" t="n"/>
      <c r="E970" s="5" t="n"/>
      <c r="F970" s="5" t="n"/>
      <c r="G970" s="5" t="n"/>
    </row>
    <row r="971" ht="15.75" customHeight="1" s="184">
      <c r="A971" s="5" t="n"/>
      <c r="B971" s="5" t="n"/>
      <c r="C971" s="5" t="n"/>
      <c r="D971" s="5" t="n"/>
      <c r="E971" s="5" t="n"/>
      <c r="F971" s="5" t="n"/>
      <c r="G971" s="5" t="n"/>
    </row>
    <row r="972" ht="15.75" customHeight="1" s="184">
      <c r="A972" s="5" t="n"/>
      <c r="B972" s="5" t="n"/>
      <c r="C972" s="5" t="n"/>
      <c r="D972" s="5" t="n"/>
      <c r="E972" s="5" t="n"/>
      <c r="F972" s="5" t="n"/>
      <c r="G972" s="5" t="n"/>
    </row>
    <row r="973" ht="15.75" customHeight="1" s="184">
      <c r="A973" s="5" t="n"/>
      <c r="B973" s="5" t="n"/>
      <c r="C973" s="5" t="n"/>
      <c r="D973" s="5" t="n"/>
      <c r="E973" s="5" t="n"/>
      <c r="F973" s="5" t="n"/>
      <c r="G973" s="5" t="n"/>
    </row>
    <row r="974" ht="15.75" customHeight="1" s="184">
      <c r="A974" s="5" t="n"/>
      <c r="B974" s="5" t="n"/>
      <c r="C974" s="5" t="n"/>
      <c r="D974" s="5" t="n"/>
      <c r="E974" s="5" t="n"/>
      <c r="F974" s="5" t="n"/>
      <c r="G974" s="5" t="n"/>
    </row>
    <row r="975" ht="15.75" customHeight="1" s="184">
      <c r="A975" s="5" t="n"/>
      <c r="B975" s="5" t="n"/>
      <c r="C975" s="5" t="n"/>
      <c r="D975" s="5" t="n"/>
      <c r="E975" s="5" t="n"/>
      <c r="F975" s="5" t="n"/>
      <c r="G975" s="5" t="n"/>
    </row>
    <row r="976" ht="15.75" customHeight="1" s="184">
      <c r="A976" s="5" t="n"/>
      <c r="B976" s="5" t="n"/>
      <c r="C976" s="5" t="n"/>
      <c r="D976" s="5" t="n"/>
      <c r="E976" s="5" t="n"/>
      <c r="F976" s="5" t="n"/>
      <c r="G976" s="5" t="n"/>
    </row>
    <row r="977" ht="15.75" customHeight="1" s="184">
      <c r="A977" s="5" t="n"/>
      <c r="B977" s="5" t="n"/>
      <c r="C977" s="5" t="n"/>
      <c r="D977" s="5" t="n"/>
      <c r="E977" s="5" t="n"/>
      <c r="F977" s="5" t="n"/>
      <c r="G977" s="5" t="n"/>
    </row>
    <row r="978" ht="15.75" customHeight="1" s="184">
      <c r="A978" s="5" t="n"/>
      <c r="B978" s="5" t="n"/>
      <c r="C978" s="5" t="n"/>
      <c r="D978" s="5" t="n"/>
      <c r="E978" s="5" t="n"/>
      <c r="F978" s="5" t="n"/>
      <c r="G978" s="5" t="n"/>
    </row>
    <row r="979" ht="15.75" customHeight="1" s="184">
      <c r="A979" s="5" t="n"/>
      <c r="B979" s="5" t="n"/>
      <c r="C979" s="5" t="n"/>
      <c r="D979" s="5" t="n"/>
      <c r="E979" s="5" t="n"/>
      <c r="F979" s="5" t="n"/>
      <c r="G979" s="5" t="n"/>
    </row>
    <row r="980" ht="15.75" customHeight="1" s="184">
      <c r="A980" s="5" t="n"/>
      <c r="B980" s="5" t="n"/>
      <c r="C980" s="5" t="n"/>
      <c r="D980" s="5" t="n"/>
      <c r="E980" s="5" t="n"/>
      <c r="F980" s="5" t="n"/>
      <c r="G980" s="5" t="n"/>
    </row>
    <row r="981" ht="15.75" customHeight="1" s="184">
      <c r="A981" s="5" t="n"/>
      <c r="B981" s="5" t="n"/>
      <c r="C981" s="5" t="n"/>
      <c r="D981" s="5" t="n"/>
      <c r="E981" s="5" t="n"/>
      <c r="F981" s="5" t="n"/>
      <c r="G981" s="5" t="n"/>
    </row>
    <row r="982" ht="15.75" customHeight="1" s="184">
      <c r="A982" s="5" t="n"/>
      <c r="B982" s="5" t="n"/>
      <c r="C982" s="5" t="n"/>
      <c r="D982" s="5" t="n"/>
      <c r="E982" s="5" t="n"/>
      <c r="F982" s="5" t="n"/>
      <c r="G982" s="5" t="n"/>
    </row>
    <row r="983" ht="15.75" customHeight="1" s="184">
      <c r="A983" s="5" t="n"/>
      <c r="B983" s="5" t="n"/>
      <c r="C983" s="5" t="n"/>
      <c r="D983" s="5" t="n"/>
      <c r="E983" s="5" t="n"/>
      <c r="F983" s="5" t="n"/>
      <c r="G983" s="5" t="n"/>
    </row>
    <row r="984" ht="15.75" customHeight="1" s="184">
      <c r="A984" s="5" t="n"/>
      <c r="B984" s="5" t="n"/>
      <c r="C984" s="5" t="n"/>
      <c r="D984" s="5" t="n"/>
      <c r="E984" s="5" t="n"/>
      <c r="F984" s="5" t="n"/>
      <c r="G984" s="5" t="n"/>
    </row>
    <row r="985" ht="15.75" customHeight="1" s="184">
      <c r="A985" s="5" t="n"/>
      <c r="B985" s="5" t="n"/>
      <c r="C985" s="5" t="n"/>
      <c r="D985" s="5" t="n"/>
      <c r="E985" s="5" t="n"/>
      <c r="F985" s="5" t="n"/>
      <c r="G985" s="5" t="n"/>
    </row>
    <row r="986" ht="15.75" customHeight="1" s="184">
      <c r="A986" s="5" t="n"/>
      <c r="B986" s="5" t="n"/>
      <c r="C986" s="5" t="n"/>
      <c r="D986" s="5" t="n"/>
      <c r="E986" s="5" t="n"/>
      <c r="F986" s="5" t="n"/>
      <c r="G986" s="5" t="n"/>
    </row>
    <row r="987" ht="15.75" customHeight="1" s="184">
      <c r="A987" s="5" t="n"/>
      <c r="B987" s="5" t="n"/>
      <c r="C987" s="5" t="n"/>
      <c r="D987" s="5" t="n"/>
      <c r="E987" s="5" t="n"/>
      <c r="F987" s="5" t="n"/>
      <c r="G987" s="5" t="n"/>
    </row>
    <row r="988" ht="15.75" customHeight="1" s="184">
      <c r="A988" s="5" t="n"/>
      <c r="B988" s="5" t="n"/>
      <c r="C988" s="5" t="n"/>
      <c r="D988" s="5" t="n"/>
      <c r="E988" s="5" t="n"/>
      <c r="F988" s="5" t="n"/>
      <c r="G988" s="5" t="n"/>
    </row>
    <row r="989" ht="15.75" customHeight="1" s="184">
      <c r="A989" s="5" t="n"/>
      <c r="B989" s="5" t="n"/>
      <c r="C989" s="5" t="n"/>
      <c r="D989" s="5" t="n"/>
      <c r="E989" s="5" t="n"/>
      <c r="F989" s="5" t="n"/>
      <c r="G989" s="5" t="n"/>
    </row>
    <row r="990" ht="15.75" customHeight="1" s="184">
      <c r="A990" s="5" t="n"/>
      <c r="B990" s="5" t="n"/>
      <c r="C990" s="5" t="n"/>
      <c r="D990" s="5" t="n"/>
      <c r="E990" s="5" t="n"/>
      <c r="F990" s="5" t="n"/>
      <c r="G990" s="5" t="n"/>
    </row>
    <row r="991" ht="15.75" customHeight="1" s="184">
      <c r="A991" s="5" t="n"/>
      <c r="B991" s="5" t="n"/>
      <c r="C991" s="5" t="n"/>
      <c r="D991" s="5" t="n"/>
      <c r="E991" s="5" t="n"/>
      <c r="F991" s="5" t="n"/>
      <c r="G991" s="5" t="n"/>
    </row>
    <row r="992" ht="15.75" customHeight="1" s="184">
      <c r="A992" s="5" t="n"/>
      <c r="B992" s="5" t="n"/>
      <c r="C992" s="5" t="n"/>
      <c r="D992" s="5" t="n"/>
      <c r="E992" s="5" t="n"/>
      <c r="F992" s="5" t="n"/>
      <c r="G992" s="5" t="n"/>
    </row>
    <row r="993" ht="15.75" customHeight="1" s="184">
      <c r="A993" s="5" t="n"/>
      <c r="B993" s="5" t="n"/>
      <c r="C993" s="5" t="n"/>
      <c r="D993" s="5" t="n"/>
      <c r="E993" s="5" t="n"/>
      <c r="F993" s="5" t="n"/>
      <c r="G993" s="5" t="n"/>
    </row>
    <row r="994" ht="15.75" customHeight="1" s="184">
      <c r="A994" s="5" t="n"/>
      <c r="B994" s="5" t="n"/>
      <c r="C994" s="5" t="n"/>
      <c r="D994" s="5" t="n"/>
      <c r="E994" s="5" t="n"/>
      <c r="F994" s="5" t="n"/>
      <c r="G994" s="5" t="n"/>
    </row>
    <row r="995" ht="15.75" customHeight="1" s="184">
      <c r="A995" s="5" t="n"/>
      <c r="B995" s="5" t="n"/>
      <c r="C995" s="5" t="n"/>
      <c r="D995" s="5" t="n"/>
      <c r="E995" s="5" t="n"/>
      <c r="F995" s="5" t="n"/>
      <c r="G995" s="5" t="n"/>
    </row>
    <row r="996" ht="15.75" customHeight="1" s="184">
      <c r="A996" s="5" t="n"/>
      <c r="B996" s="5" t="n"/>
      <c r="C996" s="5" t="n"/>
      <c r="D996" s="5" t="n"/>
      <c r="E996" s="5" t="n"/>
      <c r="F996" s="5" t="n"/>
      <c r="G996" s="5" t="n"/>
    </row>
    <row r="997" ht="15.75" customHeight="1" s="184">
      <c r="A997" s="5" t="n"/>
      <c r="B997" s="5" t="n"/>
      <c r="C997" s="5" t="n"/>
      <c r="D997" s="5" t="n"/>
      <c r="E997" s="5" t="n"/>
      <c r="F997" s="5" t="n"/>
      <c r="G997" s="5" t="n"/>
    </row>
    <row r="998" ht="15.75" customHeight="1" s="184">
      <c r="A998" s="5" t="n"/>
      <c r="B998" s="5" t="n"/>
      <c r="C998" s="5" t="n"/>
      <c r="D998" s="5" t="n"/>
      <c r="E998" s="5" t="n"/>
      <c r="F998" s="5" t="n"/>
      <c r="G998" s="5" t="n"/>
    </row>
    <row r="999" ht="15.75" customHeight="1" s="184">
      <c r="A999" s="5" t="n"/>
      <c r="B999" s="5" t="n"/>
      <c r="C999" s="5" t="n"/>
      <c r="D999" s="5" t="n"/>
      <c r="E999" s="5" t="n"/>
      <c r="F999" s="5" t="n"/>
      <c r="G999" s="5" t="n"/>
    </row>
    <row r="1000" ht="15.75" customHeight="1" s="184">
      <c r="A1000" s="5" t="n"/>
      <c r="B1000" s="5" t="n"/>
      <c r="C1000" s="5" t="n"/>
      <c r="D1000" s="5" t="n"/>
      <c r="E1000" s="5" t="n"/>
      <c r="F1000" s="5" t="n"/>
      <c r="G1000" s="5" t="n"/>
    </row>
    <row r="1001" ht="15.75" customHeight="1" s="184">
      <c r="A1001" s="5" t="n"/>
      <c r="B1001" s="5" t="n"/>
      <c r="C1001" s="5" t="n"/>
      <c r="D1001" s="5" t="n"/>
      <c r="E1001" s="5" t="n"/>
      <c r="F1001" s="5" t="n"/>
      <c r="G1001" s="5" t="n"/>
    </row>
  </sheetData>
  <autoFilter ref="$A$3:$E$1001"/>
  <mergeCells count="1">
    <mergeCell ref="A1:E1"/>
  </mergeCells>
  <conditionalFormatting sqref="D2">
    <cfRule type="containsText" priority="1" operator="containsText" dxfId="0" text="Crypto">
      <formula>NOT(ISERROR(SEARCH(("Crypto"),(D2))))</formula>
    </cfRule>
    <cfRule type="containsText" priority="2" operator="containsText" dxfId="1" text="Shares MF">
      <formula>NOT(ISERROR(SEARCH(("Shares MF"),(D2))))</formula>
    </cfRule>
  </conditionalFormatting>
  <conditionalFormatting sqref="A4:E1001">
    <cfRule type="expression" priority="3" dxfId="2">
      <formula>$C4&lt;0</formula>
    </cfRule>
  </conditionalFormatting>
  <dataValidations count="1">
    <dataValidation sqref="D4:D1000" showDropDown="0" showInputMessage="0" showErrorMessage="0" allowBlank="1" type="list">
      <formula1>SETTINGS!$C$3:$C$100</formula1>
    </dataValidation>
  </dataValidation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tabColor rgb="FF1565D8"/>
    <outlinePr summaryBelow="1" summaryRight="1"/>
    <pageSetUpPr/>
  </sheetPr>
  <dimension ref="A1:J1000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4" customWidth="1" style="184" min="1" max="1"/>
    <col width="35" customWidth="1" style="184" min="2" max="2"/>
    <col width="16" customWidth="1" style="184" min="3" max="3"/>
    <col width="24" customWidth="1" style="184" min="4" max="4"/>
    <col width="40" customWidth="1" style="184" min="5" max="5"/>
    <col width="5.43" customWidth="1" style="184" min="6" max="6"/>
    <col width="18" customWidth="1" style="184" min="7" max="7"/>
    <col width="16" customWidth="1" style="184" min="8" max="8"/>
  </cols>
  <sheetData>
    <row r="1" ht="31.5" customHeight="1" s="184">
      <c r="A1" s="216" t="inlineStr">
        <is>
          <t>🏦 IN-HAND BALANCE TRACKER — Bank, FD, EPFO</t>
        </is>
      </c>
      <c r="F1" s="9" t="n"/>
      <c r="G1" s="5" t="n"/>
      <c r="H1" s="5" t="n"/>
      <c r="I1" s="5" t="n"/>
      <c r="J1" s="5" t="n"/>
    </row>
    <row r="2" ht="13.5" customHeight="1" s="184">
      <c r="A2" s="6" t="inlineStr">
        <is>
          <t>Type</t>
        </is>
      </c>
      <c r="B2" s="6" t="inlineStr">
        <is>
          <t>Type</t>
        </is>
      </c>
      <c r="C2" s="6" t="inlineStr">
        <is>
          <t>Type</t>
        </is>
      </c>
      <c r="D2" s="10" t="inlineStr">
        <is>
          <t>Select</t>
        </is>
      </c>
      <c r="E2" s="6" t="inlineStr">
        <is>
          <t>Type</t>
        </is>
      </c>
      <c r="F2" s="11" t="n"/>
      <c r="G2" s="13" t="n"/>
      <c r="H2" s="13" t="n"/>
      <c r="I2" s="5" t="n"/>
      <c r="J2" s="5" t="n"/>
    </row>
    <row r="3" ht="24" customHeight="1" s="184">
      <c r="A3" s="14" t="inlineStr">
        <is>
          <t>Date</t>
        </is>
      </c>
      <c r="B3" s="14" t="inlineStr">
        <is>
          <t>Source / Account</t>
        </is>
      </c>
      <c r="C3" s="14" t="inlineStr">
        <is>
          <t>Amount (₹)</t>
        </is>
      </c>
      <c r="D3" s="14" t="inlineStr">
        <is>
          <t>Account Type</t>
        </is>
      </c>
      <c r="E3" s="14" t="inlineStr">
        <is>
          <t>Notes</t>
        </is>
      </c>
      <c r="F3" s="11" t="n"/>
      <c r="G3" s="13" t="inlineStr">
        <is>
          <t>BALANCE SUMMARY</t>
        </is>
      </c>
      <c r="I3" s="5" t="n"/>
      <c r="J3" s="5" t="n"/>
    </row>
    <row r="4" ht="15.75" customHeight="1" s="184">
      <c r="A4" s="15" t="n">
        <v>45716</v>
      </c>
      <c r="B4" s="16" t="inlineStr">
        <is>
          <t>Primary Checking Account (SBI)</t>
        </is>
      </c>
      <c r="C4" s="18" t="n">
        <v>61682.97</v>
      </c>
      <c r="D4" s="16" t="inlineStr">
        <is>
          <t>Personal SBI (Saving)</t>
        </is>
      </c>
      <c r="E4" s="16" t="n"/>
      <c r="F4" s="11" t="n"/>
      <c r="G4" s="5" t="n"/>
      <c r="H4" s="5" t="n"/>
      <c r="I4" s="5" t="n"/>
      <c r="J4" s="5" t="n"/>
    </row>
    <row r="5" ht="15" customHeight="1" s="184">
      <c r="A5" s="15" t="n">
        <v>45716</v>
      </c>
      <c r="B5" s="16" t="inlineStr">
        <is>
          <t>SBI FD</t>
        </is>
      </c>
      <c r="C5" s="18" t="n">
        <v>150000</v>
      </c>
      <c r="D5" s="16" t="inlineStr">
        <is>
          <t>SBI FD</t>
        </is>
      </c>
      <c r="E5" s="16" t="n"/>
      <c r="F5" s="11" t="n"/>
      <c r="G5" s="20" t="inlineStr">
        <is>
          <t>Personal SBI</t>
        </is>
      </c>
      <c r="H5" s="24">
        <f>SUMIF(D:D,"Personal SBI (Saving)",C:C)</f>
        <v/>
      </c>
      <c r="I5" s="5" t="n"/>
      <c r="J5" s="5" t="n"/>
    </row>
    <row r="6" ht="15" customHeight="1" s="184">
      <c r="A6" s="15" t="n">
        <v>45717</v>
      </c>
      <c r="B6" s="16" t="inlineStr">
        <is>
          <t>Solaria Tech Corporate Salary</t>
        </is>
      </c>
      <c r="C6" s="18" t="n">
        <v>14929</v>
      </c>
      <c r="D6" s="16" t="inlineStr">
        <is>
          <t>Personal SBI (Saving)</t>
        </is>
      </c>
      <c r="E6" s="16" t="n"/>
      <c r="F6" s="11" t="n"/>
      <c r="G6" s="26" t="inlineStr">
        <is>
          <t>SBI FD</t>
        </is>
      </c>
      <c r="H6" s="27">
        <f>SUMIF(D:D,"SBI FD",C:C)</f>
        <v/>
      </c>
      <c r="I6" s="5" t="n"/>
      <c r="J6" s="5" t="n"/>
    </row>
    <row r="7" ht="15" customHeight="1" s="184">
      <c r="A7" s="15" t="n">
        <v>45748</v>
      </c>
      <c r="B7" s="16" t="inlineStr">
        <is>
          <t>Solaria Tech Corporate Salary</t>
        </is>
      </c>
      <c r="C7" s="18" t="n">
        <v>14029</v>
      </c>
      <c r="D7" s="16" t="inlineStr">
        <is>
          <t>Personal SBI (Saving)</t>
        </is>
      </c>
      <c r="E7" s="16" t="n"/>
      <c r="F7" s="11" t="n"/>
      <c r="G7" s="28" t="inlineStr">
        <is>
          <t>EPFO</t>
        </is>
      </c>
      <c r="H7" s="29">
        <f>SUMIF(D:D,"EPFO",C:C)</f>
        <v/>
      </c>
      <c r="I7" s="5" t="n"/>
      <c r="J7" s="5" t="n"/>
    </row>
    <row r="8" ht="15" customHeight="1" s="184">
      <c r="A8" s="15" t="n">
        <v>45748</v>
      </c>
      <c r="B8" s="16" t="inlineStr">
        <is>
          <t>SBI INTEREST EARN</t>
        </is>
      </c>
      <c r="C8" s="18" t="n">
        <v>337.869999999995</v>
      </c>
      <c r="D8" s="16" t="inlineStr">
        <is>
          <t>Personal SBI (Saving)</t>
        </is>
      </c>
      <c r="E8" s="16" t="n"/>
      <c r="F8" s="11" t="n"/>
      <c r="G8" s="30" t="inlineStr">
        <is>
          <t>TOTAL IN-HAND</t>
        </is>
      </c>
      <c r="H8" s="31">
        <f>SUMIF(D:D,"Personal SBI (Saving)",C:C)+SUMIF(D:D,"SBI FD",C:C)+SUMIF(D:D,"EPFO",C:C)</f>
        <v/>
      </c>
      <c r="I8" s="5" t="n"/>
      <c r="J8" s="5" t="n"/>
    </row>
    <row r="9" ht="15.75" customHeight="1" s="184">
      <c r="A9" s="15" t="n">
        <v>45776</v>
      </c>
      <c r="B9" s="16" t="inlineStr">
        <is>
          <t>Withdraw Primary Checking Account</t>
        </is>
      </c>
      <c r="C9" s="18" t="n">
        <v>-20000</v>
      </c>
      <c r="D9" s="16" t="inlineStr">
        <is>
          <t>Personal SBI (Saving)</t>
        </is>
      </c>
      <c r="E9" s="16" t="n"/>
      <c r="F9" s="11" t="n"/>
      <c r="G9" s="5" t="n"/>
      <c r="H9" s="5" t="n"/>
      <c r="I9" s="5" t="n"/>
      <c r="J9" s="5" t="n"/>
    </row>
    <row r="10" ht="15.75" customHeight="1" s="184">
      <c r="A10" s="15" t="n">
        <v>45778</v>
      </c>
      <c r="B10" s="16" t="inlineStr">
        <is>
          <t>Solaria Tech Corporate Salary</t>
        </is>
      </c>
      <c r="C10" s="18" t="n">
        <v>11015</v>
      </c>
      <c r="D10" s="16" t="inlineStr">
        <is>
          <t>Personal SBI (Saving)</t>
        </is>
      </c>
      <c r="E10" s="16" t="n"/>
      <c r="F10" s="11" t="n"/>
      <c r="G10" s="5" t="n"/>
      <c r="H10" s="5" t="n"/>
      <c r="I10" s="5" t="n"/>
      <c r="J10" s="5" t="n"/>
    </row>
    <row r="11" ht="15.75" customHeight="1" s="184">
      <c r="A11" s="15" t="n">
        <v>45795</v>
      </c>
      <c r="B11" s="16" t="inlineStr">
        <is>
          <t>Family Support (Peer Transfer)</t>
        </is>
      </c>
      <c r="C11" s="18" t="n">
        <v>15000</v>
      </c>
      <c r="D11" s="16" t="inlineStr">
        <is>
          <t>Personal SBI (Saving)</t>
        </is>
      </c>
      <c r="E11" s="16" t="n"/>
      <c r="F11" s="11" t="n"/>
      <c r="G11" s="5" t="n"/>
      <c r="H11" s="5" t="n"/>
      <c r="I11" s="5" t="n"/>
      <c r="J11" s="5" t="n"/>
    </row>
    <row r="12" ht="15.75" customHeight="1" s="184">
      <c r="A12" s="15" t="n">
        <v>45809</v>
      </c>
      <c r="B12" s="16" t="inlineStr">
        <is>
          <t>Solaria Tech Corporate Salary</t>
        </is>
      </c>
      <c r="C12" s="18" t="n">
        <v>12223</v>
      </c>
      <c r="D12" s="16" t="inlineStr">
        <is>
          <t>Personal SBI (Saving)</t>
        </is>
      </c>
      <c r="E12" s="16" t="n"/>
      <c r="F12" s="11" t="n"/>
      <c r="G12" s="5" t="n"/>
      <c r="H12" s="5" t="n"/>
      <c r="I12" s="5" t="n"/>
      <c r="J12" s="5" t="n"/>
    </row>
    <row r="13" ht="15.75" customHeight="1" s="184">
      <c r="A13" s="15" t="n">
        <v>45839</v>
      </c>
      <c r="B13" s="16" t="inlineStr">
        <is>
          <t>Solaria Tech Corporate Salary</t>
        </is>
      </c>
      <c r="C13" s="18" t="n">
        <v>7726</v>
      </c>
      <c r="D13" s="16" t="inlineStr">
        <is>
          <t>Personal SBI (Saving)</t>
        </is>
      </c>
      <c r="E13" s="16" t="n"/>
      <c r="F13" s="11" t="n"/>
      <c r="G13" s="5" t="n"/>
      <c r="H13" s="5" t="n"/>
      <c r="I13" s="5" t="n"/>
      <c r="J13" s="5" t="n"/>
    </row>
    <row r="14" ht="15.75" customHeight="1" s="184">
      <c r="A14" s="15" t="n">
        <v>45839</v>
      </c>
      <c r="B14" s="16" t="inlineStr">
        <is>
          <t>SBI INTEREST EARN</t>
        </is>
      </c>
      <c r="C14" s="18" t="n">
        <v>638</v>
      </c>
      <c r="D14" s="16" t="inlineStr">
        <is>
          <t>Personal SBI (Saving)</t>
        </is>
      </c>
      <c r="E14" s="16" t="n"/>
      <c r="F14" s="11" t="n"/>
      <c r="G14" s="5" t="n"/>
      <c r="H14" s="5" t="n"/>
      <c r="I14" s="5" t="n"/>
      <c r="J14" s="5" t="n"/>
    </row>
    <row r="15" ht="15.75" customHeight="1" s="184">
      <c r="A15" s="15" t="n"/>
      <c r="B15" s="16" t="n"/>
      <c r="C15" s="18" t="n"/>
      <c r="D15" s="16" t="n"/>
      <c r="E15" s="16" t="n"/>
      <c r="F15" s="11" t="n"/>
      <c r="G15" s="5" t="n"/>
      <c r="H15" s="5" t="n"/>
      <c r="I15" s="5" t="n"/>
      <c r="J15" s="5" t="n"/>
    </row>
    <row r="16" ht="15.75" customHeight="1" s="184">
      <c r="A16" s="15" t="n"/>
      <c r="B16" s="16" t="n"/>
      <c r="C16" s="18" t="n"/>
      <c r="D16" s="16" t="n"/>
      <c r="E16" s="16" t="n"/>
      <c r="F16" s="11" t="n"/>
      <c r="G16" s="5" t="n"/>
      <c r="H16" s="5" t="n"/>
      <c r="I16" s="5" t="n"/>
      <c r="J16" s="5" t="n"/>
    </row>
    <row r="17" ht="15.75" customHeight="1" s="184">
      <c r="A17" s="15" t="n"/>
      <c r="B17" s="16" t="n"/>
      <c r="C17" s="18" t="n"/>
      <c r="D17" s="16" t="n"/>
      <c r="E17" s="16" t="n"/>
      <c r="F17" s="11" t="n"/>
      <c r="G17" s="5" t="n"/>
      <c r="H17" s="5" t="n"/>
      <c r="I17" s="5" t="n"/>
      <c r="J17" s="5" t="n"/>
    </row>
    <row r="18" ht="15.75" customHeight="1" s="184">
      <c r="A18" s="15" t="n"/>
      <c r="B18" s="16" t="n"/>
      <c r="C18" s="18" t="n"/>
      <c r="D18" s="16" t="n"/>
      <c r="E18" s="16" t="n"/>
      <c r="F18" s="11" t="n"/>
      <c r="G18" s="5" t="n"/>
      <c r="H18" s="5" t="n"/>
      <c r="I18" s="5" t="n"/>
      <c r="J18" s="5" t="n"/>
    </row>
    <row r="19" ht="15.75" customHeight="1" s="184">
      <c r="A19" s="15" t="n"/>
      <c r="B19" s="16" t="n"/>
      <c r="C19" s="18" t="n"/>
      <c r="D19" s="16" t="n"/>
      <c r="E19" s="16" t="n"/>
      <c r="F19" s="11" t="n"/>
      <c r="G19" s="5" t="n"/>
      <c r="H19" s="5" t="n"/>
      <c r="I19" s="5" t="n"/>
      <c r="J19" s="5" t="n"/>
    </row>
    <row r="20" ht="15.75" customHeight="1" s="184">
      <c r="A20" s="15" t="n"/>
      <c r="B20" s="16" t="n"/>
      <c r="C20" s="18" t="n"/>
      <c r="D20" s="16" t="n"/>
      <c r="E20" s="16" t="n"/>
      <c r="F20" s="11" t="n"/>
      <c r="G20" s="5" t="n"/>
      <c r="H20" s="5" t="n"/>
      <c r="I20" s="5" t="n"/>
      <c r="J20" s="5" t="n"/>
    </row>
    <row r="21" ht="15.75" customHeight="1" s="184">
      <c r="A21" s="15" t="n"/>
      <c r="B21" s="16" t="n"/>
      <c r="C21" s="18" t="n"/>
      <c r="D21" s="16" t="n"/>
      <c r="E21" s="16" t="n"/>
      <c r="F21" s="11" t="n"/>
      <c r="G21" s="5" t="n"/>
      <c r="H21" s="5" t="n"/>
      <c r="I21" s="5" t="n"/>
      <c r="J21" s="5" t="n"/>
    </row>
    <row r="22" ht="15.75" customHeight="1" s="184">
      <c r="A22" s="15" t="n"/>
      <c r="B22" s="16" t="n"/>
      <c r="C22" s="18" t="n"/>
      <c r="D22" s="16" t="n"/>
      <c r="E22" s="16" t="n"/>
      <c r="F22" s="11" t="n"/>
      <c r="G22" s="5" t="n"/>
      <c r="H22" s="5" t="n"/>
      <c r="I22" s="5" t="n"/>
      <c r="J22" s="5" t="n"/>
    </row>
    <row r="23" ht="15.75" customHeight="1" s="184">
      <c r="A23" s="15" t="n"/>
      <c r="B23" s="16" t="n"/>
      <c r="C23" s="18" t="n"/>
      <c r="D23" s="16" t="n"/>
      <c r="E23" s="16" t="n"/>
      <c r="F23" s="11" t="n"/>
      <c r="G23" s="5" t="n"/>
      <c r="H23" s="5" t="n"/>
      <c r="I23" s="5" t="n"/>
      <c r="J23" s="5" t="n"/>
    </row>
    <row r="24" ht="15.75" customHeight="1" s="184">
      <c r="A24" s="15" t="n"/>
      <c r="B24" s="16" t="n"/>
      <c r="C24" s="18" t="n"/>
      <c r="D24" s="16" t="n"/>
      <c r="E24" s="16" t="n"/>
      <c r="F24" s="11" t="n"/>
      <c r="G24" s="5" t="n"/>
      <c r="H24" s="5" t="n"/>
      <c r="I24" s="5" t="n"/>
      <c r="J24" s="5" t="n"/>
    </row>
    <row r="25" ht="15.75" customHeight="1" s="184">
      <c r="A25" s="15" t="n"/>
      <c r="B25" s="16" t="n"/>
      <c r="C25" s="18" t="n"/>
      <c r="D25" s="16" t="n"/>
      <c r="E25" s="16" t="n"/>
      <c r="F25" s="11" t="n"/>
      <c r="G25" s="5" t="n"/>
      <c r="H25" s="5" t="n"/>
      <c r="I25" s="5" t="n"/>
      <c r="J25" s="5" t="n"/>
    </row>
    <row r="26" ht="15.75" customHeight="1" s="184">
      <c r="A26" s="15" t="n"/>
      <c r="B26" s="16" t="n"/>
      <c r="C26" s="18" t="n"/>
      <c r="D26" s="16" t="n"/>
      <c r="E26" s="16" t="n"/>
      <c r="F26" s="11" t="n"/>
      <c r="G26" s="5" t="n"/>
      <c r="H26" s="5" t="n"/>
      <c r="I26" s="5" t="n"/>
      <c r="J26" s="5" t="n"/>
    </row>
    <row r="27" ht="15.75" customHeight="1" s="184">
      <c r="A27" s="15" t="n"/>
      <c r="B27" s="16" t="n"/>
      <c r="C27" s="18" t="n"/>
      <c r="D27" s="16" t="n"/>
      <c r="E27" s="16" t="n"/>
      <c r="F27" s="11" t="n"/>
      <c r="G27" s="5" t="n"/>
      <c r="H27" s="5" t="n"/>
      <c r="I27" s="5" t="n"/>
      <c r="J27" s="5" t="n"/>
    </row>
    <row r="28" ht="15.75" customHeight="1" s="184">
      <c r="A28" s="15" t="n"/>
      <c r="B28" s="16" t="n"/>
      <c r="C28" s="18" t="n"/>
      <c r="D28" s="16" t="n"/>
      <c r="E28" s="16" t="n"/>
      <c r="F28" s="11" t="n"/>
      <c r="G28" s="5" t="n"/>
      <c r="H28" s="5" t="n"/>
      <c r="I28" s="5" t="n"/>
      <c r="J28" s="5" t="n"/>
    </row>
    <row r="29" ht="15.75" customHeight="1" s="184">
      <c r="A29" s="15" t="n"/>
      <c r="B29" s="16" t="n"/>
      <c r="C29" s="18" t="n"/>
      <c r="D29" s="16" t="n"/>
      <c r="E29" s="16" t="n"/>
      <c r="F29" s="11" t="n"/>
      <c r="G29" s="5" t="n"/>
      <c r="H29" s="5" t="n"/>
      <c r="I29" s="5" t="n"/>
      <c r="J29" s="5" t="n"/>
    </row>
    <row r="30" ht="15.75" customHeight="1" s="184">
      <c r="A30" s="15" t="n"/>
      <c r="B30" s="16" t="n"/>
      <c r="C30" s="18" t="n"/>
      <c r="D30" s="16" t="n"/>
      <c r="E30" s="16" t="n"/>
      <c r="F30" s="11" t="n"/>
      <c r="G30" s="5" t="n"/>
      <c r="H30" s="5" t="n"/>
      <c r="I30" s="5" t="n"/>
      <c r="J30" s="5" t="n"/>
    </row>
    <row r="31" ht="15.75" customHeight="1" s="184">
      <c r="A31" s="15" t="n"/>
      <c r="B31" s="16" t="n"/>
      <c r="C31" s="18" t="n"/>
      <c r="D31" s="16" t="n"/>
      <c r="E31" s="16" t="n"/>
      <c r="F31" s="11" t="n"/>
      <c r="G31" s="5" t="n"/>
      <c r="H31" s="5" t="n"/>
      <c r="I31" s="5" t="n"/>
      <c r="J31" s="5" t="n"/>
    </row>
    <row r="32" ht="15" customHeight="1" s="184">
      <c r="A32" s="15" t="n"/>
      <c r="B32" s="16" t="n"/>
      <c r="C32" s="18" t="n"/>
      <c r="D32" s="16" t="n"/>
      <c r="E32" s="16" t="n"/>
      <c r="F32" s="11" t="n"/>
      <c r="G32" s="5" t="n"/>
      <c r="H32" s="5" t="n"/>
      <c r="I32" s="5" t="n"/>
      <c r="J32" s="5" t="n"/>
    </row>
    <row r="33" ht="15" customHeight="1" s="184">
      <c r="A33" s="15" t="n"/>
      <c r="B33" s="16" t="n"/>
      <c r="C33" s="18" t="n"/>
      <c r="D33" s="16" t="n"/>
      <c r="E33" s="16" t="n"/>
      <c r="F33" s="11" t="n"/>
      <c r="G33" s="5" t="n"/>
      <c r="H33" s="5" t="n"/>
      <c r="I33" s="5" t="n"/>
      <c r="J33" s="5" t="n"/>
    </row>
    <row r="34" ht="15" customHeight="1" s="184">
      <c r="A34" s="15" t="n"/>
      <c r="B34" s="16" t="n"/>
      <c r="C34" s="18" t="n"/>
      <c r="D34" s="16" t="n"/>
      <c r="E34" s="16" t="n"/>
      <c r="F34" s="11" t="n"/>
      <c r="G34" s="5" t="n"/>
      <c r="H34" s="5" t="n"/>
      <c r="I34" s="5" t="n"/>
      <c r="J34" s="5" t="n"/>
    </row>
    <row r="35" ht="15" customHeight="1" s="184">
      <c r="A35" s="15" t="n"/>
      <c r="B35" s="16" t="n"/>
      <c r="C35" s="18" t="n"/>
      <c r="D35" s="16" t="n"/>
      <c r="E35" s="16" t="n"/>
      <c r="F35" s="11" t="n"/>
      <c r="G35" s="5" t="n"/>
      <c r="H35" s="5" t="n"/>
      <c r="I35" s="5" t="n"/>
      <c r="J35" s="5" t="n"/>
    </row>
    <row r="36" ht="15" customHeight="1" s="184">
      <c r="A36" s="15" t="n"/>
      <c r="B36" s="16" t="n"/>
      <c r="C36" s="18" t="n"/>
      <c r="D36" s="16" t="n"/>
      <c r="E36" s="16" t="n"/>
      <c r="F36" s="11" t="n"/>
      <c r="G36" s="5" t="n"/>
      <c r="H36" s="5" t="n"/>
      <c r="I36" s="5" t="n"/>
      <c r="J36" s="5" t="n"/>
    </row>
    <row r="37" ht="15" customHeight="1" s="184">
      <c r="A37" s="15" t="n"/>
      <c r="B37" s="16" t="n"/>
      <c r="C37" s="18" t="n"/>
      <c r="D37" s="16" t="n"/>
      <c r="E37" s="16" t="n"/>
      <c r="F37" s="11" t="n"/>
      <c r="G37" s="5" t="n"/>
      <c r="H37" s="5" t="n"/>
      <c r="I37" s="5" t="n"/>
      <c r="J37" s="5" t="n"/>
    </row>
    <row r="38" ht="15" customHeight="1" s="184">
      <c r="A38" s="15" t="n"/>
      <c r="B38" s="16" t="n"/>
      <c r="C38" s="18" t="n"/>
      <c r="D38" s="16" t="n"/>
      <c r="E38" s="16" t="n"/>
      <c r="F38" s="11" t="n"/>
      <c r="G38" s="5" t="n"/>
      <c r="H38" s="5" t="n"/>
      <c r="I38" s="5" t="n"/>
      <c r="J38" s="5" t="n"/>
    </row>
    <row r="39" ht="15" customHeight="1" s="184">
      <c r="A39" s="15" t="n"/>
      <c r="B39" s="16" t="n"/>
      <c r="C39" s="18" t="n"/>
      <c r="D39" s="16" t="n"/>
      <c r="E39" s="16" t="n"/>
      <c r="F39" s="11" t="n"/>
      <c r="G39" s="5" t="n"/>
      <c r="H39" s="5" t="n"/>
      <c r="I39" s="5" t="n"/>
      <c r="J39" s="5" t="n"/>
    </row>
    <row r="40" ht="15" customHeight="1" s="184">
      <c r="A40" s="15" t="n"/>
      <c r="B40" s="16" t="n"/>
      <c r="C40" s="18" t="n"/>
      <c r="D40" s="16" t="n"/>
      <c r="E40" s="16" t="n"/>
      <c r="F40" s="11" t="n"/>
      <c r="G40" s="5" t="n"/>
      <c r="H40" s="5" t="n"/>
      <c r="I40" s="5" t="n"/>
      <c r="J40" s="5" t="n"/>
    </row>
    <row r="41" ht="15" customHeight="1" s="184">
      <c r="A41" s="15" t="n"/>
      <c r="B41" s="16" t="n"/>
      <c r="C41" s="18" t="n"/>
      <c r="D41" s="16" t="n"/>
      <c r="E41" s="16" t="n"/>
      <c r="F41" s="11" t="n"/>
      <c r="G41" s="5" t="n"/>
      <c r="H41" s="5" t="n"/>
      <c r="I41" s="5" t="n"/>
      <c r="J41" s="5" t="n"/>
    </row>
    <row r="42" ht="15" customHeight="1" s="184">
      <c r="A42" s="15" t="n"/>
      <c r="B42" s="16" t="n"/>
      <c r="C42" s="18" t="n"/>
      <c r="D42" s="16" t="n"/>
      <c r="E42" s="16" t="n"/>
      <c r="F42" s="11" t="n"/>
      <c r="G42" s="5" t="n"/>
      <c r="H42" s="5" t="n"/>
      <c r="I42" s="5" t="n"/>
      <c r="J42" s="5" t="n"/>
    </row>
    <row r="43" ht="15" customHeight="1" s="184">
      <c r="A43" s="15" t="n"/>
      <c r="B43" s="16" t="n"/>
      <c r="C43" s="18" t="n"/>
      <c r="D43" s="16" t="n"/>
      <c r="E43" s="16" t="n"/>
      <c r="F43" s="11" t="n"/>
      <c r="G43" s="5" t="n"/>
      <c r="H43" s="5" t="n"/>
      <c r="I43" s="5" t="n"/>
      <c r="J43" s="5" t="n"/>
    </row>
    <row r="44" ht="15" customHeight="1" s="184">
      <c r="A44" s="15" t="n"/>
      <c r="B44" s="16" t="n"/>
      <c r="C44" s="18" t="n"/>
      <c r="D44" s="16" t="n"/>
      <c r="E44" s="16" t="n"/>
      <c r="F44" s="11" t="n"/>
      <c r="G44" s="5" t="n"/>
      <c r="H44" s="5" t="n"/>
      <c r="I44" s="5" t="n"/>
      <c r="J44" s="5" t="n"/>
    </row>
    <row r="45" ht="15" customHeight="1" s="184">
      <c r="A45" s="15" t="n"/>
      <c r="B45" s="16" t="n"/>
      <c r="C45" s="18" t="n"/>
      <c r="D45" s="16" t="n"/>
      <c r="E45" s="16" t="n"/>
      <c r="F45" s="11" t="n"/>
      <c r="G45" s="5" t="n"/>
      <c r="H45" s="5" t="n"/>
      <c r="I45" s="5" t="n"/>
      <c r="J45" s="5" t="n"/>
    </row>
    <row r="46" ht="15" customHeight="1" s="184">
      <c r="A46" s="15" t="n"/>
      <c r="B46" s="16" t="n"/>
      <c r="C46" s="18" t="n"/>
      <c r="D46" s="16" t="n"/>
      <c r="E46" s="16" t="n"/>
      <c r="F46" s="11" t="n"/>
      <c r="G46" s="5" t="n"/>
      <c r="H46" s="5" t="n"/>
      <c r="I46" s="5" t="n"/>
      <c r="J46" s="5" t="n"/>
    </row>
    <row r="47" ht="15" customHeight="1" s="184">
      <c r="A47" s="15" t="n"/>
      <c r="B47" s="16" t="n"/>
      <c r="C47" s="18" t="n"/>
      <c r="D47" s="16" t="n"/>
      <c r="E47" s="16" t="n"/>
      <c r="F47" s="11" t="n"/>
      <c r="G47" s="5" t="n"/>
      <c r="H47" s="5" t="n"/>
      <c r="I47" s="5" t="n"/>
      <c r="J47" s="5" t="n"/>
    </row>
    <row r="48" ht="15" customHeight="1" s="184">
      <c r="A48" s="15" t="n"/>
      <c r="B48" s="16" t="n"/>
      <c r="C48" s="18" t="n"/>
      <c r="D48" s="16" t="n"/>
      <c r="E48" s="16" t="n"/>
      <c r="F48" s="11" t="n"/>
      <c r="G48" s="5" t="n"/>
      <c r="H48" s="5" t="n"/>
      <c r="I48" s="5" t="n"/>
      <c r="J48" s="5" t="n"/>
    </row>
    <row r="49" ht="15" customHeight="1" s="184">
      <c r="A49" s="15" t="n"/>
      <c r="B49" s="16" t="n"/>
      <c r="C49" s="18" t="n"/>
      <c r="D49" s="16" t="n"/>
      <c r="E49" s="16" t="n"/>
      <c r="F49" s="11" t="n"/>
      <c r="G49" s="5" t="n"/>
      <c r="H49" s="5" t="n"/>
      <c r="I49" s="5" t="n"/>
      <c r="J49" s="5" t="n"/>
    </row>
    <row r="50" ht="15" customHeight="1" s="184">
      <c r="A50" s="15" t="n"/>
      <c r="B50" s="16" t="n"/>
      <c r="C50" s="18" t="n"/>
      <c r="D50" s="16" t="n"/>
      <c r="E50" s="16" t="n"/>
      <c r="F50" s="11" t="n"/>
      <c r="G50" s="5" t="n"/>
      <c r="H50" s="5" t="n"/>
      <c r="I50" s="5" t="n"/>
      <c r="J50" s="5" t="n"/>
    </row>
    <row r="51" ht="15" customHeight="1" s="184">
      <c r="A51" s="15" t="n"/>
      <c r="B51" s="16" t="n"/>
      <c r="C51" s="18" t="n"/>
      <c r="D51" s="16" t="n"/>
      <c r="E51" s="16" t="n"/>
      <c r="F51" s="11" t="n"/>
      <c r="G51" s="5" t="n"/>
      <c r="H51" s="5" t="n"/>
      <c r="I51" s="5" t="n"/>
      <c r="J51" s="5" t="n"/>
    </row>
    <row r="52" ht="15" customHeight="1" s="184">
      <c r="A52" s="15" t="n"/>
      <c r="B52" s="16" t="n"/>
      <c r="C52" s="18" t="n"/>
      <c r="D52" s="16" t="n"/>
      <c r="E52" s="16" t="n"/>
      <c r="F52" s="11" t="n"/>
      <c r="G52" s="5" t="n"/>
      <c r="H52" s="5" t="n"/>
      <c r="I52" s="5" t="n"/>
      <c r="J52" s="5" t="n"/>
    </row>
    <row r="53" ht="15" customHeight="1" s="184">
      <c r="A53" s="15" t="n"/>
      <c r="B53" s="16" t="n"/>
      <c r="C53" s="18" t="n"/>
      <c r="D53" s="16" t="n"/>
      <c r="E53" s="16" t="n"/>
      <c r="F53" s="11" t="n"/>
      <c r="G53" s="5" t="n"/>
      <c r="H53" s="5" t="n"/>
      <c r="I53" s="5" t="n"/>
      <c r="J53" s="5" t="n"/>
    </row>
    <row r="54" ht="15" customHeight="1" s="184">
      <c r="A54" s="15" t="n"/>
      <c r="B54" s="16" t="n"/>
      <c r="C54" s="18" t="n"/>
      <c r="D54" s="16" t="n"/>
      <c r="E54" s="16" t="n"/>
      <c r="F54" s="11" t="n"/>
      <c r="G54" s="5" t="n"/>
      <c r="H54" s="5" t="n"/>
      <c r="I54" s="5" t="n"/>
      <c r="J54" s="5" t="n"/>
    </row>
    <row r="55" ht="15" customHeight="1" s="184">
      <c r="A55" s="15" t="n"/>
      <c r="B55" s="16" t="n"/>
      <c r="C55" s="18" t="n"/>
      <c r="D55" s="16" t="n"/>
      <c r="E55" s="16" t="n"/>
      <c r="F55" s="11" t="n"/>
      <c r="G55" s="5" t="n"/>
      <c r="H55" s="5" t="n"/>
      <c r="I55" s="5" t="n"/>
      <c r="J55" s="5" t="n"/>
    </row>
    <row r="56" ht="15" customHeight="1" s="184">
      <c r="A56" s="15" t="n"/>
      <c r="B56" s="16" t="n"/>
      <c r="C56" s="18" t="n"/>
      <c r="D56" s="16" t="n"/>
      <c r="E56" s="16" t="n"/>
      <c r="F56" s="11" t="n"/>
      <c r="G56" s="5" t="n"/>
      <c r="H56" s="5" t="n"/>
      <c r="I56" s="5" t="n"/>
      <c r="J56" s="5" t="n"/>
    </row>
    <row r="57" ht="15" customHeight="1" s="184">
      <c r="A57" s="15" t="n"/>
      <c r="B57" s="16" t="n"/>
      <c r="C57" s="18" t="n"/>
      <c r="D57" s="16" t="n"/>
      <c r="E57" s="16" t="n"/>
      <c r="F57" s="11" t="n"/>
      <c r="G57" s="5" t="n"/>
      <c r="H57" s="5" t="n"/>
      <c r="I57" s="5" t="n"/>
      <c r="J57" s="5" t="n"/>
    </row>
    <row r="58" ht="15" customHeight="1" s="184">
      <c r="A58" s="15" t="n"/>
      <c r="B58" s="16" t="n"/>
      <c r="C58" s="18" t="n"/>
      <c r="D58" s="16" t="n"/>
      <c r="E58" s="16" t="n"/>
      <c r="F58" s="11" t="n"/>
      <c r="G58" s="5" t="n"/>
      <c r="H58" s="5" t="n"/>
      <c r="I58" s="5" t="n"/>
      <c r="J58" s="5" t="n"/>
    </row>
    <row r="59" ht="15" customHeight="1" s="184">
      <c r="A59" s="15" t="n"/>
      <c r="B59" s="16" t="n"/>
      <c r="C59" s="18" t="n"/>
      <c r="D59" s="16" t="n"/>
      <c r="E59" s="16" t="n"/>
      <c r="F59" s="11" t="n"/>
      <c r="G59" s="5" t="n"/>
      <c r="H59" s="5" t="n"/>
      <c r="I59" s="5" t="n"/>
      <c r="J59" s="5" t="n"/>
    </row>
    <row r="60" ht="15" customHeight="1" s="184">
      <c r="A60" s="15" t="n"/>
      <c r="B60" s="16" t="n"/>
      <c r="C60" s="18" t="n"/>
      <c r="D60" s="16" t="n"/>
      <c r="E60" s="16" t="n"/>
      <c r="F60" s="11" t="n"/>
      <c r="G60" s="5" t="n"/>
      <c r="H60" s="5" t="n"/>
      <c r="I60" s="5" t="n"/>
      <c r="J60" s="5" t="n"/>
    </row>
    <row r="61" ht="15" customHeight="1" s="184">
      <c r="A61" s="15" t="n"/>
      <c r="B61" s="16" t="n"/>
      <c r="C61" s="18" t="n"/>
      <c r="D61" s="16" t="n"/>
      <c r="E61" s="16" t="n"/>
      <c r="F61" s="11" t="n"/>
      <c r="G61" s="5" t="n"/>
      <c r="H61" s="5" t="n"/>
      <c r="I61" s="5" t="n"/>
      <c r="J61" s="5" t="n"/>
    </row>
    <row r="62" ht="15" customHeight="1" s="184">
      <c r="A62" s="15" t="n"/>
      <c r="B62" s="16" t="n"/>
      <c r="C62" s="18" t="n"/>
      <c r="D62" s="16" t="n"/>
      <c r="E62" s="16" t="n"/>
      <c r="F62" s="11" t="n"/>
      <c r="G62" s="5" t="n"/>
      <c r="H62" s="5" t="n"/>
      <c r="I62" s="5" t="n"/>
      <c r="J62" s="5" t="n"/>
    </row>
    <row r="63" ht="15" customHeight="1" s="184">
      <c r="A63" s="15" t="n"/>
      <c r="B63" s="16" t="n"/>
      <c r="C63" s="18" t="n"/>
      <c r="D63" s="16" t="n"/>
      <c r="E63" s="16" t="n"/>
      <c r="F63" s="11" t="n"/>
      <c r="G63" s="5" t="n"/>
      <c r="H63" s="5" t="n"/>
      <c r="I63" s="5" t="n"/>
      <c r="J63" s="5" t="n"/>
    </row>
    <row r="64" ht="15" customHeight="1" s="184">
      <c r="A64" s="15" t="n"/>
      <c r="B64" s="16" t="n"/>
      <c r="C64" s="18" t="n"/>
      <c r="D64" s="16" t="n"/>
      <c r="E64" s="16" t="n"/>
      <c r="F64" s="11" t="n"/>
      <c r="G64" s="5" t="n"/>
      <c r="H64" s="5" t="n"/>
      <c r="I64" s="5" t="n"/>
      <c r="J64" s="5" t="n"/>
    </row>
    <row r="65" ht="15" customHeight="1" s="184">
      <c r="A65" s="15" t="n"/>
      <c r="B65" s="16" t="n"/>
      <c r="C65" s="18" t="n"/>
      <c r="D65" s="16" t="n"/>
      <c r="E65" s="16" t="n"/>
      <c r="F65" s="11" t="n"/>
      <c r="G65" s="5" t="n"/>
      <c r="H65" s="5" t="n"/>
      <c r="I65" s="5" t="n"/>
      <c r="J65" s="5" t="n"/>
    </row>
    <row r="66" ht="15" customHeight="1" s="184">
      <c r="A66" s="15" t="n"/>
      <c r="B66" s="16" t="n"/>
      <c r="C66" s="18" t="n"/>
      <c r="D66" s="16" t="n"/>
      <c r="E66" s="16" t="n"/>
      <c r="F66" s="11" t="n"/>
      <c r="G66" s="5" t="n"/>
      <c r="H66" s="5" t="n"/>
      <c r="I66" s="5" t="n"/>
      <c r="J66" s="5" t="n"/>
    </row>
    <row r="67" ht="15" customHeight="1" s="184">
      <c r="A67" s="15" t="n"/>
      <c r="B67" s="16" t="n"/>
      <c r="C67" s="18" t="n"/>
      <c r="D67" s="16" t="n"/>
      <c r="E67" s="16" t="n"/>
      <c r="F67" s="11" t="n"/>
      <c r="G67" s="5" t="n"/>
      <c r="H67" s="5" t="n"/>
      <c r="I67" s="5" t="n"/>
      <c r="J67" s="5" t="n"/>
    </row>
    <row r="68" ht="15" customHeight="1" s="184">
      <c r="A68" s="15" t="n"/>
      <c r="B68" s="16" t="n"/>
      <c r="C68" s="18" t="n"/>
      <c r="D68" s="16" t="n"/>
      <c r="E68" s="16" t="n"/>
      <c r="F68" s="11" t="n"/>
      <c r="G68" s="5" t="n"/>
      <c r="H68" s="5" t="n"/>
      <c r="I68" s="5" t="n"/>
      <c r="J68" s="5" t="n"/>
    </row>
    <row r="69" ht="15" customHeight="1" s="184">
      <c r="A69" s="15" t="n"/>
      <c r="B69" s="16" t="n"/>
      <c r="C69" s="18" t="n"/>
      <c r="D69" s="16" t="n"/>
      <c r="E69" s="16" t="n"/>
      <c r="F69" s="11" t="n"/>
      <c r="G69" s="5" t="n"/>
      <c r="H69" s="5" t="n"/>
      <c r="I69" s="5" t="n"/>
      <c r="J69" s="5" t="n"/>
    </row>
    <row r="70" ht="15" customHeight="1" s="184">
      <c r="A70" s="15" t="n"/>
      <c r="B70" s="16" t="n"/>
      <c r="C70" s="18" t="n"/>
      <c r="D70" s="16" t="n"/>
      <c r="E70" s="16" t="n"/>
      <c r="F70" s="11" t="n"/>
      <c r="G70" s="5" t="n"/>
      <c r="H70" s="5" t="n"/>
      <c r="I70" s="5" t="n"/>
      <c r="J70" s="5" t="n"/>
    </row>
    <row r="71" ht="15" customHeight="1" s="184">
      <c r="A71" s="15" t="n"/>
      <c r="B71" s="16" t="n"/>
      <c r="C71" s="18" t="n"/>
      <c r="D71" s="16" t="n"/>
      <c r="E71" s="16" t="n"/>
      <c r="F71" s="11" t="n"/>
      <c r="G71" s="5" t="n"/>
      <c r="H71" s="5" t="n"/>
      <c r="I71" s="5" t="n"/>
      <c r="J71" s="5" t="n"/>
    </row>
    <row r="72" ht="15" customHeight="1" s="184">
      <c r="A72" s="15" t="n"/>
      <c r="B72" s="16" t="n"/>
      <c r="C72" s="18" t="n"/>
      <c r="D72" s="16" t="n"/>
      <c r="E72" s="16" t="n"/>
      <c r="F72" s="11" t="n"/>
      <c r="G72" s="5" t="n"/>
      <c r="H72" s="5" t="n"/>
      <c r="I72" s="5" t="n"/>
      <c r="J72" s="5" t="n"/>
    </row>
    <row r="73" ht="15" customHeight="1" s="184">
      <c r="A73" s="15" t="n"/>
      <c r="B73" s="16" t="n"/>
      <c r="C73" s="18" t="n"/>
      <c r="D73" s="16" t="n"/>
      <c r="E73" s="16" t="n"/>
      <c r="F73" s="11" t="n"/>
      <c r="G73" s="5" t="n"/>
      <c r="H73" s="5" t="n"/>
      <c r="I73" s="5" t="n"/>
      <c r="J73" s="5" t="n"/>
    </row>
    <row r="74" ht="15" customHeight="1" s="184">
      <c r="A74" s="15" t="n"/>
      <c r="B74" s="16" t="n"/>
      <c r="C74" s="18" t="n"/>
      <c r="D74" s="16" t="n"/>
      <c r="E74" s="16" t="n"/>
      <c r="F74" s="11" t="n"/>
      <c r="G74" s="5" t="n"/>
      <c r="H74" s="5" t="n"/>
      <c r="I74" s="5" t="n"/>
      <c r="J74" s="5" t="n"/>
    </row>
    <row r="75" ht="15" customHeight="1" s="184">
      <c r="A75" s="15" t="n"/>
      <c r="B75" s="16" t="n"/>
      <c r="C75" s="18" t="n"/>
      <c r="D75" s="16" t="n"/>
      <c r="E75" s="16" t="n"/>
      <c r="F75" s="11" t="n"/>
      <c r="G75" s="5" t="n"/>
      <c r="H75" s="5" t="n"/>
      <c r="I75" s="5" t="n"/>
      <c r="J75" s="5" t="n"/>
    </row>
    <row r="76" ht="15" customHeight="1" s="184">
      <c r="A76" s="15" t="n"/>
      <c r="B76" s="16" t="n"/>
      <c r="C76" s="18" t="n"/>
      <c r="D76" s="16" t="n"/>
      <c r="E76" s="16" t="n"/>
      <c r="F76" s="11" t="n"/>
      <c r="G76" s="5" t="n"/>
      <c r="H76" s="5" t="n"/>
      <c r="I76" s="5" t="n"/>
      <c r="J76" s="5" t="n"/>
    </row>
    <row r="77" ht="15" customHeight="1" s="184">
      <c r="A77" s="15" t="n"/>
      <c r="B77" s="16" t="n"/>
      <c r="C77" s="18" t="n"/>
      <c r="D77" s="16" t="n"/>
      <c r="E77" s="16" t="n"/>
      <c r="F77" s="5" t="n"/>
      <c r="G77" s="5" t="n"/>
      <c r="H77" s="5" t="n"/>
      <c r="I77" s="5" t="n"/>
      <c r="J77" s="5" t="n"/>
    </row>
    <row r="78" ht="15" customHeight="1" s="184">
      <c r="A78" s="15" t="n"/>
      <c r="B78" s="16" t="n"/>
      <c r="C78" s="18" t="n"/>
      <c r="D78" s="16" t="n"/>
      <c r="E78" s="16" t="n"/>
      <c r="F78" s="5" t="n"/>
      <c r="G78" s="5" t="n"/>
      <c r="H78" s="5" t="n"/>
      <c r="I78" s="5" t="n"/>
      <c r="J78" s="5" t="n"/>
    </row>
    <row r="79" ht="15" customHeight="1" s="184">
      <c r="A79" s="15" t="n"/>
      <c r="B79" s="16" t="n"/>
      <c r="C79" s="18" t="n"/>
      <c r="D79" s="16" t="n"/>
      <c r="E79" s="16" t="n"/>
      <c r="F79" s="5" t="n"/>
      <c r="G79" s="5" t="n"/>
      <c r="H79" s="5" t="n"/>
      <c r="I79" s="5" t="n"/>
      <c r="J79" s="5" t="n"/>
    </row>
    <row r="80" ht="15" customHeight="1" s="184">
      <c r="A80" s="15" t="n"/>
      <c r="B80" s="16" t="n"/>
      <c r="C80" s="18" t="n"/>
      <c r="D80" s="16" t="n"/>
      <c r="E80" s="16" t="n"/>
      <c r="F80" s="5" t="n"/>
      <c r="G80" s="5" t="n"/>
      <c r="H80" s="5" t="n"/>
      <c r="I80" s="5" t="n"/>
      <c r="J80" s="5" t="n"/>
    </row>
    <row r="81" ht="15" customHeight="1" s="184">
      <c r="A81" s="15" t="n"/>
      <c r="B81" s="16" t="n"/>
      <c r="C81" s="18" t="n"/>
      <c r="D81" s="16" t="n"/>
      <c r="E81" s="16" t="n"/>
      <c r="F81" s="5" t="n"/>
      <c r="G81" s="5" t="n"/>
      <c r="H81" s="5" t="n"/>
      <c r="I81" s="5" t="n"/>
      <c r="J81" s="5" t="n"/>
    </row>
    <row r="82" ht="15" customHeight="1" s="184">
      <c r="A82" s="15" t="n"/>
      <c r="B82" s="16" t="n"/>
      <c r="C82" s="18" t="n"/>
      <c r="D82" s="16" t="n"/>
      <c r="E82" s="16" t="n"/>
      <c r="F82" s="5" t="n"/>
      <c r="G82" s="5" t="n"/>
      <c r="H82" s="5" t="n"/>
      <c r="I82" s="5" t="n"/>
      <c r="J82" s="5" t="n"/>
    </row>
    <row r="83" ht="15" customHeight="1" s="184">
      <c r="A83" s="15" t="n"/>
      <c r="B83" s="16" t="n"/>
      <c r="C83" s="18" t="n"/>
      <c r="D83" s="16" t="n"/>
      <c r="E83" s="16" t="n"/>
      <c r="F83" s="5" t="n"/>
      <c r="G83" s="5" t="n"/>
      <c r="H83" s="5" t="n"/>
      <c r="I83" s="5" t="n"/>
      <c r="J83" s="5" t="n"/>
    </row>
    <row r="84" ht="15" customHeight="1" s="184">
      <c r="A84" s="15" t="n"/>
      <c r="B84" s="16" t="n"/>
      <c r="C84" s="18" t="n"/>
      <c r="D84" s="16" t="n"/>
      <c r="E84" s="16" t="n"/>
      <c r="F84" s="5" t="n"/>
      <c r="G84" s="5" t="n"/>
      <c r="H84" s="5" t="n"/>
      <c r="I84" s="5" t="n"/>
      <c r="J84" s="5" t="n"/>
    </row>
    <row r="85" ht="15" customHeight="1" s="184">
      <c r="A85" s="15" t="n"/>
      <c r="B85" s="16" t="n"/>
      <c r="C85" s="18" t="n"/>
      <c r="D85" s="16" t="n"/>
      <c r="E85" s="16" t="n"/>
      <c r="F85" s="5" t="n"/>
      <c r="G85" s="5" t="n"/>
      <c r="H85" s="5" t="n"/>
      <c r="I85" s="5" t="n"/>
      <c r="J85" s="5" t="n"/>
    </row>
    <row r="86" ht="15" customHeight="1" s="184">
      <c r="A86" s="15" t="n"/>
      <c r="B86" s="16" t="n"/>
      <c r="C86" s="18" t="n"/>
      <c r="D86" s="16" t="n"/>
      <c r="E86" s="16" t="n"/>
      <c r="F86" s="5" t="n"/>
      <c r="G86" s="5" t="n"/>
      <c r="H86" s="5" t="n"/>
      <c r="I86" s="5" t="n"/>
      <c r="J86" s="5" t="n"/>
    </row>
    <row r="87" ht="15" customHeight="1" s="184">
      <c r="A87" s="15" t="n"/>
      <c r="B87" s="16" t="n"/>
      <c r="C87" s="18" t="n"/>
      <c r="D87" s="16" t="n"/>
      <c r="E87" s="16" t="n"/>
      <c r="F87" s="5" t="n"/>
      <c r="G87" s="5" t="n"/>
      <c r="H87" s="5" t="n"/>
      <c r="I87" s="5" t="n"/>
      <c r="J87" s="5" t="n"/>
    </row>
    <row r="88" ht="15" customHeight="1" s="184">
      <c r="A88" s="15" t="n"/>
      <c r="B88" s="16" t="n"/>
      <c r="C88" s="18" t="n"/>
      <c r="D88" s="16" t="n"/>
      <c r="E88" s="16" t="n"/>
      <c r="F88" s="5" t="n"/>
      <c r="G88" s="5" t="n"/>
      <c r="H88" s="5" t="n"/>
      <c r="I88" s="5" t="n"/>
      <c r="J88" s="5" t="n"/>
    </row>
    <row r="89" ht="15" customHeight="1" s="184">
      <c r="A89" s="15" t="n"/>
      <c r="B89" s="16" t="n"/>
      <c r="C89" s="18" t="n"/>
      <c r="D89" s="16" t="n"/>
      <c r="E89" s="16" t="n"/>
      <c r="F89" s="5" t="n"/>
      <c r="G89" s="5" t="n"/>
      <c r="H89" s="5" t="n"/>
      <c r="I89" s="5" t="n"/>
      <c r="J89" s="5" t="n"/>
    </row>
    <row r="90" ht="15" customHeight="1" s="184">
      <c r="A90" s="15" t="n"/>
      <c r="B90" s="16" t="n"/>
      <c r="C90" s="18" t="n"/>
      <c r="D90" s="16" t="n"/>
      <c r="E90" s="16" t="n"/>
      <c r="F90" s="5" t="n"/>
      <c r="G90" s="5" t="n"/>
      <c r="H90" s="5" t="n"/>
      <c r="I90" s="5" t="n"/>
      <c r="J90" s="5" t="n"/>
    </row>
    <row r="91" ht="15" customHeight="1" s="184">
      <c r="A91" s="15" t="n"/>
      <c r="B91" s="16" t="n"/>
      <c r="C91" s="18" t="n"/>
      <c r="D91" s="16" t="n"/>
      <c r="E91" s="16" t="n"/>
      <c r="F91" s="5" t="n"/>
      <c r="G91" s="5" t="n"/>
      <c r="H91" s="5" t="n"/>
      <c r="I91" s="5" t="n"/>
      <c r="J91" s="5" t="n"/>
    </row>
    <row r="92" ht="15" customHeight="1" s="184">
      <c r="A92" s="15" t="n"/>
      <c r="B92" s="16" t="n"/>
      <c r="C92" s="18" t="n"/>
      <c r="D92" s="16" t="n"/>
      <c r="E92" s="16" t="n"/>
      <c r="F92" s="5" t="n"/>
      <c r="G92" s="5" t="n"/>
      <c r="H92" s="5" t="n"/>
      <c r="I92" s="5" t="n"/>
      <c r="J92" s="5" t="n"/>
    </row>
    <row r="93" ht="15" customHeight="1" s="184">
      <c r="A93" s="15" t="n"/>
      <c r="B93" s="16" t="n"/>
      <c r="C93" s="18" t="n"/>
      <c r="D93" s="16" t="n"/>
      <c r="E93" s="16" t="n"/>
      <c r="F93" s="5" t="n"/>
      <c r="G93" s="5" t="n"/>
      <c r="H93" s="5" t="n"/>
      <c r="I93" s="5" t="n"/>
      <c r="J93" s="5" t="n"/>
    </row>
    <row r="94" ht="15" customHeight="1" s="184">
      <c r="A94" s="15" t="n"/>
      <c r="B94" s="16" t="n"/>
      <c r="C94" s="18" t="n"/>
      <c r="D94" s="16" t="n"/>
      <c r="E94" s="16" t="n"/>
      <c r="F94" s="5" t="n"/>
      <c r="G94" s="5" t="n"/>
      <c r="H94" s="5" t="n"/>
      <c r="I94" s="5" t="n"/>
      <c r="J94" s="5" t="n"/>
    </row>
    <row r="95" ht="15" customHeight="1" s="184">
      <c r="A95" s="15" t="n"/>
      <c r="B95" s="16" t="n"/>
      <c r="C95" s="18" t="n"/>
      <c r="D95" s="16" t="n"/>
      <c r="E95" s="16" t="n"/>
      <c r="F95" s="5" t="n"/>
      <c r="G95" s="5" t="n"/>
      <c r="H95" s="5" t="n"/>
      <c r="I95" s="5" t="n"/>
      <c r="J95" s="5" t="n"/>
    </row>
    <row r="96" ht="15" customHeight="1" s="184">
      <c r="A96" s="15" t="n"/>
      <c r="B96" s="16" t="n"/>
      <c r="C96" s="18" t="n"/>
      <c r="D96" s="16" t="n"/>
      <c r="E96" s="16" t="n"/>
      <c r="F96" s="5" t="n"/>
      <c r="G96" s="5" t="n"/>
      <c r="H96" s="5" t="n"/>
      <c r="I96" s="5" t="n"/>
      <c r="J96" s="5" t="n"/>
    </row>
    <row r="97" ht="15" customHeight="1" s="184">
      <c r="A97" s="15" t="n"/>
      <c r="B97" s="16" t="n"/>
      <c r="C97" s="18" t="n"/>
      <c r="D97" s="16" t="n"/>
      <c r="E97" s="16" t="n"/>
      <c r="F97" s="5" t="n"/>
      <c r="G97" s="5" t="n"/>
      <c r="H97" s="5" t="n"/>
      <c r="I97" s="5" t="n"/>
      <c r="J97" s="5" t="n"/>
    </row>
    <row r="98" ht="15" customHeight="1" s="184">
      <c r="A98" s="15" t="n"/>
      <c r="B98" s="16" t="n"/>
      <c r="C98" s="18" t="n"/>
      <c r="D98" s="16" t="n"/>
      <c r="E98" s="16" t="n"/>
      <c r="F98" s="5" t="n"/>
      <c r="G98" s="5" t="n"/>
      <c r="H98" s="5" t="n"/>
      <c r="I98" s="5" t="n"/>
      <c r="J98" s="5" t="n"/>
    </row>
    <row r="99" ht="15.75" customHeight="1" s="184">
      <c r="A99" s="15" t="n"/>
      <c r="B99" s="16" t="n"/>
      <c r="C99" s="18" t="n"/>
      <c r="D99" s="16" t="n"/>
      <c r="E99" s="16" t="n"/>
      <c r="F99" s="5" t="n"/>
      <c r="G99" s="5" t="n"/>
      <c r="H99" s="5" t="n"/>
      <c r="I99" s="5" t="n"/>
      <c r="J99" s="5" t="n"/>
    </row>
    <row r="100" ht="15.75" customHeight="1" s="184">
      <c r="A100" s="15" t="n"/>
      <c r="B100" s="16" t="n"/>
      <c r="C100" s="18" t="n"/>
      <c r="D100" s="16" t="n"/>
      <c r="E100" s="16" t="n"/>
      <c r="F100" s="5" t="n"/>
      <c r="G100" s="5" t="n"/>
      <c r="H100" s="5" t="n"/>
      <c r="I100" s="5" t="n"/>
      <c r="J100" s="5" t="n"/>
    </row>
    <row r="101" ht="15.75" customHeight="1" s="184">
      <c r="A101" s="15" t="n"/>
      <c r="B101" s="16" t="n"/>
      <c r="C101" s="18" t="n"/>
      <c r="D101" s="16" t="n"/>
      <c r="E101" s="16" t="n"/>
      <c r="F101" s="5" t="n"/>
      <c r="G101" s="5" t="n"/>
      <c r="H101" s="5" t="n"/>
      <c r="I101" s="5" t="n"/>
      <c r="J101" s="5" t="n"/>
    </row>
    <row r="102" ht="15.75" customHeight="1" s="184">
      <c r="A102" s="15" t="n"/>
      <c r="B102" s="16" t="n"/>
      <c r="C102" s="18" t="n"/>
      <c r="D102" s="16" t="n"/>
      <c r="E102" s="16" t="n"/>
      <c r="F102" s="5" t="n"/>
      <c r="G102" s="5" t="n"/>
      <c r="H102" s="5" t="n"/>
      <c r="I102" s="5" t="n"/>
      <c r="J102" s="5" t="n"/>
    </row>
    <row r="103" ht="15.75" customHeight="1" s="184">
      <c r="A103" s="15" t="n"/>
      <c r="B103" s="16" t="n"/>
      <c r="C103" s="18" t="n"/>
      <c r="D103" s="16" t="n"/>
      <c r="E103" s="16" t="n"/>
      <c r="F103" s="5" t="n"/>
      <c r="G103" s="5" t="n"/>
      <c r="H103" s="5" t="n"/>
      <c r="I103" s="5" t="n"/>
      <c r="J103" s="5" t="n"/>
    </row>
    <row r="104" ht="15.75" customHeight="1" s="184">
      <c r="A104" s="15" t="n"/>
      <c r="B104" s="16" t="n"/>
      <c r="C104" s="18" t="n"/>
      <c r="D104" s="16" t="n"/>
      <c r="E104" s="16" t="n"/>
      <c r="F104" s="5" t="n"/>
      <c r="G104" s="5" t="n"/>
      <c r="H104" s="5" t="n"/>
      <c r="I104" s="5" t="n"/>
      <c r="J104" s="5" t="n"/>
    </row>
    <row r="105" ht="15.75" customHeight="1" s="184">
      <c r="A105" s="15" t="n"/>
      <c r="B105" s="16" t="n"/>
      <c r="C105" s="18" t="n"/>
      <c r="D105" s="16" t="n"/>
      <c r="E105" s="16" t="n"/>
      <c r="F105" s="5" t="n"/>
      <c r="G105" s="5" t="n"/>
      <c r="H105" s="5" t="n"/>
      <c r="I105" s="5" t="n"/>
      <c r="J105" s="5" t="n"/>
    </row>
    <row r="106" ht="15.75" customHeight="1" s="184">
      <c r="A106" s="15" t="n"/>
      <c r="B106" s="16" t="n"/>
      <c r="C106" s="18" t="n"/>
      <c r="D106" s="16" t="n"/>
      <c r="E106" s="16" t="n"/>
      <c r="F106" s="5" t="n"/>
      <c r="G106" s="5" t="n"/>
      <c r="H106" s="5" t="n"/>
      <c r="I106" s="5" t="n"/>
      <c r="J106" s="5" t="n"/>
    </row>
    <row r="107" ht="15.75" customHeight="1" s="184">
      <c r="A107" s="15" t="n"/>
      <c r="B107" s="16" t="n"/>
      <c r="C107" s="18" t="n"/>
      <c r="D107" s="16" t="n"/>
      <c r="E107" s="16" t="n"/>
      <c r="F107" s="5" t="n"/>
      <c r="G107" s="5" t="n"/>
      <c r="H107" s="5" t="n"/>
      <c r="I107" s="5" t="n"/>
      <c r="J107" s="5" t="n"/>
    </row>
    <row r="108" ht="15.75" customHeight="1" s="184">
      <c r="A108" s="15" t="n"/>
      <c r="B108" s="16" t="n"/>
      <c r="C108" s="18" t="n"/>
      <c r="D108" s="16" t="n"/>
      <c r="E108" s="16" t="n"/>
      <c r="F108" s="5" t="n"/>
      <c r="G108" s="5" t="n"/>
      <c r="H108" s="5" t="n"/>
      <c r="I108" s="5" t="n"/>
      <c r="J108" s="5" t="n"/>
    </row>
    <row r="109" ht="15.75" customHeight="1" s="184">
      <c r="A109" s="15" t="n"/>
      <c r="B109" s="16" t="n"/>
      <c r="C109" s="18" t="n"/>
      <c r="D109" s="16" t="n"/>
      <c r="E109" s="16" t="n"/>
      <c r="F109" s="5" t="n"/>
      <c r="G109" s="5" t="n"/>
      <c r="H109" s="5" t="n"/>
      <c r="I109" s="5" t="n"/>
      <c r="J109" s="5" t="n"/>
    </row>
    <row r="110" ht="15.75" customHeight="1" s="184">
      <c r="A110" s="15" t="n"/>
      <c r="B110" s="16" t="n"/>
      <c r="C110" s="18" t="n"/>
      <c r="D110" s="16" t="n"/>
      <c r="E110" s="16" t="n"/>
      <c r="F110" s="5" t="n"/>
      <c r="G110" s="5" t="n"/>
      <c r="H110" s="5" t="n"/>
      <c r="I110" s="5" t="n"/>
      <c r="J110" s="5" t="n"/>
    </row>
    <row r="111" ht="15.75" customHeight="1" s="184">
      <c r="A111" s="15" t="n"/>
      <c r="B111" s="16" t="n"/>
      <c r="C111" s="18" t="n"/>
      <c r="D111" s="16" t="n"/>
      <c r="E111" s="16" t="n"/>
      <c r="F111" s="5" t="n"/>
      <c r="G111" s="5" t="n"/>
      <c r="H111" s="5" t="n"/>
      <c r="I111" s="5" t="n"/>
      <c r="J111" s="5" t="n"/>
    </row>
    <row r="112" ht="15.75" customHeight="1" s="184">
      <c r="A112" s="15" t="n"/>
      <c r="B112" s="16" t="n"/>
      <c r="C112" s="18" t="n"/>
      <c r="D112" s="16" t="n"/>
      <c r="E112" s="16" t="n"/>
      <c r="F112" s="5" t="n"/>
      <c r="G112" s="5" t="n"/>
      <c r="H112" s="5" t="n"/>
      <c r="I112" s="5" t="n"/>
      <c r="J112" s="5" t="n"/>
    </row>
    <row r="113" ht="15.75" customHeight="1" s="184">
      <c r="A113" s="15" t="n"/>
      <c r="B113" s="16" t="n"/>
      <c r="C113" s="18" t="n"/>
      <c r="D113" s="16" t="n"/>
      <c r="E113" s="16" t="n"/>
      <c r="F113" s="5" t="n"/>
      <c r="G113" s="5" t="n"/>
      <c r="H113" s="5" t="n"/>
      <c r="I113" s="5" t="n"/>
      <c r="J113" s="5" t="n"/>
    </row>
    <row r="114" ht="15.75" customHeight="1" s="184">
      <c r="A114" s="15" t="n"/>
      <c r="B114" s="16" t="n"/>
      <c r="C114" s="18" t="n"/>
      <c r="D114" s="16" t="n"/>
      <c r="E114" s="16" t="n"/>
      <c r="F114" s="5" t="n"/>
      <c r="G114" s="5" t="n"/>
      <c r="H114" s="5" t="n"/>
      <c r="I114" s="5" t="n"/>
      <c r="J114" s="5" t="n"/>
    </row>
    <row r="115" ht="15.75" customHeight="1" s="184">
      <c r="A115" s="15" t="n"/>
      <c r="B115" s="16" t="n"/>
      <c r="C115" s="18" t="n"/>
      <c r="D115" s="16" t="n"/>
      <c r="E115" s="16" t="n"/>
      <c r="F115" s="5" t="n"/>
      <c r="G115" s="5" t="n"/>
      <c r="H115" s="5" t="n"/>
      <c r="I115" s="5" t="n"/>
      <c r="J115" s="5" t="n"/>
    </row>
    <row r="116" ht="15.75" customHeight="1" s="184">
      <c r="A116" s="15" t="n"/>
      <c r="B116" s="16" t="n"/>
      <c r="C116" s="18" t="n"/>
      <c r="D116" s="16" t="n"/>
      <c r="E116" s="16" t="n"/>
      <c r="F116" s="5" t="n"/>
      <c r="G116" s="5" t="n"/>
      <c r="H116" s="5" t="n"/>
      <c r="I116" s="5" t="n"/>
      <c r="J116" s="5" t="n"/>
    </row>
    <row r="117" ht="15.75" customHeight="1" s="184">
      <c r="A117" s="15" t="n"/>
      <c r="B117" s="16" t="n"/>
      <c r="C117" s="18" t="n"/>
      <c r="D117" s="16" t="n"/>
      <c r="E117" s="16" t="n"/>
      <c r="F117" s="5" t="n"/>
      <c r="G117" s="5" t="n"/>
      <c r="H117" s="5" t="n"/>
      <c r="I117" s="5" t="n"/>
      <c r="J117" s="5" t="n"/>
    </row>
    <row r="118" ht="15.75" customHeight="1" s="184">
      <c r="A118" s="15" t="n"/>
      <c r="B118" s="16" t="n"/>
      <c r="C118" s="18" t="n"/>
      <c r="D118" s="16" t="n"/>
      <c r="E118" s="16" t="n"/>
      <c r="F118" s="5" t="n"/>
      <c r="G118" s="5" t="n"/>
      <c r="H118" s="5" t="n"/>
      <c r="I118" s="5" t="n"/>
      <c r="J118" s="5" t="n"/>
    </row>
    <row r="119" ht="15.75" customHeight="1" s="184">
      <c r="A119" s="15" t="n"/>
      <c r="B119" s="16" t="n"/>
      <c r="C119" s="18" t="n"/>
      <c r="D119" s="16" t="n"/>
      <c r="E119" s="16" t="n"/>
      <c r="F119" s="5" t="n"/>
      <c r="G119" s="5" t="n"/>
      <c r="H119" s="5" t="n"/>
      <c r="I119" s="5" t="n"/>
      <c r="J119" s="5" t="n"/>
    </row>
    <row r="120" ht="15.75" customHeight="1" s="184">
      <c r="A120" s="15" t="n"/>
      <c r="B120" s="16" t="n"/>
      <c r="C120" s="18" t="n"/>
      <c r="D120" s="16" t="n"/>
      <c r="E120" s="16" t="n"/>
      <c r="F120" s="5" t="n"/>
      <c r="G120" s="5" t="n"/>
      <c r="H120" s="5" t="n"/>
      <c r="I120" s="5" t="n"/>
      <c r="J120" s="5" t="n"/>
    </row>
    <row r="121" ht="15.75" customHeight="1" s="184">
      <c r="A121" s="15" t="n"/>
      <c r="B121" s="16" t="n"/>
      <c r="C121" s="18" t="n"/>
      <c r="D121" s="16" t="n"/>
      <c r="E121" s="16" t="n"/>
      <c r="F121" s="5" t="n"/>
      <c r="G121" s="5" t="n"/>
      <c r="H121" s="5" t="n"/>
      <c r="I121" s="5" t="n"/>
      <c r="J121" s="5" t="n"/>
    </row>
    <row r="122" ht="15.75" customHeight="1" s="184">
      <c r="A122" s="15" t="n"/>
      <c r="B122" s="16" t="n"/>
      <c r="C122" s="18" t="n"/>
      <c r="D122" s="16" t="n"/>
      <c r="E122" s="16" t="n"/>
      <c r="F122" s="5" t="n"/>
      <c r="G122" s="5" t="n"/>
      <c r="H122" s="5" t="n"/>
      <c r="I122" s="5" t="n"/>
      <c r="J122" s="5" t="n"/>
    </row>
    <row r="123" ht="15.75" customHeight="1" s="184">
      <c r="A123" s="15" t="n"/>
      <c r="B123" s="16" t="n"/>
      <c r="C123" s="18" t="n"/>
      <c r="D123" s="16" t="n"/>
      <c r="E123" s="16" t="n"/>
      <c r="F123" s="5" t="n"/>
      <c r="G123" s="5" t="n"/>
      <c r="H123" s="5" t="n"/>
      <c r="I123" s="5" t="n"/>
      <c r="J123" s="5" t="n"/>
    </row>
    <row r="124" ht="15.75" customHeight="1" s="184">
      <c r="A124" s="15" t="n"/>
      <c r="B124" s="16" t="n"/>
      <c r="C124" s="18" t="n"/>
      <c r="D124" s="16" t="n"/>
      <c r="E124" s="16" t="n"/>
      <c r="F124" s="5" t="n"/>
      <c r="G124" s="5" t="n"/>
      <c r="H124" s="5" t="n"/>
      <c r="I124" s="5" t="n"/>
      <c r="J124" s="5" t="n"/>
    </row>
    <row r="125" ht="15.75" customHeight="1" s="184">
      <c r="A125" s="15" t="n"/>
      <c r="B125" s="16" t="n"/>
      <c r="C125" s="18" t="n"/>
      <c r="D125" s="16" t="n"/>
      <c r="E125" s="16" t="n"/>
      <c r="F125" s="5" t="n"/>
      <c r="G125" s="5" t="n"/>
      <c r="H125" s="5" t="n"/>
      <c r="I125" s="5" t="n"/>
      <c r="J125" s="5" t="n"/>
    </row>
    <row r="126" ht="15.75" customHeight="1" s="184">
      <c r="A126" s="15" t="n"/>
      <c r="B126" s="16" t="n"/>
      <c r="C126" s="18" t="n"/>
      <c r="D126" s="16" t="n"/>
      <c r="E126" s="16" t="n"/>
      <c r="F126" s="5" t="n"/>
      <c r="G126" s="5" t="n"/>
      <c r="H126" s="5" t="n"/>
      <c r="I126" s="5" t="n"/>
      <c r="J126" s="5" t="n"/>
    </row>
    <row r="127" ht="15.75" customHeight="1" s="184">
      <c r="A127" s="15" t="n"/>
      <c r="B127" s="16" t="n"/>
      <c r="C127" s="18" t="n"/>
      <c r="D127" s="16" t="n"/>
      <c r="E127" s="16" t="n"/>
      <c r="F127" s="5" t="n"/>
      <c r="G127" s="5" t="n"/>
      <c r="H127" s="5" t="n"/>
      <c r="I127" s="5" t="n"/>
      <c r="J127" s="5" t="n"/>
    </row>
    <row r="128" ht="15.75" customHeight="1" s="184">
      <c r="A128" s="15" t="n"/>
      <c r="B128" s="16" t="n"/>
      <c r="C128" s="18" t="n"/>
      <c r="D128" s="16" t="n"/>
      <c r="E128" s="16" t="n"/>
      <c r="F128" s="5" t="n"/>
      <c r="G128" s="5" t="n"/>
      <c r="H128" s="5" t="n"/>
      <c r="I128" s="5" t="n"/>
      <c r="J128" s="5" t="n"/>
    </row>
    <row r="129" ht="15.75" customHeight="1" s="184">
      <c r="A129" s="15" t="n"/>
      <c r="B129" s="16" t="n"/>
      <c r="C129" s="18" t="n"/>
      <c r="D129" s="16" t="n"/>
      <c r="E129" s="16" t="n"/>
      <c r="F129" s="5" t="n"/>
      <c r="G129" s="5" t="n"/>
      <c r="H129" s="5" t="n"/>
      <c r="I129" s="5" t="n"/>
      <c r="J129" s="5" t="n"/>
    </row>
    <row r="130" ht="15.75" customHeight="1" s="184">
      <c r="A130" s="15" t="n"/>
      <c r="B130" s="16" t="n"/>
      <c r="C130" s="18" t="n"/>
      <c r="D130" s="16" t="n"/>
      <c r="E130" s="16" t="n"/>
      <c r="F130" s="5" t="n"/>
      <c r="G130" s="5" t="n"/>
      <c r="H130" s="5" t="n"/>
      <c r="I130" s="5" t="n"/>
      <c r="J130" s="5" t="n"/>
    </row>
    <row r="131" ht="15.75" customHeight="1" s="184">
      <c r="A131" s="15" t="n"/>
      <c r="B131" s="16" t="n"/>
      <c r="C131" s="18" t="n"/>
      <c r="D131" s="16" t="n"/>
      <c r="E131" s="16" t="n"/>
      <c r="F131" s="5" t="n"/>
      <c r="G131" s="5" t="n"/>
      <c r="H131" s="5" t="n"/>
      <c r="I131" s="5" t="n"/>
      <c r="J131" s="5" t="n"/>
    </row>
    <row r="132" ht="15.75" customHeight="1" s="184">
      <c r="A132" s="15" t="n"/>
      <c r="B132" s="16" t="n"/>
      <c r="C132" s="18" t="n"/>
      <c r="D132" s="16" t="n"/>
      <c r="E132" s="16" t="n"/>
      <c r="F132" s="5" t="n"/>
      <c r="G132" s="5" t="n"/>
      <c r="H132" s="5" t="n"/>
      <c r="I132" s="5" t="n"/>
      <c r="J132" s="5" t="n"/>
    </row>
    <row r="133" ht="15.75" customHeight="1" s="184">
      <c r="A133" s="15" t="n"/>
      <c r="B133" s="16" t="n"/>
      <c r="C133" s="18" t="n"/>
      <c r="D133" s="16" t="n"/>
      <c r="E133" s="16" t="n"/>
      <c r="F133" s="5" t="n"/>
      <c r="G133" s="5" t="n"/>
      <c r="H133" s="5" t="n"/>
      <c r="I133" s="5" t="n"/>
      <c r="J133" s="5" t="n"/>
    </row>
    <row r="134" ht="15.75" customHeight="1" s="184">
      <c r="A134" s="15" t="n"/>
      <c r="B134" s="16" t="n"/>
      <c r="C134" s="18" t="n"/>
      <c r="D134" s="16" t="n"/>
      <c r="E134" s="16" t="n"/>
      <c r="F134" s="5" t="n"/>
      <c r="G134" s="5" t="n"/>
      <c r="H134" s="5" t="n"/>
      <c r="I134" s="5" t="n"/>
      <c r="J134" s="5" t="n"/>
    </row>
    <row r="135" ht="15.75" customHeight="1" s="184">
      <c r="A135" s="15" t="n"/>
      <c r="B135" s="16" t="n"/>
      <c r="C135" s="18" t="n"/>
      <c r="D135" s="16" t="n"/>
      <c r="E135" s="16" t="n"/>
      <c r="F135" s="5" t="n"/>
      <c r="G135" s="5" t="n"/>
      <c r="H135" s="5" t="n"/>
      <c r="I135" s="5" t="n"/>
      <c r="J135" s="5" t="n"/>
    </row>
    <row r="136" ht="15.75" customHeight="1" s="184">
      <c r="A136" s="15" t="n"/>
      <c r="B136" s="16" t="n"/>
      <c r="C136" s="18" t="n"/>
      <c r="D136" s="16" t="n"/>
      <c r="E136" s="16" t="n"/>
      <c r="F136" s="5" t="n"/>
      <c r="G136" s="5" t="n"/>
      <c r="H136" s="5" t="n"/>
      <c r="I136" s="5" t="n"/>
      <c r="J136" s="5" t="n"/>
    </row>
    <row r="137" ht="15.75" customHeight="1" s="184">
      <c r="A137" s="15" t="n"/>
      <c r="B137" s="16" t="n"/>
      <c r="C137" s="18" t="n"/>
      <c r="D137" s="16" t="n"/>
      <c r="E137" s="16" t="n"/>
      <c r="F137" s="5" t="n"/>
      <c r="G137" s="5" t="n"/>
      <c r="H137" s="5" t="n"/>
      <c r="I137" s="5" t="n"/>
      <c r="J137" s="5" t="n"/>
    </row>
    <row r="138" ht="15.75" customHeight="1" s="184">
      <c r="A138" s="15" t="n"/>
      <c r="B138" s="16" t="n"/>
      <c r="C138" s="18" t="n"/>
      <c r="D138" s="16" t="n"/>
      <c r="E138" s="16" t="n"/>
      <c r="F138" s="5" t="n"/>
      <c r="G138" s="5" t="n"/>
      <c r="H138" s="5" t="n"/>
      <c r="I138" s="5" t="n"/>
      <c r="J138" s="5" t="n"/>
    </row>
    <row r="139" ht="15.75" customHeight="1" s="184">
      <c r="A139" s="15" t="n"/>
      <c r="B139" s="16" t="n"/>
      <c r="C139" s="18" t="n"/>
      <c r="D139" s="16" t="n"/>
      <c r="E139" s="16" t="n"/>
      <c r="F139" s="5" t="n"/>
      <c r="G139" s="5" t="n"/>
      <c r="H139" s="5" t="n"/>
      <c r="I139" s="5" t="n"/>
      <c r="J139" s="5" t="n"/>
    </row>
    <row r="140" ht="15.75" customHeight="1" s="184">
      <c r="A140" s="15" t="n"/>
      <c r="B140" s="16" t="n"/>
      <c r="C140" s="18" t="n"/>
      <c r="D140" s="16" t="n"/>
      <c r="E140" s="16" t="n"/>
      <c r="F140" s="5" t="n"/>
      <c r="G140" s="5" t="n"/>
      <c r="H140" s="5" t="n"/>
      <c r="I140" s="5" t="n"/>
      <c r="J140" s="5" t="n"/>
    </row>
    <row r="141" ht="15.75" customHeight="1" s="184">
      <c r="A141" s="15" t="n"/>
      <c r="B141" s="16" t="n"/>
      <c r="C141" s="18" t="n"/>
      <c r="D141" s="16" t="n"/>
      <c r="E141" s="16" t="n"/>
      <c r="F141" s="5" t="n"/>
      <c r="G141" s="5" t="n"/>
      <c r="H141" s="5" t="n"/>
      <c r="I141" s="5" t="n"/>
      <c r="J141" s="5" t="n"/>
    </row>
    <row r="142" ht="15.75" customHeight="1" s="184">
      <c r="A142" s="15" t="n"/>
      <c r="B142" s="16" t="n"/>
      <c r="C142" s="18" t="n"/>
      <c r="D142" s="16" t="n"/>
      <c r="E142" s="16" t="n"/>
      <c r="F142" s="5" t="n"/>
      <c r="G142" s="5" t="n"/>
      <c r="H142" s="5" t="n"/>
      <c r="I142" s="5" t="n"/>
      <c r="J142" s="5" t="n"/>
    </row>
    <row r="143" ht="15.75" customHeight="1" s="184">
      <c r="A143" s="15" t="n"/>
      <c r="B143" s="16" t="n"/>
      <c r="C143" s="18" t="n"/>
      <c r="D143" s="16" t="n"/>
      <c r="E143" s="16" t="n"/>
      <c r="F143" s="5" t="n"/>
      <c r="G143" s="5" t="n"/>
      <c r="H143" s="5" t="n"/>
      <c r="I143" s="5" t="n"/>
      <c r="J143" s="5" t="n"/>
    </row>
    <row r="144" ht="15.75" customHeight="1" s="184">
      <c r="A144" s="15" t="n"/>
      <c r="B144" s="16" t="n"/>
      <c r="C144" s="18" t="n"/>
      <c r="D144" s="16" t="n"/>
      <c r="E144" s="16" t="n"/>
      <c r="F144" s="5" t="n"/>
      <c r="G144" s="5" t="n"/>
      <c r="H144" s="5" t="n"/>
      <c r="I144" s="5" t="n"/>
      <c r="J144" s="5" t="n"/>
    </row>
    <row r="145" ht="15.75" customHeight="1" s="184">
      <c r="A145" s="15" t="n"/>
      <c r="B145" s="16" t="n"/>
      <c r="C145" s="18" t="n"/>
      <c r="D145" s="16" t="n"/>
      <c r="E145" s="16" t="n"/>
      <c r="F145" s="5" t="n"/>
      <c r="G145" s="5" t="n"/>
      <c r="H145" s="5" t="n"/>
      <c r="I145" s="5" t="n"/>
      <c r="J145" s="5" t="n"/>
    </row>
    <row r="146" ht="15.75" customHeight="1" s="184">
      <c r="A146" s="15" t="n"/>
      <c r="B146" s="16" t="n"/>
      <c r="C146" s="18" t="n"/>
      <c r="D146" s="16" t="n"/>
      <c r="E146" s="16" t="n"/>
      <c r="F146" s="5" t="n"/>
      <c r="G146" s="5" t="n"/>
      <c r="H146" s="5" t="n"/>
      <c r="I146" s="5" t="n"/>
      <c r="J146" s="5" t="n"/>
    </row>
    <row r="147" ht="15.75" customHeight="1" s="184">
      <c r="A147" s="15" t="n"/>
      <c r="B147" s="16" t="n"/>
      <c r="C147" s="18" t="n"/>
      <c r="D147" s="16" t="n"/>
      <c r="E147" s="16" t="n"/>
      <c r="F147" s="5" t="n"/>
      <c r="G147" s="5" t="n"/>
      <c r="H147" s="5" t="n"/>
      <c r="I147" s="5" t="n"/>
      <c r="J147" s="5" t="n"/>
    </row>
    <row r="148" ht="15.75" customHeight="1" s="184">
      <c r="A148" s="15" t="n"/>
      <c r="B148" s="16" t="n"/>
      <c r="C148" s="18" t="n"/>
      <c r="D148" s="16" t="n"/>
      <c r="E148" s="16" t="n"/>
      <c r="F148" s="5" t="n"/>
      <c r="G148" s="5" t="n"/>
      <c r="H148" s="5" t="n"/>
      <c r="I148" s="5" t="n"/>
      <c r="J148" s="5" t="n"/>
    </row>
    <row r="149" ht="15.75" customHeight="1" s="184">
      <c r="A149" s="15" t="n"/>
      <c r="B149" s="16" t="n"/>
      <c r="C149" s="18" t="n"/>
      <c r="D149" s="16" t="n"/>
      <c r="E149" s="16" t="n"/>
      <c r="F149" s="5" t="n"/>
      <c r="G149" s="5" t="n"/>
      <c r="H149" s="5" t="n"/>
      <c r="I149" s="5" t="n"/>
      <c r="J149" s="5" t="n"/>
    </row>
    <row r="150" ht="15.75" customHeight="1" s="184">
      <c r="A150" s="15" t="n"/>
      <c r="B150" s="16" t="n"/>
      <c r="C150" s="18" t="n"/>
      <c r="D150" s="16" t="n"/>
      <c r="E150" s="16" t="n"/>
      <c r="F150" s="5" t="n"/>
      <c r="G150" s="5" t="n"/>
      <c r="H150" s="5" t="n"/>
      <c r="I150" s="5" t="n"/>
      <c r="J150" s="5" t="n"/>
    </row>
    <row r="151" ht="15.75" customHeight="1" s="184">
      <c r="A151" s="15" t="n"/>
      <c r="B151" s="16" t="n"/>
      <c r="C151" s="18" t="n"/>
      <c r="D151" s="16" t="n"/>
      <c r="E151" s="16" t="n"/>
      <c r="F151" s="5" t="n"/>
      <c r="G151" s="5" t="n"/>
      <c r="H151" s="5" t="n"/>
      <c r="I151" s="5" t="n"/>
      <c r="J151" s="5" t="n"/>
    </row>
    <row r="152" ht="15.75" customHeight="1" s="184">
      <c r="A152" s="15" t="n"/>
      <c r="B152" s="16" t="n"/>
      <c r="C152" s="18" t="n"/>
      <c r="D152" s="16" t="n"/>
      <c r="E152" s="16" t="n"/>
      <c r="F152" s="5" t="n"/>
      <c r="G152" s="5" t="n"/>
      <c r="H152" s="5" t="n"/>
      <c r="I152" s="5" t="n"/>
      <c r="J152" s="5" t="n"/>
    </row>
    <row r="153" ht="15.75" customHeight="1" s="184">
      <c r="A153" s="15" t="n"/>
      <c r="B153" s="16" t="n"/>
      <c r="C153" s="18" t="n"/>
      <c r="D153" s="16" t="n"/>
      <c r="E153" s="16" t="n"/>
      <c r="F153" s="5" t="n"/>
      <c r="G153" s="5" t="n"/>
      <c r="H153" s="5" t="n"/>
      <c r="I153" s="5" t="n"/>
      <c r="J153" s="5" t="n"/>
    </row>
    <row r="154" ht="15.75" customHeight="1" s="184">
      <c r="A154" s="15" t="n"/>
      <c r="B154" s="16" t="n"/>
      <c r="C154" s="18" t="n"/>
      <c r="D154" s="16" t="n"/>
      <c r="E154" s="16" t="n"/>
      <c r="F154" s="5" t="n"/>
      <c r="G154" s="5" t="n"/>
      <c r="H154" s="5" t="n"/>
      <c r="I154" s="5" t="n"/>
      <c r="J154" s="5" t="n"/>
    </row>
    <row r="155" ht="15.75" customHeight="1" s="184">
      <c r="A155" s="15" t="n"/>
      <c r="B155" s="16" t="n"/>
      <c r="C155" s="18" t="n"/>
      <c r="D155" s="16" t="n"/>
      <c r="E155" s="16" t="n"/>
      <c r="F155" s="5" t="n"/>
      <c r="G155" s="5" t="n"/>
      <c r="H155" s="5" t="n"/>
      <c r="I155" s="5" t="n"/>
      <c r="J155" s="5" t="n"/>
    </row>
    <row r="156" ht="15.75" customHeight="1" s="184">
      <c r="A156" s="15" t="n"/>
      <c r="B156" s="16" t="n"/>
      <c r="C156" s="18" t="n"/>
      <c r="D156" s="16" t="n"/>
      <c r="E156" s="16" t="n"/>
      <c r="F156" s="5" t="n"/>
      <c r="G156" s="5" t="n"/>
      <c r="H156" s="5" t="n"/>
      <c r="I156" s="5" t="n"/>
      <c r="J156" s="5" t="n"/>
    </row>
    <row r="157" ht="15.75" customHeight="1" s="184">
      <c r="A157" s="15" t="n"/>
      <c r="B157" s="16" t="n"/>
      <c r="C157" s="18" t="n"/>
      <c r="D157" s="16" t="n"/>
      <c r="E157" s="16" t="n"/>
      <c r="F157" s="5" t="n"/>
      <c r="G157" s="5" t="n"/>
      <c r="H157" s="5" t="n"/>
      <c r="I157" s="5" t="n"/>
      <c r="J157" s="5" t="n"/>
    </row>
    <row r="158" ht="15.75" customHeight="1" s="184">
      <c r="A158" s="15" t="n"/>
      <c r="B158" s="16" t="n"/>
      <c r="C158" s="18" t="n"/>
      <c r="D158" s="16" t="n"/>
      <c r="E158" s="16" t="n"/>
      <c r="F158" s="5" t="n"/>
      <c r="G158" s="5" t="n"/>
      <c r="H158" s="5" t="n"/>
      <c r="I158" s="5" t="n"/>
      <c r="J158" s="5" t="n"/>
    </row>
    <row r="159" ht="15.75" customHeight="1" s="184">
      <c r="A159" s="15" t="n"/>
      <c r="B159" s="16" t="n"/>
      <c r="C159" s="18" t="n"/>
      <c r="D159" s="16" t="n"/>
      <c r="E159" s="16" t="n"/>
      <c r="F159" s="5" t="n"/>
      <c r="G159" s="5" t="n"/>
      <c r="H159" s="5" t="n"/>
      <c r="I159" s="5" t="n"/>
      <c r="J159" s="5" t="n"/>
    </row>
    <row r="160" ht="15.75" customHeight="1" s="184">
      <c r="A160" s="15" t="n"/>
      <c r="B160" s="16" t="n"/>
      <c r="C160" s="18" t="n"/>
      <c r="D160" s="16" t="n"/>
      <c r="E160" s="16" t="n"/>
      <c r="F160" s="5" t="n"/>
      <c r="G160" s="5" t="n"/>
      <c r="H160" s="5" t="n"/>
      <c r="I160" s="5" t="n"/>
      <c r="J160" s="5" t="n"/>
    </row>
    <row r="161" ht="15.75" customHeight="1" s="184">
      <c r="A161" s="15" t="n"/>
      <c r="B161" s="16" t="n"/>
      <c r="C161" s="18" t="n"/>
      <c r="D161" s="16" t="n"/>
      <c r="E161" s="16" t="n"/>
      <c r="F161" s="5" t="n"/>
      <c r="G161" s="5" t="n"/>
      <c r="H161" s="5" t="n"/>
      <c r="I161" s="5" t="n"/>
      <c r="J161" s="5" t="n"/>
    </row>
    <row r="162" ht="15.75" customHeight="1" s="184">
      <c r="A162" s="15" t="n"/>
      <c r="B162" s="16" t="n"/>
      <c r="C162" s="18" t="n"/>
      <c r="D162" s="16" t="n"/>
      <c r="E162" s="16" t="n"/>
      <c r="F162" s="5" t="n"/>
      <c r="G162" s="5" t="n"/>
      <c r="H162" s="5" t="n"/>
      <c r="I162" s="5" t="n"/>
      <c r="J162" s="5" t="n"/>
    </row>
    <row r="163" ht="15.75" customHeight="1" s="184">
      <c r="A163" s="15" t="n"/>
      <c r="B163" s="16" t="n"/>
      <c r="C163" s="18" t="n"/>
      <c r="D163" s="16" t="n"/>
      <c r="E163" s="16" t="n"/>
      <c r="F163" s="5" t="n"/>
      <c r="G163" s="5" t="n"/>
      <c r="H163" s="5" t="n"/>
      <c r="I163" s="5" t="n"/>
      <c r="J163" s="5" t="n"/>
    </row>
    <row r="164" ht="15.75" customHeight="1" s="184">
      <c r="A164" s="15" t="n"/>
      <c r="B164" s="16" t="n"/>
      <c r="C164" s="18" t="n"/>
      <c r="D164" s="16" t="n"/>
      <c r="E164" s="16" t="n"/>
      <c r="F164" s="5" t="n"/>
      <c r="G164" s="5" t="n"/>
      <c r="H164" s="5" t="n"/>
      <c r="I164" s="5" t="n"/>
      <c r="J164" s="5" t="n"/>
    </row>
    <row r="165" ht="15.75" customHeight="1" s="184">
      <c r="A165" s="15" t="n"/>
      <c r="B165" s="16" t="n"/>
      <c r="C165" s="18" t="n"/>
      <c r="D165" s="16" t="n"/>
      <c r="E165" s="16" t="n"/>
      <c r="F165" s="5" t="n"/>
      <c r="G165" s="5" t="n"/>
      <c r="H165" s="5" t="n"/>
      <c r="I165" s="5" t="n"/>
      <c r="J165" s="5" t="n"/>
    </row>
    <row r="166" ht="15.75" customHeight="1" s="184">
      <c r="A166" s="15" t="n"/>
      <c r="B166" s="16" t="n"/>
      <c r="C166" s="18" t="n"/>
      <c r="D166" s="16" t="n"/>
      <c r="E166" s="16" t="n"/>
      <c r="F166" s="5" t="n"/>
      <c r="G166" s="5" t="n"/>
      <c r="H166" s="5" t="n"/>
      <c r="I166" s="5" t="n"/>
      <c r="J166" s="5" t="n"/>
    </row>
    <row r="167" ht="15.75" customHeight="1" s="184">
      <c r="A167" s="15" t="n"/>
      <c r="B167" s="16" t="n"/>
      <c r="C167" s="18" t="n"/>
      <c r="D167" s="16" t="n"/>
      <c r="E167" s="16" t="n"/>
      <c r="F167" s="5" t="n"/>
      <c r="G167" s="5" t="n"/>
      <c r="H167" s="5" t="n"/>
      <c r="I167" s="5" t="n"/>
      <c r="J167" s="5" t="n"/>
    </row>
    <row r="168" ht="15.75" customHeight="1" s="184">
      <c r="A168" s="15" t="n"/>
      <c r="B168" s="16" t="n"/>
      <c r="C168" s="18" t="n"/>
      <c r="D168" s="16" t="n"/>
      <c r="E168" s="16" t="n"/>
      <c r="F168" s="5" t="n"/>
      <c r="G168" s="5" t="n"/>
      <c r="H168" s="5" t="n"/>
      <c r="I168" s="5" t="n"/>
      <c r="J168" s="5" t="n"/>
    </row>
    <row r="169" ht="15.75" customHeight="1" s="184">
      <c r="A169" s="15" t="n"/>
      <c r="B169" s="16" t="n"/>
      <c r="C169" s="18" t="n"/>
      <c r="D169" s="16" t="n"/>
      <c r="E169" s="16" t="n"/>
      <c r="F169" s="5" t="n"/>
      <c r="G169" s="5" t="n"/>
      <c r="H169" s="5" t="n"/>
      <c r="I169" s="5" t="n"/>
      <c r="J169" s="5" t="n"/>
    </row>
    <row r="170" ht="15.75" customHeight="1" s="184">
      <c r="A170" s="15" t="n"/>
      <c r="B170" s="16" t="n"/>
      <c r="C170" s="18" t="n"/>
      <c r="D170" s="16" t="n"/>
      <c r="E170" s="16" t="n"/>
      <c r="F170" s="5" t="n"/>
      <c r="G170" s="5" t="n"/>
      <c r="H170" s="5" t="n"/>
      <c r="I170" s="5" t="n"/>
      <c r="J170" s="5" t="n"/>
    </row>
    <row r="171" ht="15.75" customHeight="1" s="184">
      <c r="A171" s="15" t="n"/>
      <c r="B171" s="16" t="n"/>
      <c r="C171" s="18" t="n"/>
      <c r="D171" s="16" t="n"/>
      <c r="E171" s="16" t="n"/>
      <c r="F171" s="5" t="n"/>
      <c r="G171" s="5" t="n"/>
      <c r="H171" s="5" t="n"/>
      <c r="I171" s="5" t="n"/>
      <c r="J171" s="5" t="n"/>
    </row>
    <row r="172" ht="15.75" customHeight="1" s="184">
      <c r="A172" s="15" t="n"/>
      <c r="B172" s="16" t="n"/>
      <c r="C172" s="18" t="n"/>
      <c r="D172" s="16" t="n"/>
      <c r="E172" s="16" t="n"/>
      <c r="F172" s="5" t="n"/>
      <c r="G172" s="5" t="n"/>
      <c r="H172" s="5" t="n"/>
      <c r="I172" s="5" t="n"/>
      <c r="J172" s="5" t="n"/>
    </row>
    <row r="173" ht="15.75" customHeight="1" s="184">
      <c r="A173" s="15" t="n"/>
      <c r="B173" s="16" t="n"/>
      <c r="C173" s="18" t="n"/>
      <c r="D173" s="16" t="n"/>
      <c r="E173" s="16" t="n"/>
      <c r="F173" s="5" t="n"/>
      <c r="G173" s="5" t="n"/>
      <c r="H173" s="5" t="n"/>
      <c r="I173" s="5" t="n"/>
      <c r="J173" s="5" t="n"/>
    </row>
    <row r="174" ht="15.75" customHeight="1" s="184">
      <c r="A174" s="15" t="n"/>
      <c r="B174" s="16" t="n"/>
      <c r="C174" s="18" t="n"/>
      <c r="D174" s="16" t="n"/>
      <c r="E174" s="16" t="n"/>
      <c r="F174" s="5" t="n"/>
      <c r="G174" s="5" t="n"/>
      <c r="H174" s="5" t="n"/>
      <c r="I174" s="5" t="n"/>
      <c r="J174" s="5" t="n"/>
    </row>
    <row r="175" ht="15.75" customHeight="1" s="184">
      <c r="A175" s="15" t="n"/>
      <c r="B175" s="16" t="n"/>
      <c r="C175" s="18" t="n"/>
      <c r="D175" s="16" t="n"/>
      <c r="E175" s="16" t="n"/>
      <c r="F175" s="5" t="n"/>
      <c r="G175" s="5" t="n"/>
      <c r="H175" s="5" t="n"/>
      <c r="I175" s="5" t="n"/>
      <c r="J175" s="5" t="n"/>
    </row>
    <row r="176" ht="15.75" customHeight="1" s="184">
      <c r="A176" s="15" t="n"/>
      <c r="B176" s="16" t="n"/>
      <c r="C176" s="18" t="n"/>
      <c r="D176" s="16" t="n"/>
      <c r="E176" s="16" t="n"/>
      <c r="F176" s="5" t="n"/>
      <c r="G176" s="5" t="n"/>
      <c r="H176" s="5" t="n"/>
      <c r="I176" s="5" t="n"/>
      <c r="J176" s="5" t="n"/>
    </row>
    <row r="177" ht="15.75" customHeight="1" s="184">
      <c r="A177" s="15" t="n"/>
      <c r="B177" s="16" t="n"/>
      <c r="C177" s="18" t="n"/>
      <c r="D177" s="16" t="n"/>
      <c r="E177" s="16" t="n"/>
      <c r="F177" s="5" t="n"/>
      <c r="G177" s="5" t="n"/>
      <c r="H177" s="5" t="n"/>
      <c r="I177" s="5" t="n"/>
      <c r="J177" s="5" t="n"/>
    </row>
    <row r="178" ht="15.75" customHeight="1" s="184">
      <c r="A178" s="15" t="n"/>
      <c r="B178" s="16" t="n"/>
      <c r="C178" s="18" t="n"/>
      <c r="D178" s="16" t="n"/>
      <c r="E178" s="16" t="n"/>
      <c r="F178" s="5" t="n"/>
      <c r="G178" s="5" t="n"/>
      <c r="H178" s="5" t="n"/>
      <c r="I178" s="5" t="n"/>
      <c r="J178" s="5" t="n"/>
    </row>
    <row r="179" ht="15.75" customHeight="1" s="184">
      <c r="A179" s="15" t="n"/>
      <c r="B179" s="16" t="n"/>
      <c r="C179" s="18" t="n"/>
      <c r="D179" s="16" t="n"/>
      <c r="E179" s="16" t="n"/>
      <c r="F179" s="5" t="n"/>
      <c r="G179" s="5" t="n"/>
      <c r="H179" s="5" t="n"/>
      <c r="I179" s="5" t="n"/>
      <c r="J179" s="5" t="n"/>
    </row>
    <row r="180" ht="15.75" customHeight="1" s="184">
      <c r="A180" s="15" t="n"/>
      <c r="B180" s="16" t="n"/>
      <c r="C180" s="18" t="n"/>
      <c r="D180" s="16" t="n"/>
      <c r="E180" s="16" t="n"/>
      <c r="F180" s="5" t="n"/>
      <c r="G180" s="5" t="n"/>
      <c r="H180" s="5" t="n"/>
      <c r="I180" s="5" t="n"/>
      <c r="J180" s="5" t="n"/>
    </row>
    <row r="181" ht="15.75" customHeight="1" s="184">
      <c r="A181" s="15" t="n"/>
      <c r="B181" s="16" t="n"/>
      <c r="C181" s="18" t="n"/>
      <c r="D181" s="16" t="n"/>
      <c r="E181" s="16" t="n"/>
      <c r="F181" s="5" t="n"/>
      <c r="G181" s="5" t="n"/>
      <c r="H181" s="5" t="n"/>
      <c r="I181" s="5" t="n"/>
      <c r="J181" s="5" t="n"/>
    </row>
    <row r="182" ht="15.75" customHeight="1" s="184">
      <c r="A182" s="15" t="n"/>
      <c r="B182" s="16" t="n"/>
      <c r="C182" s="18" t="n"/>
      <c r="D182" s="16" t="n"/>
      <c r="E182" s="16" t="n"/>
      <c r="F182" s="5" t="n"/>
      <c r="G182" s="5" t="n"/>
      <c r="H182" s="5" t="n"/>
      <c r="I182" s="5" t="n"/>
      <c r="J182" s="5" t="n"/>
    </row>
    <row r="183" ht="15.75" customHeight="1" s="184">
      <c r="A183" s="15" t="n"/>
      <c r="B183" s="16" t="n"/>
      <c r="C183" s="18" t="n"/>
      <c r="D183" s="16" t="n"/>
      <c r="E183" s="16" t="n"/>
      <c r="F183" s="5" t="n"/>
      <c r="G183" s="5" t="n"/>
      <c r="H183" s="5" t="n"/>
      <c r="I183" s="5" t="n"/>
      <c r="J183" s="5" t="n"/>
    </row>
    <row r="184" ht="15.75" customHeight="1" s="184">
      <c r="A184" s="15" t="n"/>
      <c r="B184" s="16" t="n"/>
      <c r="C184" s="18" t="n"/>
      <c r="D184" s="16" t="n"/>
      <c r="E184" s="16" t="n"/>
      <c r="F184" s="5" t="n"/>
      <c r="G184" s="5" t="n"/>
      <c r="H184" s="5" t="n"/>
      <c r="I184" s="5" t="n"/>
      <c r="J184" s="5" t="n"/>
    </row>
    <row r="185" ht="15.75" customHeight="1" s="184">
      <c r="A185" s="15" t="n"/>
      <c r="B185" s="16" t="n"/>
      <c r="C185" s="18" t="n"/>
      <c r="D185" s="16" t="n"/>
      <c r="E185" s="16" t="n"/>
      <c r="F185" s="5" t="n"/>
      <c r="G185" s="5" t="n"/>
      <c r="H185" s="5" t="n"/>
      <c r="I185" s="5" t="n"/>
      <c r="J185" s="5" t="n"/>
    </row>
    <row r="186" ht="15.75" customHeight="1" s="184">
      <c r="A186" s="15" t="n"/>
      <c r="B186" s="16" t="n"/>
      <c r="C186" s="18" t="n"/>
      <c r="D186" s="16" t="n"/>
      <c r="E186" s="16" t="n"/>
      <c r="F186" s="5" t="n"/>
      <c r="G186" s="5" t="n"/>
      <c r="H186" s="5" t="n"/>
      <c r="I186" s="5" t="n"/>
      <c r="J186" s="5" t="n"/>
    </row>
    <row r="187" ht="15.75" customHeight="1" s="184">
      <c r="A187" s="15" t="n"/>
      <c r="B187" s="16" t="n"/>
      <c r="C187" s="18" t="n"/>
      <c r="D187" s="16" t="n"/>
      <c r="E187" s="16" t="n"/>
      <c r="F187" s="5" t="n"/>
      <c r="G187" s="5" t="n"/>
      <c r="H187" s="5" t="n"/>
      <c r="I187" s="5" t="n"/>
      <c r="J187" s="5" t="n"/>
    </row>
    <row r="188" ht="15.75" customHeight="1" s="184">
      <c r="A188" s="15" t="n"/>
      <c r="B188" s="16" t="n"/>
      <c r="C188" s="18" t="n"/>
      <c r="D188" s="16" t="n"/>
      <c r="E188" s="16" t="n"/>
      <c r="F188" s="5" t="n"/>
      <c r="G188" s="5" t="n"/>
      <c r="H188" s="5" t="n"/>
      <c r="I188" s="5" t="n"/>
      <c r="J188" s="5" t="n"/>
    </row>
    <row r="189" ht="15.75" customHeight="1" s="184">
      <c r="A189" s="15" t="n"/>
      <c r="B189" s="16" t="n"/>
      <c r="C189" s="18" t="n"/>
      <c r="D189" s="16" t="n"/>
      <c r="E189" s="16" t="n"/>
      <c r="F189" s="5" t="n"/>
      <c r="G189" s="5" t="n"/>
      <c r="H189" s="5" t="n"/>
      <c r="I189" s="5" t="n"/>
      <c r="J189" s="5" t="n"/>
    </row>
    <row r="190" ht="15.75" customHeight="1" s="184">
      <c r="A190" s="15" t="n"/>
      <c r="B190" s="16" t="n"/>
      <c r="C190" s="18" t="n"/>
      <c r="D190" s="16" t="n"/>
      <c r="E190" s="16" t="n"/>
      <c r="F190" s="5" t="n"/>
      <c r="G190" s="5" t="n"/>
      <c r="H190" s="5" t="n"/>
      <c r="I190" s="5" t="n"/>
      <c r="J190" s="5" t="n"/>
    </row>
    <row r="191" ht="15.75" customHeight="1" s="184">
      <c r="A191" s="15" t="n"/>
      <c r="B191" s="16" t="n"/>
      <c r="C191" s="18" t="n"/>
      <c r="D191" s="16" t="n"/>
      <c r="E191" s="16" t="n"/>
      <c r="F191" s="5" t="n"/>
      <c r="G191" s="5" t="n"/>
      <c r="H191" s="5" t="n"/>
      <c r="I191" s="5" t="n"/>
      <c r="J191" s="5" t="n"/>
    </row>
    <row r="192" ht="15.75" customHeight="1" s="184">
      <c r="A192" s="15" t="n"/>
      <c r="B192" s="16" t="n"/>
      <c r="C192" s="18" t="n"/>
      <c r="D192" s="16" t="n"/>
      <c r="E192" s="16" t="n"/>
      <c r="F192" s="5" t="n"/>
      <c r="G192" s="5" t="n"/>
      <c r="H192" s="5" t="n"/>
      <c r="I192" s="5" t="n"/>
      <c r="J192" s="5" t="n"/>
    </row>
    <row r="193" ht="15.75" customHeight="1" s="184">
      <c r="A193" s="15" t="n"/>
      <c r="B193" s="16" t="n"/>
      <c r="C193" s="18" t="n"/>
      <c r="D193" s="16" t="n"/>
      <c r="E193" s="16" t="n"/>
      <c r="F193" s="5" t="n"/>
      <c r="G193" s="5" t="n"/>
      <c r="H193" s="5" t="n"/>
      <c r="I193" s="5" t="n"/>
      <c r="J193" s="5" t="n"/>
    </row>
    <row r="194" ht="15.75" customHeight="1" s="184">
      <c r="A194" s="15" t="n"/>
      <c r="B194" s="16" t="n"/>
      <c r="C194" s="18" t="n"/>
      <c r="D194" s="16" t="n"/>
      <c r="E194" s="16" t="n"/>
      <c r="F194" s="5" t="n"/>
      <c r="G194" s="5" t="n"/>
      <c r="H194" s="5" t="n"/>
      <c r="I194" s="5" t="n"/>
      <c r="J194" s="5" t="n"/>
    </row>
    <row r="195" ht="15.75" customHeight="1" s="184">
      <c r="A195" s="15" t="n"/>
      <c r="B195" s="16" t="n"/>
      <c r="C195" s="18" t="n"/>
      <c r="D195" s="16" t="n"/>
      <c r="E195" s="16" t="n"/>
      <c r="F195" s="5" t="n"/>
      <c r="G195" s="5" t="n"/>
      <c r="H195" s="5" t="n"/>
      <c r="I195" s="5" t="n"/>
      <c r="J195" s="5" t="n"/>
    </row>
    <row r="196" ht="15.75" customHeight="1" s="184">
      <c r="A196" s="15" t="n"/>
      <c r="B196" s="16" t="n"/>
      <c r="C196" s="18" t="n"/>
      <c r="D196" s="16" t="n"/>
      <c r="E196" s="16" t="n"/>
      <c r="F196" s="5" t="n"/>
      <c r="G196" s="5" t="n"/>
      <c r="H196" s="5" t="n"/>
      <c r="I196" s="5" t="n"/>
      <c r="J196" s="5" t="n"/>
    </row>
    <row r="197" ht="15.75" customHeight="1" s="184">
      <c r="A197" s="15" t="n"/>
      <c r="B197" s="16" t="n"/>
      <c r="C197" s="18" t="n"/>
      <c r="D197" s="16" t="n"/>
      <c r="E197" s="16" t="n"/>
      <c r="F197" s="5" t="n"/>
      <c r="G197" s="5" t="n"/>
      <c r="H197" s="5" t="n"/>
      <c r="I197" s="5" t="n"/>
      <c r="J197" s="5" t="n"/>
    </row>
    <row r="198" ht="15.75" customHeight="1" s="184">
      <c r="A198" s="15" t="n"/>
      <c r="B198" s="16" t="n"/>
      <c r="C198" s="18" t="n"/>
      <c r="D198" s="16" t="n"/>
      <c r="E198" s="16" t="n"/>
      <c r="F198" s="5" t="n"/>
      <c r="G198" s="5" t="n"/>
      <c r="H198" s="5" t="n"/>
      <c r="I198" s="5" t="n"/>
      <c r="J198" s="5" t="n"/>
    </row>
    <row r="199" ht="15.75" customHeight="1" s="184">
      <c r="A199" s="15" t="n"/>
      <c r="B199" s="16" t="n"/>
      <c r="C199" s="18" t="n"/>
      <c r="D199" s="16" t="n"/>
      <c r="E199" s="16" t="n"/>
      <c r="F199" s="5" t="n"/>
      <c r="G199" s="5" t="n"/>
      <c r="H199" s="5" t="n"/>
      <c r="I199" s="5" t="n"/>
      <c r="J199" s="5" t="n"/>
    </row>
    <row r="200" ht="15.75" customHeight="1" s="184">
      <c r="A200" s="15" t="n"/>
      <c r="B200" s="16" t="n"/>
      <c r="C200" s="18" t="n"/>
      <c r="D200" s="16" t="n"/>
      <c r="E200" s="16" t="n"/>
      <c r="F200" s="5" t="n"/>
      <c r="G200" s="5" t="n"/>
      <c r="H200" s="5" t="n"/>
      <c r="I200" s="5" t="n"/>
      <c r="J200" s="5" t="n"/>
    </row>
    <row r="201" ht="15.75" customHeight="1" s="184">
      <c r="A201" s="15" t="n"/>
      <c r="B201" s="16" t="n"/>
      <c r="C201" s="18" t="n"/>
      <c r="D201" s="16" t="n"/>
      <c r="E201" s="16" t="n"/>
      <c r="F201" s="5" t="n"/>
      <c r="G201" s="5" t="n"/>
      <c r="H201" s="5" t="n"/>
      <c r="I201" s="5" t="n"/>
      <c r="J201" s="5" t="n"/>
    </row>
    <row r="202" ht="15.75" customHeight="1" s="184">
      <c r="A202" s="15" t="n"/>
      <c r="B202" s="16" t="n"/>
      <c r="C202" s="18" t="n"/>
      <c r="D202" s="16" t="n"/>
      <c r="E202" s="16" t="n"/>
      <c r="F202" s="5" t="n"/>
      <c r="G202" s="5" t="n"/>
      <c r="H202" s="5" t="n"/>
      <c r="I202" s="5" t="n"/>
      <c r="J202" s="5" t="n"/>
    </row>
    <row r="203" ht="15.75" customHeight="1" s="184">
      <c r="A203" s="15" t="n"/>
      <c r="B203" s="16" t="n"/>
      <c r="C203" s="18" t="n"/>
      <c r="D203" s="16" t="n"/>
      <c r="E203" s="16" t="n"/>
      <c r="F203" s="5" t="n"/>
      <c r="G203" s="5" t="n"/>
      <c r="H203" s="5" t="n"/>
      <c r="I203" s="5" t="n"/>
      <c r="J203" s="5" t="n"/>
    </row>
    <row r="204" ht="15.75" customHeight="1" s="184">
      <c r="A204" s="15" t="n"/>
      <c r="B204" s="16" t="n"/>
      <c r="C204" s="18" t="n"/>
      <c r="D204" s="16" t="n"/>
      <c r="E204" s="16" t="n"/>
      <c r="F204" s="5" t="n"/>
      <c r="G204" s="5" t="n"/>
      <c r="H204" s="5" t="n"/>
      <c r="I204" s="5" t="n"/>
      <c r="J204" s="5" t="n"/>
    </row>
    <row r="205" ht="15.75" customHeight="1" s="184">
      <c r="A205" s="15" t="n"/>
      <c r="B205" s="16" t="n"/>
      <c r="C205" s="18" t="n"/>
      <c r="D205" s="16" t="n"/>
      <c r="E205" s="16" t="n"/>
      <c r="F205" s="5" t="n"/>
      <c r="G205" s="5" t="n"/>
      <c r="H205" s="5" t="n"/>
      <c r="I205" s="5" t="n"/>
      <c r="J205" s="5" t="n"/>
    </row>
    <row r="206" ht="15.75" customHeight="1" s="184">
      <c r="A206" s="15" t="n"/>
      <c r="B206" s="16" t="n"/>
      <c r="C206" s="18" t="n"/>
      <c r="D206" s="16" t="n"/>
      <c r="E206" s="16" t="n"/>
      <c r="F206" s="5" t="n"/>
      <c r="G206" s="5" t="n"/>
      <c r="H206" s="5" t="n"/>
      <c r="I206" s="5" t="n"/>
      <c r="J206" s="5" t="n"/>
    </row>
    <row r="207" ht="15.75" customHeight="1" s="184">
      <c r="A207" s="15" t="n"/>
      <c r="B207" s="16" t="n"/>
      <c r="C207" s="18" t="n"/>
      <c r="D207" s="16" t="n"/>
      <c r="E207" s="16" t="n"/>
      <c r="F207" s="5" t="n"/>
      <c r="G207" s="5" t="n"/>
      <c r="H207" s="5" t="n"/>
      <c r="I207" s="5" t="n"/>
      <c r="J207" s="5" t="n"/>
    </row>
    <row r="208" ht="15.75" customHeight="1" s="184">
      <c r="A208" s="15" t="n"/>
      <c r="B208" s="16" t="n"/>
      <c r="C208" s="18" t="n"/>
      <c r="D208" s="16" t="n"/>
      <c r="E208" s="16" t="n"/>
      <c r="F208" s="5" t="n"/>
      <c r="G208" s="5" t="n"/>
      <c r="H208" s="5" t="n"/>
      <c r="I208" s="5" t="n"/>
      <c r="J208" s="5" t="n"/>
    </row>
    <row r="209" ht="15.75" customHeight="1" s="184">
      <c r="A209" s="15" t="n"/>
      <c r="B209" s="16" t="n"/>
      <c r="C209" s="18" t="n"/>
      <c r="D209" s="16" t="n"/>
      <c r="E209" s="16" t="n"/>
      <c r="F209" s="5" t="n"/>
      <c r="G209" s="5" t="n"/>
      <c r="H209" s="5" t="n"/>
      <c r="I209" s="5" t="n"/>
      <c r="J209" s="5" t="n"/>
    </row>
    <row r="210" ht="15.75" customHeight="1" s="184">
      <c r="A210" s="15" t="n"/>
      <c r="B210" s="16" t="n"/>
      <c r="C210" s="18" t="n"/>
      <c r="D210" s="16" t="n"/>
      <c r="E210" s="16" t="n"/>
      <c r="F210" s="5" t="n"/>
      <c r="G210" s="5" t="n"/>
      <c r="H210" s="5" t="n"/>
      <c r="I210" s="5" t="n"/>
      <c r="J210" s="5" t="n"/>
    </row>
    <row r="211" ht="15.75" customHeight="1" s="184">
      <c r="A211" s="15" t="n"/>
      <c r="B211" s="16" t="n"/>
      <c r="C211" s="18" t="n"/>
      <c r="D211" s="16" t="n"/>
      <c r="E211" s="16" t="n"/>
      <c r="F211" s="5" t="n"/>
      <c r="G211" s="5" t="n"/>
      <c r="H211" s="5" t="n"/>
      <c r="I211" s="5" t="n"/>
      <c r="J211" s="5" t="n"/>
    </row>
    <row r="212" ht="15.75" customHeight="1" s="184">
      <c r="A212" s="15" t="n"/>
      <c r="B212" s="16" t="n"/>
      <c r="C212" s="18" t="n"/>
      <c r="D212" s="16" t="n"/>
      <c r="E212" s="16" t="n"/>
      <c r="F212" s="5" t="n"/>
      <c r="G212" s="5" t="n"/>
      <c r="H212" s="5" t="n"/>
      <c r="I212" s="5" t="n"/>
      <c r="J212" s="5" t="n"/>
    </row>
    <row r="213" ht="15.75" customHeight="1" s="184">
      <c r="A213" s="15" t="n"/>
      <c r="B213" s="16" t="n"/>
      <c r="C213" s="18" t="n"/>
      <c r="D213" s="16" t="n"/>
      <c r="E213" s="16" t="n"/>
      <c r="F213" s="5" t="n"/>
      <c r="G213" s="5" t="n"/>
      <c r="H213" s="5" t="n"/>
      <c r="I213" s="5" t="n"/>
      <c r="J213" s="5" t="n"/>
    </row>
    <row r="214" ht="15.75" customHeight="1" s="184">
      <c r="A214" s="15" t="n"/>
      <c r="B214" s="16" t="n"/>
      <c r="C214" s="18" t="n"/>
      <c r="D214" s="16" t="n"/>
      <c r="E214" s="16" t="n"/>
      <c r="F214" s="5" t="n"/>
      <c r="G214" s="5" t="n"/>
      <c r="H214" s="5" t="n"/>
      <c r="I214" s="5" t="n"/>
      <c r="J214" s="5" t="n"/>
    </row>
    <row r="215" ht="15.75" customHeight="1" s="184">
      <c r="A215" s="15" t="n"/>
      <c r="B215" s="16" t="n"/>
      <c r="C215" s="18" t="n"/>
      <c r="D215" s="16" t="n"/>
      <c r="E215" s="16" t="n"/>
      <c r="F215" s="5" t="n"/>
      <c r="G215" s="5" t="n"/>
      <c r="H215" s="5" t="n"/>
      <c r="I215" s="5" t="n"/>
      <c r="J215" s="5" t="n"/>
    </row>
    <row r="216" ht="15.75" customHeight="1" s="184">
      <c r="A216" s="15" t="n"/>
      <c r="B216" s="16" t="n"/>
      <c r="C216" s="18" t="n"/>
      <c r="D216" s="16" t="n"/>
      <c r="E216" s="16" t="n"/>
      <c r="F216" s="5" t="n"/>
      <c r="G216" s="5" t="n"/>
      <c r="H216" s="5" t="n"/>
      <c r="I216" s="5" t="n"/>
      <c r="J216" s="5" t="n"/>
    </row>
    <row r="217" ht="15.75" customHeight="1" s="184">
      <c r="A217" s="15" t="n"/>
      <c r="B217" s="16" t="n"/>
      <c r="C217" s="18" t="n"/>
      <c r="D217" s="16" t="n"/>
      <c r="E217" s="16" t="n"/>
      <c r="F217" s="5" t="n"/>
      <c r="G217" s="5" t="n"/>
      <c r="H217" s="5" t="n"/>
      <c r="I217" s="5" t="n"/>
      <c r="J217" s="5" t="n"/>
    </row>
    <row r="218" ht="15.75" customHeight="1" s="184">
      <c r="A218" s="15" t="n"/>
      <c r="B218" s="16" t="n"/>
      <c r="C218" s="18" t="n"/>
      <c r="D218" s="16" t="n"/>
      <c r="E218" s="16" t="n"/>
      <c r="F218" s="5" t="n"/>
      <c r="G218" s="5" t="n"/>
      <c r="H218" s="5" t="n"/>
      <c r="I218" s="5" t="n"/>
      <c r="J218" s="5" t="n"/>
    </row>
    <row r="219" ht="15.75" customHeight="1" s="184">
      <c r="A219" s="15" t="n"/>
      <c r="B219" s="16" t="n"/>
      <c r="C219" s="18" t="n"/>
      <c r="D219" s="16" t="n"/>
      <c r="E219" s="16" t="n"/>
      <c r="F219" s="5" t="n"/>
      <c r="G219" s="5" t="n"/>
      <c r="H219" s="5" t="n"/>
      <c r="I219" s="5" t="n"/>
      <c r="J219" s="5" t="n"/>
    </row>
    <row r="220" ht="15.75" customHeight="1" s="184">
      <c r="A220" s="15" t="n"/>
      <c r="B220" s="16" t="n"/>
      <c r="C220" s="18" t="n"/>
      <c r="D220" s="16" t="n"/>
      <c r="E220" s="16" t="n"/>
      <c r="F220" s="5" t="n"/>
      <c r="G220" s="5" t="n"/>
      <c r="H220" s="5" t="n"/>
      <c r="I220" s="5" t="n"/>
      <c r="J220" s="5" t="n"/>
    </row>
    <row r="221" ht="15.75" customHeight="1" s="184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</row>
    <row r="222" ht="15.75" customHeight="1" s="184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</row>
    <row r="223" ht="15.75" customHeight="1" s="18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</row>
    <row r="224" ht="15.75" customHeight="1" s="18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</row>
    <row r="225" ht="15.75" customHeight="1" s="18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</row>
    <row r="226" ht="15.75" customHeight="1" s="18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</row>
    <row r="227" ht="15.75" customHeight="1" s="18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</row>
    <row r="228" ht="15.75" customHeight="1" s="18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</row>
    <row r="229" ht="15.75" customHeight="1" s="184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</row>
    <row r="230" ht="15.75" customHeight="1" s="184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</row>
    <row r="231" ht="15.75" customHeight="1" s="184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</row>
    <row r="232" ht="15.75" customHeight="1" s="184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</row>
    <row r="233" ht="15.75" customHeight="1" s="184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</row>
    <row r="234" ht="15.75" customHeight="1" s="18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</row>
    <row r="235" ht="15.75" customHeight="1" s="184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</row>
    <row r="236" ht="15.75" customHeight="1" s="184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</row>
    <row r="237" ht="15.75" customHeight="1" s="184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</row>
    <row r="238" ht="15.75" customHeight="1" s="184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</row>
    <row r="239" ht="15.75" customHeight="1" s="184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</row>
    <row r="240" ht="15.75" customHeight="1" s="184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</row>
    <row r="241" ht="15.75" customHeight="1" s="184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</row>
    <row r="242" ht="15.75" customHeight="1" s="18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</row>
    <row r="243" ht="15.75" customHeight="1" s="18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</row>
    <row r="244" ht="15.75" customHeight="1" s="18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</row>
    <row r="245" ht="15.75" customHeight="1" s="184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</row>
    <row r="246" ht="15.75" customHeight="1" s="184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</row>
    <row r="247" ht="15.75" customHeight="1" s="184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</row>
    <row r="248" ht="15.75" customHeight="1" s="184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</row>
    <row r="249" ht="15.75" customHeight="1" s="184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</row>
    <row r="250" ht="15.75" customHeight="1" s="184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</row>
    <row r="251" ht="15.75" customHeight="1" s="184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</row>
    <row r="252" ht="15.75" customHeight="1" s="184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</row>
    <row r="253" ht="15.75" customHeight="1" s="184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</row>
    <row r="254" ht="15.75" customHeight="1" s="18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</row>
    <row r="255" ht="15.75" customHeight="1" s="184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</row>
    <row r="256" ht="15.75" customHeight="1" s="184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</row>
    <row r="257" ht="15.75" customHeight="1" s="184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</row>
    <row r="258" ht="15.75" customHeight="1" s="184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</row>
    <row r="259" ht="15.75" customHeight="1" s="184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</row>
    <row r="260" ht="15.75" customHeight="1" s="184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</row>
    <row r="261" ht="15.75" customHeight="1" s="184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</row>
    <row r="262" ht="15.75" customHeight="1" s="184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</row>
    <row r="263" ht="15.75" customHeight="1" s="184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</row>
    <row r="264" ht="15.75" customHeight="1" s="18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</row>
    <row r="265" ht="15.75" customHeight="1" s="184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</row>
    <row r="266" ht="15.75" customHeight="1" s="184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</row>
    <row r="267" ht="15.75" customHeight="1" s="184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</row>
    <row r="268" ht="15.75" customHeight="1" s="184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</row>
    <row r="269" ht="15.75" customHeight="1" s="184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</row>
    <row r="270" ht="15.75" customHeight="1" s="184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</row>
    <row r="271" ht="15.75" customHeight="1" s="184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</row>
    <row r="272" ht="15.75" customHeight="1" s="184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</row>
    <row r="273" ht="15.75" customHeight="1" s="184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</row>
    <row r="274" ht="15.75" customHeight="1" s="18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</row>
    <row r="275" ht="15.75" customHeight="1" s="184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</row>
    <row r="276" ht="15.75" customHeight="1" s="184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</row>
    <row r="277" ht="15.75" customHeight="1" s="184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</row>
    <row r="278" ht="15.75" customHeight="1" s="184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</row>
    <row r="279" ht="15.75" customHeight="1" s="184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</row>
    <row r="280" ht="15.75" customHeight="1" s="184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</row>
    <row r="281" ht="15.75" customHeight="1" s="184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</row>
    <row r="282" ht="15.75" customHeight="1" s="184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</row>
    <row r="283" ht="15.75" customHeight="1" s="184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</row>
    <row r="284" ht="15.75" customHeight="1" s="1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</row>
    <row r="285" ht="15.75" customHeight="1" s="184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</row>
    <row r="286" ht="15.75" customHeight="1" s="184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</row>
    <row r="287" ht="15.75" customHeight="1" s="184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</row>
    <row r="288" ht="15.75" customHeight="1" s="184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</row>
    <row r="289" ht="15.75" customHeight="1" s="184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</row>
    <row r="290" ht="15.75" customHeight="1" s="184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</row>
    <row r="291" ht="15.75" customHeight="1" s="184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</row>
    <row r="292" ht="15.75" customHeight="1" s="184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</row>
    <row r="293" ht="15.75" customHeight="1" s="184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</row>
    <row r="294" ht="15.75" customHeight="1" s="18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</row>
    <row r="295" ht="15.75" customHeight="1" s="184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</row>
    <row r="296" ht="15.75" customHeight="1" s="184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</row>
    <row r="297" ht="15.75" customHeight="1" s="184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</row>
    <row r="298" ht="15.75" customHeight="1" s="184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</row>
    <row r="299" ht="15.75" customHeight="1" s="184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</row>
    <row r="300" ht="15.75" customHeight="1" s="184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</row>
    <row r="301" ht="15.75" customHeight="1" s="184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</row>
    <row r="302" ht="15.75" customHeight="1" s="184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</row>
    <row r="303" ht="15.75" customHeight="1" s="184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</row>
    <row r="304" ht="15.75" customHeight="1" s="18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</row>
    <row r="305" ht="15.75" customHeight="1" s="184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</row>
    <row r="306" ht="15.75" customHeight="1" s="184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</row>
    <row r="307" ht="15.75" customHeight="1" s="184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</row>
    <row r="308" ht="15.75" customHeight="1" s="184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</row>
    <row r="309" ht="15.75" customHeight="1" s="184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</row>
    <row r="310" ht="15.75" customHeight="1" s="184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</row>
    <row r="311" ht="15.75" customHeight="1" s="184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</row>
    <row r="312" ht="15.75" customHeight="1" s="184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</row>
    <row r="313" ht="15.75" customHeight="1" s="184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</row>
    <row r="314" ht="15.75" customHeight="1" s="18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</row>
    <row r="315" ht="15.75" customHeight="1" s="184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</row>
    <row r="316" ht="15.75" customHeight="1" s="184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</row>
    <row r="317" ht="15.75" customHeight="1" s="184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</row>
    <row r="318" ht="15.75" customHeight="1" s="184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</row>
    <row r="319" ht="15.75" customHeight="1" s="184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</row>
    <row r="320" ht="15.75" customHeight="1" s="184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</row>
    <row r="321" ht="15.75" customHeight="1" s="184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</row>
    <row r="322" ht="15.75" customHeight="1" s="184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</row>
    <row r="323" ht="15.75" customHeight="1" s="184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</row>
    <row r="324" ht="15.75" customHeight="1" s="18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</row>
    <row r="325" ht="15.75" customHeight="1" s="184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</row>
    <row r="326" ht="15.75" customHeight="1" s="184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</row>
    <row r="327" ht="15.75" customHeight="1" s="184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</row>
    <row r="328" ht="15.75" customHeight="1" s="184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</row>
    <row r="329" ht="15.75" customHeight="1" s="184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</row>
    <row r="330" ht="15.75" customHeight="1" s="184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</row>
    <row r="331" ht="15.75" customHeight="1" s="184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</row>
    <row r="332" ht="15.75" customHeight="1" s="184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</row>
    <row r="333" ht="15.75" customHeight="1" s="184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</row>
    <row r="334" ht="15.75" customHeight="1" s="18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</row>
    <row r="335" ht="15.75" customHeight="1" s="184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</row>
    <row r="336" ht="15.75" customHeight="1" s="184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</row>
    <row r="337" ht="15.75" customHeight="1" s="184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</row>
    <row r="338" ht="15.75" customHeight="1" s="184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</row>
    <row r="339" ht="15.75" customHeight="1" s="184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</row>
    <row r="340" ht="15.75" customHeight="1" s="184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</row>
    <row r="341" ht="15.75" customHeight="1" s="184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</row>
    <row r="342" ht="15.75" customHeight="1" s="184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</row>
    <row r="343" ht="15.75" customHeight="1" s="184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</row>
    <row r="344" ht="15.75" customHeight="1" s="18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</row>
    <row r="345" ht="15.75" customHeight="1" s="184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</row>
    <row r="346" ht="15.75" customHeight="1" s="184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</row>
    <row r="347" ht="15.75" customHeight="1" s="184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</row>
    <row r="348" ht="15.75" customHeight="1" s="184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</row>
    <row r="349" ht="15.75" customHeight="1" s="184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</row>
    <row r="350" ht="15.75" customHeight="1" s="184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</row>
    <row r="351" ht="15.75" customHeight="1" s="184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</row>
    <row r="352" ht="15.75" customHeight="1" s="184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</row>
    <row r="353" ht="15.75" customHeight="1" s="184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</row>
    <row r="354" ht="15.75" customHeight="1" s="18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</row>
    <row r="355" ht="15.75" customHeight="1" s="184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</row>
    <row r="356" ht="15.75" customHeight="1" s="184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</row>
    <row r="357" ht="15.75" customHeight="1" s="184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</row>
    <row r="358" ht="15.75" customHeight="1" s="184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</row>
    <row r="359" ht="15.75" customHeight="1" s="184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</row>
    <row r="360" ht="15.75" customHeight="1" s="184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</row>
    <row r="361" ht="15.75" customHeight="1" s="184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</row>
    <row r="362" ht="15.75" customHeight="1" s="184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</row>
    <row r="363" ht="15.75" customHeight="1" s="184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</row>
    <row r="364" ht="15.75" customHeight="1" s="18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</row>
    <row r="365" ht="15.75" customHeight="1" s="184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</row>
    <row r="366" ht="15.75" customHeight="1" s="184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</row>
    <row r="367" ht="15.75" customHeight="1" s="184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</row>
    <row r="368" ht="15.75" customHeight="1" s="184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</row>
    <row r="369" ht="15.75" customHeight="1" s="184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</row>
    <row r="370" ht="15.75" customHeight="1" s="184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</row>
    <row r="371" ht="15.75" customHeight="1" s="184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</row>
    <row r="372" ht="15.75" customHeight="1" s="184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</row>
    <row r="373" ht="15.75" customHeight="1" s="184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</row>
    <row r="374" ht="15.75" customHeight="1" s="18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</row>
    <row r="375" ht="15.75" customHeight="1" s="184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</row>
    <row r="376" ht="15.75" customHeight="1" s="184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</row>
    <row r="377" ht="15.75" customHeight="1" s="184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</row>
    <row r="378" ht="15.75" customHeight="1" s="184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</row>
    <row r="379" ht="15.75" customHeight="1" s="184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</row>
    <row r="380" ht="15.75" customHeight="1" s="184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</row>
    <row r="381" ht="15.75" customHeight="1" s="184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</row>
    <row r="382" ht="15.75" customHeight="1" s="184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</row>
    <row r="383" ht="15.75" customHeight="1" s="184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</row>
    <row r="384" ht="15.75" customHeight="1" s="1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</row>
    <row r="385" ht="15.75" customHeight="1" s="184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</row>
    <row r="386" ht="15.75" customHeight="1" s="184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</row>
    <row r="387" ht="15.75" customHeight="1" s="184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</row>
    <row r="388" ht="15.75" customHeight="1" s="184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</row>
    <row r="389" ht="15.75" customHeight="1" s="184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</row>
    <row r="390" ht="15.75" customHeight="1" s="184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</row>
    <row r="391" ht="15.75" customHeight="1" s="184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</row>
    <row r="392" ht="15.75" customHeight="1" s="184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</row>
    <row r="393" ht="15.75" customHeight="1" s="184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</row>
    <row r="394" ht="15.75" customHeight="1" s="18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</row>
    <row r="395" ht="15.75" customHeight="1" s="184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</row>
    <row r="396" ht="15.75" customHeight="1" s="184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</row>
    <row r="397" ht="15.75" customHeight="1" s="184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</row>
    <row r="398" ht="15.75" customHeight="1" s="184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</row>
    <row r="399" ht="15.75" customHeight="1" s="184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</row>
    <row r="400" ht="15.75" customHeight="1" s="184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</row>
    <row r="401" ht="15.75" customHeight="1" s="184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</row>
    <row r="402" ht="15.75" customHeight="1" s="184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</row>
    <row r="403" ht="15.75" customHeight="1" s="184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</row>
    <row r="404" ht="15.75" customHeight="1" s="18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</row>
    <row r="405" ht="15.75" customHeight="1" s="184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</row>
    <row r="406" ht="15.75" customHeight="1" s="184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</row>
    <row r="407" ht="15.75" customHeight="1" s="184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</row>
    <row r="408" ht="15.75" customHeight="1" s="184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</row>
    <row r="409" ht="15.75" customHeight="1" s="184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</row>
    <row r="410" ht="15.75" customHeight="1" s="184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</row>
    <row r="411" ht="15.75" customHeight="1" s="184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</row>
    <row r="412" ht="15.75" customHeight="1" s="184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</row>
    <row r="413" ht="15.75" customHeight="1" s="184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</row>
    <row r="414" ht="15.75" customHeight="1" s="18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</row>
    <row r="415" ht="15.75" customHeight="1" s="184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</row>
    <row r="416" ht="15.75" customHeight="1" s="184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</row>
    <row r="417" ht="15.75" customHeight="1" s="184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</row>
    <row r="418" ht="15.75" customHeight="1" s="184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</row>
    <row r="419" ht="15.75" customHeight="1" s="184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</row>
    <row r="420" ht="15.75" customHeight="1" s="184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</row>
    <row r="421" ht="15.75" customHeight="1" s="184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</row>
    <row r="422" ht="15.75" customHeight="1" s="184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</row>
    <row r="423" ht="15.75" customHeight="1" s="184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</row>
    <row r="424" ht="15.75" customHeight="1" s="18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</row>
    <row r="425" ht="15.75" customHeight="1" s="184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</row>
    <row r="426" ht="15.75" customHeight="1" s="184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</row>
    <row r="427" ht="15.75" customHeight="1" s="184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</row>
    <row r="428" ht="15.75" customHeight="1" s="184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</row>
    <row r="429" ht="15.75" customHeight="1" s="184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</row>
    <row r="430" ht="15.75" customHeight="1" s="184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</row>
    <row r="431" ht="15.75" customHeight="1" s="184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</row>
    <row r="432" ht="15.75" customHeight="1" s="184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</row>
    <row r="433" ht="15.75" customHeight="1" s="184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</row>
    <row r="434" ht="15.75" customHeight="1" s="18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</row>
    <row r="435" ht="15.75" customHeight="1" s="184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</row>
    <row r="436" ht="15.75" customHeight="1" s="184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</row>
    <row r="437" ht="15.75" customHeight="1" s="184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</row>
    <row r="438" ht="15.75" customHeight="1" s="184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</row>
    <row r="439" ht="15.75" customHeight="1" s="184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</row>
    <row r="440" ht="15.75" customHeight="1" s="184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</row>
    <row r="441" ht="15.75" customHeight="1" s="184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</row>
    <row r="442" ht="15.75" customHeight="1" s="184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</row>
    <row r="443" ht="15.75" customHeight="1" s="184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</row>
    <row r="444" ht="15.75" customHeight="1" s="18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</row>
    <row r="445" ht="15.75" customHeight="1" s="184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</row>
    <row r="446" ht="15.75" customHeight="1" s="184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</row>
    <row r="447" ht="15.75" customHeight="1" s="184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</row>
    <row r="448" ht="15.75" customHeight="1" s="184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</row>
    <row r="449" ht="15.75" customHeight="1" s="184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</row>
    <row r="450" ht="15.75" customHeight="1" s="184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</row>
    <row r="451" ht="15.75" customHeight="1" s="184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</row>
    <row r="452" ht="15.75" customHeight="1" s="184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</row>
    <row r="453" ht="15.75" customHeight="1" s="184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</row>
    <row r="454" ht="15.75" customHeight="1" s="18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</row>
    <row r="455" ht="15.75" customHeight="1" s="184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</row>
    <row r="456" ht="15.75" customHeight="1" s="184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</row>
    <row r="457" ht="15.75" customHeight="1" s="184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</row>
    <row r="458" ht="15.75" customHeight="1" s="184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</row>
    <row r="459" ht="15.75" customHeight="1" s="184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</row>
    <row r="460" ht="15.75" customHeight="1" s="184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</row>
    <row r="461" ht="15.75" customHeight="1" s="184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</row>
    <row r="462" ht="15.75" customHeight="1" s="184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</row>
    <row r="463" ht="15.75" customHeight="1" s="184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</row>
    <row r="464" ht="15.75" customHeight="1" s="18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</row>
    <row r="465" ht="15.75" customHeight="1" s="184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</row>
    <row r="466" ht="15.75" customHeight="1" s="184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</row>
    <row r="467" ht="15.75" customHeight="1" s="184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</row>
    <row r="468" ht="15.75" customHeight="1" s="184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</row>
    <row r="469" ht="15.75" customHeight="1" s="184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</row>
    <row r="470" ht="15.75" customHeight="1" s="184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</row>
    <row r="471" ht="15.75" customHeight="1" s="184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</row>
    <row r="472" ht="15.75" customHeight="1" s="184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</row>
    <row r="473" ht="15.75" customHeight="1" s="184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</row>
    <row r="474" ht="15.75" customHeight="1" s="18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</row>
    <row r="475" ht="15.75" customHeight="1" s="184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</row>
    <row r="476" ht="15.75" customHeight="1" s="184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</row>
    <row r="477" ht="15.75" customHeight="1" s="184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</row>
    <row r="478" ht="15.75" customHeight="1" s="184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</row>
    <row r="479" ht="15.75" customHeight="1" s="184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</row>
    <row r="480" ht="15.75" customHeight="1" s="184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</row>
    <row r="481" ht="15.75" customHeight="1" s="184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</row>
    <row r="482" ht="15.75" customHeight="1" s="184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</row>
    <row r="483" ht="15.75" customHeight="1" s="184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</row>
    <row r="484" ht="15.75" customHeight="1" s="1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</row>
    <row r="485" ht="15.75" customHeight="1" s="184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</row>
    <row r="486" ht="15.75" customHeight="1" s="184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</row>
    <row r="487" ht="15.75" customHeight="1" s="184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</row>
    <row r="488" ht="15.75" customHeight="1" s="184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</row>
    <row r="489" ht="15.75" customHeight="1" s="184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</row>
    <row r="490" ht="15.75" customHeight="1" s="184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</row>
    <row r="491" ht="15.75" customHeight="1" s="184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</row>
    <row r="492" ht="15.75" customHeight="1" s="184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</row>
    <row r="493" ht="15.75" customHeight="1" s="184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</row>
    <row r="494" ht="15.75" customHeight="1" s="18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</row>
    <row r="495" ht="15.75" customHeight="1" s="184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</row>
    <row r="496" ht="15.75" customHeight="1" s="184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</row>
    <row r="497" ht="15.75" customHeight="1" s="184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</row>
    <row r="498" ht="15.75" customHeight="1" s="184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</row>
    <row r="499" ht="15.75" customHeight="1" s="184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</row>
    <row r="500" ht="15.75" customHeight="1" s="184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</row>
    <row r="501" ht="15.75" customHeight="1" s="184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</row>
    <row r="502" ht="15.75" customHeight="1" s="184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</row>
    <row r="503" ht="15.75" customHeight="1" s="184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</row>
    <row r="504" ht="15.75" customHeight="1" s="18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</row>
    <row r="505" ht="15.75" customHeight="1" s="184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</row>
    <row r="506" ht="15.75" customHeight="1" s="184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</row>
    <row r="507" ht="15.75" customHeight="1" s="184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</row>
    <row r="508" ht="15.75" customHeight="1" s="184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</row>
    <row r="509" ht="15.75" customHeight="1" s="184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</row>
    <row r="510" ht="15.75" customHeight="1" s="184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</row>
    <row r="511" ht="15.75" customHeight="1" s="184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</row>
    <row r="512" ht="15.75" customHeight="1" s="184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</row>
    <row r="513" ht="15.75" customHeight="1" s="184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</row>
    <row r="514" ht="15.75" customHeight="1" s="18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</row>
    <row r="515" ht="15.75" customHeight="1" s="184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</row>
    <row r="516" ht="15.75" customHeight="1" s="184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</row>
    <row r="517" ht="15.75" customHeight="1" s="184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</row>
    <row r="518" ht="15.75" customHeight="1" s="184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</row>
    <row r="519" ht="15.75" customHeight="1" s="184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</row>
    <row r="520" ht="15.75" customHeight="1" s="184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</row>
    <row r="521" ht="15.75" customHeight="1" s="184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</row>
    <row r="522" ht="15.75" customHeight="1" s="184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</row>
    <row r="523" ht="15.75" customHeight="1" s="184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</row>
    <row r="524" ht="15.75" customHeight="1" s="18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</row>
    <row r="525" ht="15.75" customHeight="1" s="184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</row>
    <row r="526" ht="15.75" customHeight="1" s="184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</row>
    <row r="527" ht="15.75" customHeight="1" s="184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</row>
    <row r="528" ht="15.75" customHeight="1" s="184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</row>
    <row r="529" ht="15.75" customHeight="1" s="184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</row>
    <row r="530" ht="15.75" customHeight="1" s="184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</row>
    <row r="531" ht="15.75" customHeight="1" s="184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</row>
    <row r="532" ht="15.75" customHeight="1" s="184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</row>
    <row r="533" ht="15.75" customHeight="1" s="184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</row>
    <row r="534" ht="15.75" customHeight="1" s="18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</row>
    <row r="535" ht="15.75" customHeight="1" s="184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</row>
    <row r="536" ht="15.75" customHeight="1" s="184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</row>
    <row r="537" ht="15.75" customHeight="1" s="184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</row>
    <row r="538" ht="15.75" customHeight="1" s="184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</row>
    <row r="539" ht="15.75" customHeight="1" s="184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</row>
    <row r="540" ht="15.75" customHeight="1" s="184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</row>
    <row r="541" ht="15.75" customHeight="1" s="184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</row>
    <row r="542" ht="15.75" customHeight="1" s="184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</row>
    <row r="543" ht="15.75" customHeight="1" s="184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</row>
    <row r="544" ht="15.75" customHeight="1" s="18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</row>
    <row r="545" ht="15.75" customHeight="1" s="184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</row>
    <row r="546" ht="15.75" customHeight="1" s="184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</row>
    <row r="547" ht="15.75" customHeight="1" s="184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</row>
    <row r="548" ht="15.75" customHeight="1" s="184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</row>
    <row r="549" ht="15.75" customHeight="1" s="184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</row>
    <row r="550" ht="15.75" customHeight="1" s="184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</row>
    <row r="551" ht="15.75" customHeight="1" s="184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</row>
    <row r="552" ht="15.75" customHeight="1" s="184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</row>
    <row r="553" ht="15.75" customHeight="1" s="184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</row>
    <row r="554" ht="15.75" customHeight="1" s="18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</row>
    <row r="555" ht="15.75" customHeight="1" s="184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</row>
    <row r="556" ht="15.75" customHeight="1" s="184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</row>
    <row r="557" ht="15.75" customHeight="1" s="184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</row>
    <row r="558" ht="15.75" customHeight="1" s="184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</row>
    <row r="559" ht="15.75" customHeight="1" s="184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</row>
    <row r="560" ht="15.75" customHeight="1" s="184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</row>
    <row r="561" ht="15.75" customHeight="1" s="184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</row>
    <row r="562" ht="15.75" customHeight="1" s="184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</row>
    <row r="563" ht="15.75" customHeight="1" s="184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</row>
    <row r="564" ht="15.75" customHeight="1" s="18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</row>
    <row r="565" ht="15.75" customHeight="1" s="184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</row>
    <row r="566" ht="15.75" customHeight="1" s="184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</row>
    <row r="567" ht="15.75" customHeight="1" s="184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</row>
    <row r="568" ht="15.75" customHeight="1" s="184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</row>
    <row r="569" ht="15.75" customHeight="1" s="184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</row>
    <row r="570" ht="15.75" customHeight="1" s="184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</row>
    <row r="571" ht="15.75" customHeight="1" s="184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</row>
    <row r="572" ht="15.75" customHeight="1" s="184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</row>
    <row r="573" ht="15.75" customHeight="1" s="184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</row>
    <row r="574" ht="15.75" customHeight="1" s="18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</row>
    <row r="575" ht="15.75" customHeight="1" s="184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</row>
    <row r="576" ht="15.75" customHeight="1" s="184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</row>
    <row r="577" ht="15.75" customHeight="1" s="184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</row>
    <row r="578" ht="15.75" customHeight="1" s="184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</row>
    <row r="579" ht="15.75" customHeight="1" s="184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</row>
    <row r="580" ht="15.75" customHeight="1" s="184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</row>
    <row r="581" ht="15.75" customHeight="1" s="184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</row>
    <row r="582" ht="15.75" customHeight="1" s="184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</row>
    <row r="583" ht="15.75" customHeight="1" s="184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</row>
    <row r="584" ht="15.75" customHeight="1" s="1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</row>
    <row r="585" ht="15.75" customHeight="1" s="184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</row>
    <row r="586" ht="15.75" customHeight="1" s="184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</row>
    <row r="587" ht="15.75" customHeight="1" s="184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</row>
    <row r="588" ht="15.75" customHeight="1" s="184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</row>
    <row r="589" ht="15.75" customHeight="1" s="184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</row>
    <row r="590" ht="15.75" customHeight="1" s="184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</row>
    <row r="591" ht="15.75" customHeight="1" s="184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</row>
    <row r="592" ht="15.75" customHeight="1" s="184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</row>
    <row r="593" ht="15.75" customHeight="1" s="184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</row>
    <row r="594" ht="15.75" customHeight="1" s="18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</row>
    <row r="595" ht="15.75" customHeight="1" s="184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</row>
    <row r="596" ht="15.75" customHeight="1" s="184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</row>
    <row r="597" ht="15.75" customHeight="1" s="184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</row>
    <row r="598" ht="15.75" customHeight="1" s="184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</row>
    <row r="599" ht="15.75" customHeight="1" s="184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</row>
    <row r="600" ht="15.75" customHeight="1" s="184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</row>
    <row r="601" ht="15.75" customHeight="1" s="184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</row>
    <row r="602" ht="15.75" customHeight="1" s="184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</row>
    <row r="603" ht="15.75" customHeight="1" s="184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</row>
    <row r="604" ht="15.75" customHeight="1" s="18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</row>
    <row r="605" ht="15.75" customHeight="1" s="184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</row>
    <row r="606" ht="15.75" customHeight="1" s="184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</row>
    <row r="607" ht="15.75" customHeight="1" s="184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</row>
    <row r="608" ht="15.75" customHeight="1" s="184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</row>
    <row r="609" ht="15.75" customHeight="1" s="184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</row>
    <row r="610" ht="15.75" customHeight="1" s="184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</row>
    <row r="611" ht="15.75" customHeight="1" s="184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</row>
    <row r="612" ht="15.75" customHeight="1" s="184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</row>
    <row r="613" ht="15.75" customHeight="1" s="184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</row>
    <row r="614" ht="15.75" customHeight="1" s="18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</row>
    <row r="615" ht="15.75" customHeight="1" s="184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</row>
    <row r="616" ht="15.75" customHeight="1" s="184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</row>
    <row r="617" ht="15.75" customHeight="1" s="184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</row>
    <row r="618" ht="15.75" customHeight="1" s="184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</row>
    <row r="619" ht="15.75" customHeight="1" s="184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</row>
    <row r="620" ht="15.75" customHeight="1" s="184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</row>
    <row r="621" ht="15.75" customHeight="1" s="184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</row>
    <row r="622" ht="15.75" customHeight="1" s="184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</row>
    <row r="623" ht="15.75" customHeight="1" s="184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</row>
    <row r="624" ht="15.75" customHeight="1" s="18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</row>
    <row r="625" ht="15.75" customHeight="1" s="184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</row>
    <row r="626" ht="15.75" customHeight="1" s="184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</row>
    <row r="627" ht="15.75" customHeight="1" s="184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</row>
    <row r="628" ht="15.75" customHeight="1" s="184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</row>
    <row r="629" ht="15.75" customHeight="1" s="184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</row>
    <row r="630" ht="15.75" customHeight="1" s="184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</row>
    <row r="631" ht="15.75" customHeight="1" s="184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</row>
    <row r="632" ht="15.75" customHeight="1" s="184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</row>
    <row r="633" ht="15.75" customHeight="1" s="184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</row>
    <row r="634" ht="15.75" customHeight="1" s="18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</row>
    <row r="635" ht="15.75" customHeight="1" s="184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</row>
    <row r="636" ht="15.75" customHeight="1" s="184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</row>
    <row r="637" ht="15.75" customHeight="1" s="184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</row>
    <row r="638" ht="15.75" customHeight="1" s="184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</row>
    <row r="639" ht="15.75" customHeight="1" s="184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</row>
    <row r="640" ht="15.75" customHeight="1" s="184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</row>
    <row r="641" ht="15.75" customHeight="1" s="184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</row>
    <row r="642" ht="15.75" customHeight="1" s="184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</row>
    <row r="643" ht="15.75" customHeight="1" s="184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</row>
    <row r="644" ht="15.75" customHeight="1" s="18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</row>
    <row r="645" ht="15.75" customHeight="1" s="184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</row>
    <row r="646" ht="15.75" customHeight="1" s="184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</row>
    <row r="647" ht="15.75" customHeight="1" s="184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</row>
    <row r="648" ht="15.75" customHeight="1" s="184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</row>
    <row r="649" ht="15.75" customHeight="1" s="184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</row>
    <row r="650" ht="15.75" customHeight="1" s="184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</row>
    <row r="651" ht="15.75" customHeight="1" s="184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</row>
    <row r="652" ht="15.75" customHeight="1" s="184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</row>
    <row r="653" ht="15.75" customHeight="1" s="184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</row>
    <row r="654" ht="15.75" customHeight="1" s="18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</row>
    <row r="655" ht="15.75" customHeight="1" s="184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</row>
    <row r="656" ht="15.75" customHeight="1" s="184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</row>
    <row r="657" ht="15.75" customHeight="1" s="184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</row>
    <row r="658" ht="15.75" customHeight="1" s="184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</row>
    <row r="659" ht="15.75" customHeight="1" s="184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</row>
    <row r="660" ht="15.75" customHeight="1" s="184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</row>
    <row r="661" ht="15.75" customHeight="1" s="184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</row>
    <row r="662" ht="15.75" customHeight="1" s="184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</row>
    <row r="663" ht="15.75" customHeight="1" s="184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</row>
    <row r="664" ht="15.75" customHeight="1" s="18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</row>
    <row r="665" ht="15.75" customHeight="1" s="184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</row>
    <row r="666" ht="15.75" customHeight="1" s="184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</row>
    <row r="667" ht="15.75" customHeight="1" s="184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</row>
    <row r="668" ht="15.75" customHeight="1" s="184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</row>
    <row r="669" ht="15.75" customHeight="1" s="184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</row>
    <row r="670" ht="15.75" customHeight="1" s="184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</row>
    <row r="671" ht="15.75" customHeight="1" s="184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</row>
    <row r="672" ht="15.75" customHeight="1" s="184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</row>
    <row r="673" ht="15.75" customHeight="1" s="184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</row>
    <row r="674" ht="15.75" customHeight="1" s="18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</row>
    <row r="675" ht="15.75" customHeight="1" s="184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</row>
    <row r="676" ht="15.75" customHeight="1" s="184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</row>
    <row r="677" ht="15.75" customHeight="1" s="184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</row>
    <row r="678" ht="15.75" customHeight="1" s="184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</row>
    <row r="679" ht="15.75" customHeight="1" s="184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</row>
    <row r="680" ht="15.75" customHeight="1" s="184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</row>
    <row r="681" ht="15.75" customHeight="1" s="184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</row>
    <row r="682" ht="15.75" customHeight="1" s="184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</row>
    <row r="683" ht="15.75" customHeight="1" s="184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</row>
    <row r="684" ht="15.75" customHeight="1" s="1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</row>
    <row r="685" ht="15.75" customHeight="1" s="184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</row>
    <row r="686" ht="15.75" customHeight="1" s="184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</row>
    <row r="687" ht="15.75" customHeight="1" s="184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</row>
    <row r="688" ht="15.75" customHeight="1" s="184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</row>
    <row r="689" ht="15.75" customHeight="1" s="184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</row>
    <row r="690" ht="15.75" customHeight="1" s="184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</row>
    <row r="691" ht="15.75" customHeight="1" s="184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</row>
    <row r="692" ht="15.75" customHeight="1" s="184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</row>
    <row r="693" ht="15.75" customHeight="1" s="184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</row>
    <row r="694" ht="15.75" customHeight="1" s="18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</row>
    <row r="695" ht="15.75" customHeight="1" s="184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</row>
    <row r="696" ht="15.75" customHeight="1" s="184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</row>
    <row r="697" ht="15.75" customHeight="1" s="184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</row>
    <row r="698" ht="15.75" customHeight="1" s="184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</row>
    <row r="699" ht="15.75" customHeight="1" s="184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</row>
    <row r="700" ht="15.75" customHeight="1" s="184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</row>
    <row r="701" ht="15.75" customHeight="1" s="184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</row>
    <row r="702" ht="15.75" customHeight="1" s="184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</row>
    <row r="703" ht="15.75" customHeight="1" s="184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</row>
    <row r="704" ht="15.75" customHeight="1" s="18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</row>
    <row r="705" ht="15.75" customHeight="1" s="184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</row>
    <row r="706" ht="15.75" customHeight="1" s="184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</row>
    <row r="707" ht="15.75" customHeight="1" s="184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</row>
    <row r="708" ht="15.75" customHeight="1" s="184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</row>
    <row r="709" ht="15.75" customHeight="1" s="184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</row>
    <row r="710" ht="15.75" customHeight="1" s="184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</row>
    <row r="711" ht="15.75" customHeight="1" s="184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</row>
    <row r="712" ht="15.75" customHeight="1" s="184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</row>
    <row r="713" ht="15.75" customHeight="1" s="184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</row>
    <row r="714" ht="15.75" customHeight="1" s="18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</row>
    <row r="715" ht="15.75" customHeight="1" s="184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</row>
    <row r="716" ht="15.75" customHeight="1" s="184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</row>
    <row r="717" ht="15.75" customHeight="1" s="184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</row>
    <row r="718" ht="15.75" customHeight="1" s="184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</row>
    <row r="719" ht="15.75" customHeight="1" s="184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</row>
    <row r="720" ht="15.75" customHeight="1" s="184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</row>
    <row r="721" ht="15.75" customHeight="1" s="184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</row>
    <row r="722" ht="15.75" customHeight="1" s="184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</row>
    <row r="723" ht="15.75" customHeight="1" s="184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</row>
    <row r="724" ht="15.75" customHeight="1" s="18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</row>
    <row r="725" ht="15.75" customHeight="1" s="184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</row>
    <row r="726" ht="15.75" customHeight="1" s="184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</row>
    <row r="727" ht="15.75" customHeight="1" s="184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</row>
    <row r="728" ht="15.75" customHeight="1" s="184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</row>
    <row r="729" ht="15.75" customHeight="1" s="184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</row>
    <row r="730" ht="15.75" customHeight="1" s="184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</row>
    <row r="731" ht="15.75" customHeight="1" s="184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</row>
    <row r="732" ht="15.75" customHeight="1" s="184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</row>
    <row r="733" ht="15.75" customHeight="1" s="184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</row>
    <row r="734" ht="15.75" customHeight="1" s="18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</row>
    <row r="735" ht="15.75" customHeight="1" s="184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</row>
    <row r="736" ht="15.75" customHeight="1" s="184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</row>
    <row r="737" ht="15.75" customHeight="1" s="184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</row>
    <row r="738" ht="15.75" customHeight="1" s="184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</row>
    <row r="739" ht="15.75" customHeight="1" s="184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</row>
    <row r="740" ht="15.75" customHeight="1" s="184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</row>
    <row r="741" ht="15.75" customHeight="1" s="184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</row>
    <row r="742" ht="15.75" customHeight="1" s="184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</row>
    <row r="743" ht="15.75" customHeight="1" s="184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</row>
    <row r="744" ht="15.75" customHeight="1" s="18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</row>
    <row r="745" ht="15.75" customHeight="1" s="184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</row>
    <row r="746" ht="15.75" customHeight="1" s="184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</row>
    <row r="747" ht="15.75" customHeight="1" s="184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</row>
    <row r="748" ht="15.75" customHeight="1" s="184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</row>
    <row r="749" ht="15.75" customHeight="1" s="184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</row>
    <row r="750" ht="15.75" customHeight="1" s="184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</row>
    <row r="751" ht="15.75" customHeight="1" s="184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</row>
    <row r="752" ht="15.75" customHeight="1" s="184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</row>
    <row r="753" ht="15.75" customHeight="1" s="184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</row>
    <row r="754" ht="15.75" customHeight="1" s="18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</row>
    <row r="755" ht="15.75" customHeight="1" s="184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</row>
    <row r="756" ht="15.75" customHeight="1" s="184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</row>
    <row r="757" ht="15.75" customHeight="1" s="184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</row>
    <row r="758" ht="15.75" customHeight="1" s="184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</row>
    <row r="759" ht="15.75" customHeight="1" s="184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</row>
    <row r="760" ht="15.75" customHeight="1" s="184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</row>
    <row r="761" ht="15.75" customHeight="1" s="184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</row>
    <row r="762" ht="15.75" customHeight="1" s="184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</row>
    <row r="763" ht="15.75" customHeight="1" s="184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</row>
    <row r="764" ht="15.75" customHeight="1" s="18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</row>
    <row r="765" ht="15.75" customHeight="1" s="184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</row>
    <row r="766" ht="15.75" customHeight="1" s="184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</row>
    <row r="767" ht="15.75" customHeight="1" s="184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</row>
    <row r="768" ht="15.75" customHeight="1" s="184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</row>
    <row r="769" ht="15.75" customHeight="1" s="184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</row>
    <row r="770" ht="15.75" customHeight="1" s="184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</row>
    <row r="771" ht="15.75" customHeight="1" s="184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</row>
    <row r="772" ht="15.75" customHeight="1" s="184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</row>
    <row r="773" ht="15.75" customHeight="1" s="184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</row>
    <row r="774" ht="15.75" customHeight="1" s="18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</row>
    <row r="775" ht="15.75" customHeight="1" s="184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</row>
    <row r="776" ht="15.75" customHeight="1" s="184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</row>
    <row r="777" ht="15.75" customHeight="1" s="184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</row>
    <row r="778" ht="15.75" customHeight="1" s="184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</row>
    <row r="779" ht="15.75" customHeight="1" s="184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</row>
    <row r="780" ht="15.75" customHeight="1" s="184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</row>
    <row r="781" ht="15.75" customHeight="1" s="184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</row>
    <row r="782" ht="15.75" customHeight="1" s="184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</row>
    <row r="783" ht="15.75" customHeight="1" s="184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</row>
    <row r="784" ht="15.75" customHeight="1" s="1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</row>
    <row r="785" ht="15.75" customHeight="1" s="184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</row>
    <row r="786" ht="15.75" customHeight="1" s="184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</row>
    <row r="787" ht="15.75" customHeight="1" s="184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</row>
    <row r="788" ht="15.75" customHeight="1" s="184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</row>
    <row r="789" ht="15.75" customHeight="1" s="184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</row>
    <row r="790" ht="15.75" customHeight="1" s="184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</row>
    <row r="791" ht="15.75" customHeight="1" s="184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</row>
    <row r="792" ht="15.75" customHeight="1" s="184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</row>
    <row r="793" ht="15.75" customHeight="1" s="184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</row>
    <row r="794" ht="15.75" customHeight="1" s="18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</row>
    <row r="795" ht="15.75" customHeight="1" s="184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</row>
    <row r="796" ht="15.75" customHeight="1" s="184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</row>
    <row r="797" ht="15.75" customHeight="1" s="184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</row>
    <row r="798" ht="15.75" customHeight="1" s="184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</row>
    <row r="799" ht="15.75" customHeight="1" s="184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</row>
    <row r="800" ht="15.75" customHeight="1" s="184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</row>
    <row r="801" ht="15.75" customHeight="1" s="184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</row>
    <row r="802" ht="15.75" customHeight="1" s="184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</row>
    <row r="803" ht="15.75" customHeight="1" s="184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</row>
    <row r="804" ht="15.75" customHeight="1" s="18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</row>
    <row r="805" ht="15.75" customHeight="1" s="184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</row>
    <row r="806" ht="15.75" customHeight="1" s="184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</row>
    <row r="807" ht="15.75" customHeight="1" s="184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</row>
    <row r="808" ht="15.75" customHeight="1" s="184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</row>
    <row r="809" ht="15.75" customHeight="1" s="184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</row>
    <row r="810" ht="15.75" customHeight="1" s="184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</row>
    <row r="811" ht="15.75" customHeight="1" s="184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</row>
    <row r="812" ht="15.75" customHeight="1" s="184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</row>
    <row r="813" ht="15.75" customHeight="1" s="184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</row>
    <row r="814" ht="15.75" customHeight="1" s="18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</row>
    <row r="815" ht="15.75" customHeight="1" s="184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</row>
    <row r="816" ht="15.75" customHeight="1" s="184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</row>
    <row r="817" ht="15.75" customHeight="1" s="184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</row>
    <row r="818" ht="15.75" customHeight="1" s="184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</row>
    <row r="819" ht="15.75" customHeight="1" s="184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</row>
    <row r="820" ht="15.75" customHeight="1" s="184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</row>
    <row r="821" ht="15.75" customHeight="1" s="184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</row>
    <row r="822" ht="15.75" customHeight="1" s="184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</row>
    <row r="823" ht="15.75" customHeight="1" s="184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</row>
    <row r="824" ht="15.75" customHeight="1" s="18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</row>
    <row r="825" ht="15.75" customHeight="1" s="184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</row>
    <row r="826" ht="15.75" customHeight="1" s="184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</row>
    <row r="827" ht="15.75" customHeight="1" s="184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</row>
    <row r="828" ht="15.75" customHeight="1" s="184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</row>
    <row r="829" ht="15.75" customHeight="1" s="184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</row>
    <row r="830" ht="15.75" customHeight="1" s="184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</row>
    <row r="831" ht="15.75" customHeight="1" s="184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</row>
    <row r="832" ht="15.75" customHeight="1" s="184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</row>
    <row r="833" ht="15.75" customHeight="1" s="184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</row>
    <row r="834" ht="15.75" customHeight="1" s="18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</row>
    <row r="835" ht="15.75" customHeight="1" s="184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</row>
    <row r="836" ht="15.75" customHeight="1" s="184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</row>
    <row r="837" ht="15.75" customHeight="1" s="184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</row>
    <row r="838" ht="15.75" customHeight="1" s="184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</row>
    <row r="839" ht="15.75" customHeight="1" s="184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</row>
    <row r="840" ht="15.75" customHeight="1" s="184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</row>
    <row r="841" ht="15.75" customHeight="1" s="184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</row>
    <row r="842" ht="15.75" customHeight="1" s="184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</row>
    <row r="843" ht="15.75" customHeight="1" s="184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</row>
    <row r="844" ht="15.75" customHeight="1" s="18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</row>
    <row r="845" ht="15.75" customHeight="1" s="184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</row>
    <row r="846" ht="15.75" customHeight="1" s="184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</row>
    <row r="847" ht="15.75" customHeight="1" s="184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</row>
    <row r="848" ht="15.75" customHeight="1" s="184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</row>
    <row r="849" ht="15.75" customHeight="1" s="184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</row>
    <row r="850" ht="15.75" customHeight="1" s="184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</row>
    <row r="851" ht="15.75" customHeight="1" s="184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</row>
    <row r="852" ht="15.75" customHeight="1" s="184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</row>
    <row r="853" ht="15.75" customHeight="1" s="184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</row>
    <row r="854" ht="15.75" customHeight="1" s="18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</row>
    <row r="855" ht="15.75" customHeight="1" s="184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</row>
    <row r="856" ht="15.75" customHeight="1" s="184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</row>
    <row r="857" ht="15.75" customHeight="1" s="184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</row>
    <row r="858" ht="15.75" customHeight="1" s="184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</row>
    <row r="859" ht="15.75" customHeight="1" s="184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</row>
    <row r="860" ht="15.75" customHeight="1" s="184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</row>
    <row r="861" ht="15.75" customHeight="1" s="184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</row>
    <row r="862" ht="15.75" customHeight="1" s="184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</row>
    <row r="863" ht="15.75" customHeight="1" s="184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</row>
    <row r="864" ht="15.75" customHeight="1" s="18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</row>
    <row r="865" ht="15.75" customHeight="1" s="184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</row>
    <row r="866" ht="15.75" customHeight="1" s="184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</row>
    <row r="867" ht="15.75" customHeight="1" s="184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</row>
    <row r="868" ht="15.75" customHeight="1" s="184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</row>
    <row r="869" ht="15.75" customHeight="1" s="184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</row>
    <row r="870" ht="15.75" customHeight="1" s="184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</row>
    <row r="871" ht="15.75" customHeight="1" s="184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</row>
    <row r="872" ht="15.75" customHeight="1" s="184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</row>
    <row r="873" ht="15.75" customHeight="1" s="184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</row>
    <row r="874" ht="15.75" customHeight="1" s="18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</row>
    <row r="875" ht="15.75" customHeight="1" s="184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</row>
    <row r="876" ht="15.75" customHeight="1" s="184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</row>
    <row r="877" ht="15.75" customHeight="1" s="184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</row>
    <row r="878" ht="15.75" customHeight="1" s="184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</row>
    <row r="879" ht="15.75" customHeight="1" s="184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</row>
    <row r="880" ht="15.75" customHeight="1" s="184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</row>
    <row r="881" ht="15.75" customHeight="1" s="184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</row>
    <row r="882" ht="15.75" customHeight="1" s="184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</row>
    <row r="883" ht="15.75" customHeight="1" s="184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</row>
    <row r="884" ht="15.75" customHeight="1" s="1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</row>
    <row r="885" ht="15.75" customHeight="1" s="184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</row>
    <row r="886" ht="15.75" customHeight="1" s="184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</row>
    <row r="887" ht="15.75" customHeight="1" s="184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</row>
    <row r="888" ht="15.75" customHeight="1" s="184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</row>
    <row r="889" ht="15.75" customHeight="1" s="184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</row>
    <row r="890" ht="15.75" customHeight="1" s="184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</row>
    <row r="891" ht="15.75" customHeight="1" s="184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</row>
    <row r="892" ht="15.75" customHeight="1" s="184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</row>
    <row r="893" ht="15.75" customHeight="1" s="184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</row>
    <row r="894" ht="15.75" customHeight="1" s="18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</row>
    <row r="895" ht="15.75" customHeight="1" s="184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</row>
    <row r="896" ht="15.75" customHeight="1" s="184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</row>
    <row r="897" ht="15.75" customHeight="1" s="184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</row>
    <row r="898" ht="15.75" customHeight="1" s="184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</row>
    <row r="899" ht="15.75" customHeight="1" s="184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</row>
    <row r="900" ht="15.75" customHeight="1" s="184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</row>
    <row r="901" ht="15.75" customHeight="1" s="184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</row>
    <row r="902" ht="15.75" customHeight="1" s="184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</row>
    <row r="903" ht="15.75" customHeight="1" s="184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</row>
    <row r="904" ht="15.75" customHeight="1" s="18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</row>
    <row r="905" ht="15.75" customHeight="1" s="184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</row>
    <row r="906" ht="15.75" customHeight="1" s="184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</row>
    <row r="907" ht="15.75" customHeight="1" s="184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</row>
    <row r="908" ht="15.75" customHeight="1" s="184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</row>
    <row r="909" ht="15.75" customHeight="1" s="184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</row>
    <row r="910" ht="15.75" customHeight="1" s="184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</row>
    <row r="911" ht="15.75" customHeight="1" s="184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</row>
    <row r="912" ht="15.75" customHeight="1" s="184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</row>
    <row r="913" ht="15.75" customHeight="1" s="184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</row>
    <row r="914" ht="15.75" customHeight="1" s="18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</row>
    <row r="915" ht="15.75" customHeight="1" s="184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</row>
    <row r="916" ht="15.75" customHeight="1" s="184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</row>
    <row r="917" ht="15.75" customHeight="1" s="184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</row>
    <row r="918" ht="15.75" customHeight="1" s="184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</row>
    <row r="919" ht="15.75" customHeight="1" s="184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</row>
    <row r="920" ht="15.75" customHeight="1" s="184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</row>
    <row r="921" ht="15.75" customHeight="1" s="184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</row>
    <row r="922" ht="15.75" customHeight="1" s="184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</row>
    <row r="923" ht="15.75" customHeight="1" s="184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</row>
    <row r="924" ht="15.75" customHeight="1" s="18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</row>
    <row r="925" ht="15.75" customHeight="1" s="184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</row>
    <row r="926" ht="15.75" customHeight="1" s="184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</row>
    <row r="927" ht="15.75" customHeight="1" s="184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</row>
    <row r="928" ht="15.75" customHeight="1" s="184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</row>
    <row r="929" ht="15.75" customHeight="1" s="184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</row>
    <row r="930" ht="15.75" customHeight="1" s="184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</row>
    <row r="931" ht="15.75" customHeight="1" s="184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</row>
    <row r="932" ht="15.75" customHeight="1" s="184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</row>
    <row r="933" ht="15.75" customHeight="1" s="184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</row>
    <row r="934" ht="15.75" customHeight="1" s="18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</row>
    <row r="935" ht="15.75" customHeight="1" s="184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</row>
    <row r="936" ht="15.75" customHeight="1" s="184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</row>
    <row r="937" ht="15.75" customHeight="1" s="184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</row>
    <row r="938" ht="15.75" customHeight="1" s="184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</row>
    <row r="939" ht="15.75" customHeight="1" s="184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</row>
    <row r="940" ht="15.75" customHeight="1" s="184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</row>
    <row r="941" ht="15.75" customHeight="1" s="184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</row>
    <row r="942" ht="15.75" customHeight="1" s="184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</row>
    <row r="943" ht="15.75" customHeight="1" s="184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</row>
    <row r="944" ht="15.75" customHeight="1" s="18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</row>
    <row r="945" ht="15.75" customHeight="1" s="184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</row>
    <row r="946" ht="15.75" customHeight="1" s="184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</row>
    <row r="947" ht="15.75" customHeight="1" s="184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</row>
    <row r="948" ht="15.75" customHeight="1" s="184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</row>
    <row r="949" ht="15.75" customHeight="1" s="184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</row>
    <row r="950" ht="15.75" customHeight="1" s="184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</row>
    <row r="951" ht="15.75" customHeight="1" s="184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</row>
    <row r="952" ht="15.75" customHeight="1" s="184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</row>
    <row r="953" ht="15.75" customHeight="1" s="184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</row>
    <row r="954" ht="15.75" customHeight="1" s="18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</row>
    <row r="955" ht="15.75" customHeight="1" s="184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</row>
    <row r="956" ht="15.75" customHeight="1" s="184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</row>
    <row r="957" ht="15.75" customHeight="1" s="184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</row>
    <row r="958" ht="15.75" customHeight="1" s="184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</row>
    <row r="959" ht="15.75" customHeight="1" s="184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</row>
    <row r="960" ht="15.75" customHeight="1" s="184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</row>
    <row r="961" ht="15.75" customHeight="1" s="184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</row>
    <row r="962" ht="15.75" customHeight="1" s="184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</row>
    <row r="963" ht="15.75" customHeight="1" s="184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</row>
    <row r="964" ht="15.75" customHeight="1" s="18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</row>
    <row r="965" ht="15.75" customHeight="1" s="184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</row>
    <row r="966" ht="15.75" customHeight="1" s="184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</row>
    <row r="967" ht="15.75" customHeight="1" s="184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</row>
    <row r="968" ht="15.75" customHeight="1" s="184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</row>
    <row r="969" ht="15.75" customHeight="1" s="184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</row>
    <row r="970" ht="15.75" customHeight="1" s="184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</row>
    <row r="971" ht="15.75" customHeight="1" s="184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</row>
    <row r="972" ht="15.75" customHeight="1" s="184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</row>
    <row r="973" ht="15.75" customHeight="1" s="184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</row>
    <row r="974" ht="15.75" customHeight="1" s="18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</row>
    <row r="975" ht="15.75" customHeight="1" s="184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</row>
    <row r="976" ht="15.75" customHeight="1" s="184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</row>
    <row r="977" ht="15.75" customHeight="1" s="184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</row>
    <row r="978" ht="15.75" customHeight="1" s="184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</row>
    <row r="979" ht="15.75" customHeight="1" s="184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</row>
    <row r="980" ht="15.75" customHeight="1" s="184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</row>
    <row r="981" ht="15.75" customHeight="1" s="184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</row>
    <row r="982" ht="15.75" customHeight="1" s="184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</row>
    <row r="983" ht="15.75" customHeight="1" s="184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</row>
    <row r="984" ht="15.75" customHeight="1" s="1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</row>
    <row r="985" ht="15.75" customHeight="1" s="184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</row>
    <row r="986" ht="15.75" customHeight="1" s="184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</row>
    <row r="987" ht="15.75" customHeight="1" s="184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</row>
    <row r="988" ht="15.75" customHeight="1" s="184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</row>
    <row r="989" ht="15.75" customHeight="1" s="184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</row>
    <row r="990" ht="15.75" customHeight="1" s="184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</row>
    <row r="991" ht="15.75" customHeight="1" s="184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</row>
    <row r="992" ht="15.75" customHeight="1" s="184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</row>
    <row r="993" ht="15.75" customHeight="1" s="184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</row>
    <row r="994" ht="15.75" customHeight="1" s="18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</row>
    <row r="995" ht="15.75" customHeight="1" s="184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</row>
    <row r="996" ht="15.75" customHeight="1" s="184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</row>
    <row r="997" ht="15.75" customHeight="1" s="184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</row>
    <row r="998" ht="15.75" customHeight="1" s="184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</row>
    <row r="999" ht="15.75" customHeight="1" s="184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</row>
    <row r="1000" ht="15.75" customHeight="1" s="184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</row>
  </sheetData>
  <autoFilter ref="$A$3:$E$998"/>
  <mergeCells count="2">
    <mergeCell ref="A1:E1"/>
    <mergeCell ref="G3:H3"/>
  </mergeCells>
  <conditionalFormatting sqref="D2">
    <cfRule type="containsText" priority="1" operator="containsText" dxfId="0" text="Crypto">
      <formula>NOT(ISERROR(SEARCH(("Crypto"),(D2))))</formula>
    </cfRule>
    <cfRule type="containsText" priority="2" operator="containsText" dxfId="1" text="Shares MF">
      <formula>NOT(ISERROR(SEARCH(("Shares MF"),(D2))))</formula>
    </cfRule>
  </conditionalFormatting>
  <conditionalFormatting sqref="A4:E998">
    <cfRule type="expression" priority="3" dxfId="2">
      <formula>$C4&lt;0</formula>
    </cfRule>
  </conditionalFormatting>
  <dataValidations count="1">
    <dataValidation sqref="D4:D198" showDropDown="0" showInputMessage="0" showErrorMessage="0" allowBlank="1" type="list">
      <formula1>SETTINGS!$D$3:$D$100</formula1>
    </dataValidation>
  </dataValidation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tabColor rgb="FF1565D8"/>
    <outlinePr summaryBelow="1" summaryRight="1"/>
    <pageSetUpPr/>
  </sheetPr>
  <dimension ref="A1:P1000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184" min="1" max="1"/>
    <col width="28" customWidth="1" style="184" min="2" max="2"/>
    <col width="15" customWidth="1" style="184" min="3" max="4"/>
    <col width="10" customWidth="1" style="184" min="5" max="5"/>
    <col width="3" customWidth="1" style="184" min="6" max="6"/>
    <col width="16" customWidth="1" style="184" min="7" max="8"/>
    <col width="3" customWidth="1" style="184" min="9" max="9"/>
    <col width="8.140000000000001" customWidth="1" style="184" min="10" max="10"/>
    <col width="21.86" customWidth="1" style="184" min="11" max="11"/>
    <col width="12.57" customWidth="1" style="184" min="12" max="12"/>
    <col width="15" customWidth="1" style="184" min="13" max="13"/>
    <col width="10" customWidth="1" style="184" min="14" max="14"/>
    <col width="8.710000000000001" customWidth="1" style="184" min="15" max="15"/>
  </cols>
  <sheetData>
    <row r="1" ht="36" customHeight="1" s="184">
      <c r="A1" s="217" t="inlineStr">
        <is>
          <t>📊 BUDGET TRACKER — Total Actuals + Category Comparison</t>
        </is>
      </c>
      <c r="B1" s="218" t="n"/>
      <c r="C1" s="218" t="n"/>
      <c r="D1" s="218" t="n"/>
      <c r="E1" s="218" t="n"/>
      <c r="F1" s="218" t="n"/>
      <c r="G1" s="218" t="n"/>
      <c r="H1" s="218" t="n"/>
      <c r="I1" s="218" t="n"/>
      <c r="J1" s="218" t="n"/>
      <c r="K1" s="218" t="n"/>
      <c r="L1" s="218" t="n"/>
      <c r="M1" s="218" t="n"/>
      <c r="N1" s="218" t="n"/>
      <c r="O1" s="218" t="n"/>
      <c r="P1" s="5" t="n"/>
    </row>
    <row r="2" ht="30" customHeight="1" s="184">
      <c r="A2" s="219" t="inlineStr">
        <is>
          <t>📈 YOUR ACTUAL SPENDING + BUDGET TARGETS</t>
        </is>
      </c>
      <c r="B2" s="218" t="n"/>
      <c r="C2" s="218" t="n"/>
      <c r="D2" s="218" t="n"/>
      <c r="E2" s="218" t="n"/>
      <c r="F2" s="218" t="n"/>
      <c r="G2" s="218" t="n"/>
      <c r="H2" s="218" t="n"/>
      <c r="I2" s="11" t="n"/>
      <c r="J2" s="219" t="inlineStr">
        <is>
          <t>🎯 COMPARISON — SELECT PERIOD &amp; COMPARE vs BUDGET</t>
        </is>
      </c>
      <c r="K2" s="218" t="n"/>
      <c r="L2" s="218" t="n"/>
      <c r="M2" s="218" t="n"/>
      <c r="N2" s="218" t="n"/>
      <c r="O2" s="218" t="n"/>
      <c r="P2" s="5" t="n"/>
    </row>
    <row r="3" ht="21.75" customHeight="1" s="184">
      <c r="A3" s="11" t="n"/>
      <c r="C3" s="11" t="n"/>
      <c r="D3" s="11" t="n"/>
      <c r="F3" s="11" t="n"/>
      <c r="G3" s="11" t="n"/>
      <c r="H3" s="11" t="n"/>
      <c r="I3" s="11" t="n"/>
      <c r="J3" s="88" t="inlineStr">
        <is>
          <t>Start Date:</t>
        </is>
      </c>
      <c r="K3" s="89" t="n">
        <v>45809</v>
      </c>
      <c r="L3" s="88" t="inlineStr">
        <is>
          <t>End Date:</t>
        </is>
      </c>
      <c r="M3" s="89" t="n">
        <v>45833</v>
      </c>
      <c r="N3" s="90" t="n"/>
      <c r="O3" s="90" t="n"/>
      <c r="P3" s="5" t="n"/>
    </row>
    <row r="4" ht="21.75" customHeight="1" s="184">
      <c r="A4" s="91" t="inlineStr">
        <is>
          <t>#</t>
        </is>
      </c>
      <c r="B4" s="93" t="inlineStr">
        <is>
          <t>Expense Category</t>
        </is>
      </c>
      <c r="C4" s="94" t="inlineStr">
        <is>
          <t>Monthly Average</t>
        </is>
      </c>
      <c r="D4" s="94" t="inlineStr">
        <is>
          <t>Total — All Time</t>
        </is>
      </c>
      <c r="E4" s="95" t="inlineStr">
        <is>
          <t>% of Total</t>
        </is>
      </c>
      <c r="F4" s="11" t="n"/>
      <c r="G4" s="95" t="inlineStr">
        <is>
          <t>Monthly Budget Rs</t>
        </is>
      </c>
      <c r="H4" s="95" t="inlineStr">
        <is>
          <t>Implied Annual Rs</t>
        </is>
      </c>
      <c r="I4" s="11" t="n"/>
      <c r="J4" s="93" t="inlineStr">
        <is>
          <t>#</t>
        </is>
      </c>
      <c r="K4" s="93" t="inlineStr">
        <is>
          <t>Expense Category</t>
        </is>
      </c>
      <c r="L4" s="93" t="inlineStr">
        <is>
          <t>Actual Expenses</t>
        </is>
      </c>
      <c r="M4" s="93" t="inlineStr">
        <is>
          <t>Budget Target</t>
        </is>
      </c>
      <c r="N4" s="93" t="inlineStr">
        <is>
          <t>Variance (₹)</t>
        </is>
      </c>
      <c r="O4" s="93" t="inlineStr">
        <is>
          <t>Variance (%)</t>
        </is>
      </c>
      <c r="P4" s="5" t="n"/>
    </row>
    <row r="5" ht="18" customHeight="1" s="184">
      <c r="A5" s="96" t="n">
        <v>1</v>
      </c>
      <c r="B5" s="97">
        <f>SETTINGS!A3</f>
        <v/>
      </c>
      <c r="C5" s="98">
        <f>IFERROR(SUMPRODUCT((EXPENSES!E$4:E$1999=B5)*EXPENSES!D$4:D$1999)/MAX(COUNTIF(EXPENSES!D$4:D$1999,"&gt;0"),1),0)</f>
        <v/>
      </c>
      <c r="D5" s="98">
        <f>IFERROR(SUMPRODUCT((EXPENSES!E$4:E$1999=B5)*EXPENSES!D$4:D$1999),0)</f>
        <v/>
      </c>
      <c r="E5" s="99">
        <f>IFERROR(D5/SUM(D$5:D$34),0)</f>
        <v/>
      </c>
      <c r="F5" s="11" t="n"/>
      <c r="G5" s="100" t="n">
        <v>0</v>
      </c>
      <c r="H5" s="101">
        <f>G5*12</f>
        <v/>
      </c>
      <c r="I5" s="11" t="n"/>
      <c r="J5" s="96" t="n">
        <v>1</v>
      </c>
      <c r="K5" s="97">
        <f>SETTINGS!A3</f>
        <v/>
      </c>
      <c r="L5" s="98">
        <f>IFERROR(SUMPRODUCT((EXPENSES!A$4:A$1999&gt;=$K$3)*(EXPENSES!A$4:A$1999&lt;=$M$3)*(EXPENSES!E$4:E$1999=K5)*EXPENSES!D$4:D$1999),0)</f>
        <v/>
      </c>
      <c r="M5" s="102">
        <f>H5/12</f>
        <v/>
      </c>
      <c r="N5" s="98">
        <f>L5-M5</f>
        <v/>
      </c>
      <c r="O5" s="103">
        <f>IFERROR(N5/M5,0)</f>
        <v/>
      </c>
      <c r="P5" s="5" t="n"/>
    </row>
    <row r="6" ht="18" customHeight="1" s="184">
      <c r="A6" s="96" t="n">
        <v>2</v>
      </c>
      <c r="B6" s="97">
        <f>SETTINGS!A4</f>
        <v/>
      </c>
      <c r="C6" s="98">
        <f>IFERROR(SUMPRODUCT((EXPENSES!E$4:E$1999=B6)*EXPENSES!D$4:D$1999)/MAX(COUNTIF(EXPENSES!D$4:D$1999,"&gt;0"),1),0)</f>
        <v/>
      </c>
      <c r="D6" s="98">
        <f>IFERROR(SUMPRODUCT((EXPENSES!E$4:E$1999=B6)*EXPENSES!D$4:D$1999),0)</f>
        <v/>
      </c>
      <c r="E6" s="99">
        <f>IFERROR(D6/SUM(D$5:D$34),0)</f>
        <v/>
      </c>
      <c r="F6" s="11" t="n"/>
      <c r="G6" s="100" t="n">
        <v>0</v>
      </c>
      <c r="H6" s="101">
        <f>G6*12</f>
        <v/>
      </c>
      <c r="I6" s="11" t="n"/>
      <c r="J6" s="96" t="n">
        <v>2</v>
      </c>
      <c r="K6" s="97">
        <f>SETTINGS!A4</f>
        <v/>
      </c>
      <c r="L6" s="98">
        <f>IFERROR(SUMPRODUCT((EXPENSES!A$4:A$1999&gt;=$K$3)*(EXPENSES!A$4:A$1999&lt;=$M$3)*(EXPENSES!E$4:E$1999=K6)*EXPENSES!D$4:D$1999),0)</f>
        <v/>
      </c>
      <c r="M6" s="102">
        <f>H6/12</f>
        <v/>
      </c>
      <c r="N6" s="98">
        <f>L6-M6</f>
        <v/>
      </c>
      <c r="O6" s="103">
        <f>IFERROR(N6/M6,0)</f>
        <v/>
      </c>
      <c r="P6" s="5" t="n"/>
    </row>
    <row r="7" ht="15" customHeight="1" s="184">
      <c r="A7" s="96" t="n">
        <v>3</v>
      </c>
      <c r="B7" s="97">
        <f>SETTINGS!A5</f>
        <v/>
      </c>
      <c r="C7" s="98">
        <f>IFERROR(SUMPRODUCT((EXPENSES!E$4:E$1999=B7)*EXPENSES!D$4:D$1999)/MAX(COUNTIF(EXPENSES!D$4:D$1999,"&gt;0"),1),0)</f>
        <v/>
      </c>
      <c r="D7" s="98">
        <f>IFERROR(SUMPRODUCT((EXPENSES!E$4:E$1999=B7)*EXPENSES!D$4:D$1999),0)</f>
        <v/>
      </c>
      <c r="E7" s="99">
        <f>IFERROR(D7/SUM(D$5:D$34),0)</f>
        <v/>
      </c>
      <c r="F7" s="11" t="n"/>
      <c r="G7" s="100" t="n">
        <v>0</v>
      </c>
      <c r="H7" s="101">
        <f>G7*12</f>
        <v/>
      </c>
      <c r="I7" s="11" t="n"/>
      <c r="J7" s="96" t="n">
        <v>3</v>
      </c>
      <c r="K7" s="97">
        <f>SETTINGS!A5</f>
        <v/>
      </c>
      <c r="L7" s="98">
        <f>IFERROR(SUMPRODUCT((EXPENSES!A$4:A$1999&gt;=$K$3)*(EXPENSES!A$4:A$1999&lt;=$M$3)*(EXPENSES!E$4:E$1999=K7)*EXPENSES!D$4:D$1999),0)</f>
        <v/>
      </c>
      <c r="M7" s="102">
        <f>H7/12</f>
        <v/>
      </c>
      <c r="N7" s="98">
        <f>L7-M7</f>
        <v/>
      </c>
      <c r="O7" s="103">
        <f>IFERROR(N7/M7,0)</f>
        <v/>
      </c>
      <c r="P7" s="5" t="n"/>
    </row>
    <row r="8" ht="18" customHeight="1" s="184">
      <c r="A8" s="96" t="n">
        <v>4</v>
      </c>
      <c r="B8" s="97">
        <f>SETTINGS!A6</f>
        <v/>
      </c>
      <c r="C8" s="98">
        <f>IFERROR(SUMPRODUCT((EXPENSES!E$4:E$1999=B8)*EXPENSES!D$4:D$1999)/MAX(COUNTIF(EXPENSES!D$4:D$1999,"&gt;0"),1),0)</f>
        <v/>
      </c>
      <c r="D8" s="98">
        <f>IFERROR(SUMPRODUCT((EXPENSES!E$4:E$1999=B8)*EXPENSES!D$4:D$1999),0)</f>
        <v/>
      </c>
      <c r="E8" s="99">
        <f>IFERROR(D8/SUM(D$5:D$34),0)</f>
        <v/>
      </c>
      <c r="F8" s="11" t="n"/>
      <c r="G8" s="100" t="n">
        <v>0</v>
      </c>
      <c r="H8" s="101">
        <f>G8*12</f>
        <v/>
      </c>
      <c r="I8" s="11" t="n"/>
      <c r="J8" s="96" t="n">
        <v>4</v>
      </c>
      <c r="K8" s="97">
        <f>SETTINGS!A6</f>
        <v/>
      </c>
      <c r="L8" s="98">
        <f>IFERROR(SUMPRODUCT((EXPENSES!A$4:A$1999&gt;=$K$3)*(EXPENSES!A$4:A$1999&lt;=$M$3)*(EXPENSES!E$4:E$1999=K8)*EXPENSES!D$4:D$1999),0)</f>
        <v/>
      </c>
      <c r="M8" s="102">
        <f>H8/12</f>
        <v/>
      </c>
      <c r="N8" s="98">
        <f>L8-M8</f>
        <v/>
      </c>
      <c r="O8" s="103">
        <f>IFERROR(N8/M8,0)</f>
        <v/>
      </c>
      <c r="P8" s="5" t="n"/>
    </row>
    <row r="9" ht="18" customHeight="1" s="184">
      <c r="A9" s="96" t="n">
        <v>5</v>
      </c>
      <c r="B9" s="97">
        <f>SETTINGS!A7</f>
        <v/>
      </c>
      <c r="C9" s="98">
        <f>IFERROR(SUMPRODUCT((EXPENSES!E$4:E$1999=B9)*EXPENSES!D$4:D$1999)/MAX(COUNTIF(EXPENSES!D$4:D$1999,"&gt;0"),1),0)</f>
        <v/>
      </c>
      <c r="D9" s="98">
        <f>IFERROR(SUMPRODUCT((EXPENSES!E$4:E$1999=B9)*EXPENSES!D$4:D$1999),0)</f>
        <v/>
      </c>
      <c r="E9" s="99">
        <f>IFERROR(D9/SUM(D$5:D$34),0)</f>
        <v/>
      </c>
      <c r="F9" s="11" t="n"/>
      <c r="G9" s="100" t="n">
        <v>0</v>
      </c>
      <c r="H9" s="101">
        <f>G9*12</f>
        <v/>
      </c>
      <c r="I9" s="11" t="n"/>
      <c r="J9" s="96" t="n">
        <v>5</v>
      </c>
      <c r="K9" s="97">
        <f>SETTINGS!A7</f>
        <v/>
      </c>
      <c r="L9" s="98">
        <f>IFERROR(SUMPRODUCT((EXPENSES!A$4:A$1999&gt;=$K$3)*(EXPENSES!A$4:A$1999&lt;=$M$3)*(EXPENSES!E$4:E$1999=K9)*EXPENSES!D$4:D$1999),0)</f>
        <v/>
      </c>
      <c r="M9" s="102">
        <f>H9/12</f>
        <v/>
      </c>
      <c r="N9" s="98">
        <f>L9-M9</f>
        <v/>
      </c>
      <c r="O9" s="103">
        <f>IFERROR(N9/M9,0)</f>
        <v/>
      </c>
      <c r="P9" s="5" t="n"/>
    </row>
    <row r="10" ht="18" customHeight="1" s="184">
      <c r="A10" s="96" t="n">
        <v>6</v>
      </c>
      <c r="B10" s="97">
        <f>SETTINGS!A8</f>
        <v/>
      </c>
      <c r="C10" s="98">
        <f>IFERROR(SUMPRODUCT((EXPENSES!E$4:E$1999=B10)*EXPENSES!D$4:D$1999)/MAX(COUNTIF(EXPENSES!D$4:D$1999,"&gt;0"),1),0)</f>
        <v/>
      </c>
      <c r="D10" s="98">
        <f>IFERROR(SUMPRODUCT((EXPENSES!E$4:E$1999=B10)*EXPENSES!D$4:D$1999),0)</f>
        <v/>
      </c>
      <c r="E10" s="99">
        <f>IFERROR(D10/SUM(D$5:D$34),0)</f>
        <v/>
      </c>
      <c r="F10" s="11" t="n"/>
      <c r="G10" s="100" t="n">
        <v>0</v>
      </c>
      <c r="H10" s="101">
        <f>G10*12</f>
        <v/>
      </c>
      <c r="I10" s="11" t="n"/>
      <c r="J10" s="96" t="n">
        <v>6</v>
      </c>
      <c r="K10" s="97">
        <f>SETTINGS!A8</f>
        <v/>
      </c>
      <c r="L10" s="98">
        <f>IFERROR(SUMPRODUCT((EXPENSES!A$4:A$1999&gt;=$K$3)*(EXPENSES!A$4:A$1999&lt;=$M$3)*(EXPENSES!E$4:E$1999=K10)*EXPENSES!D$4:D$1999),0)</f>
        <v/>
      </c>
      <c r="M10" s="102">
        <f>H10/12</f>
        <v/>
      </c>
      <c r="N10" s="98">
        <f>L10-M10</f>
        <v/>
      </c>
      <c r="O10" s="103">
        <f>IFERROR(N10/M10,0)</f>
        <v/>
      </c>
      <c r="P10" s="5" t="n"/>
    </row>
    <row r="11" ht="18" customHeight="1" s="184">
      <c r="A11" s="96" t="n">
        <v>7</v>
      </c>
      <c r="B11" s="97">
        <f>SETTINGS!A9</f>
        <v/>
      </c>
      <c r="C11" s="98">
        <f>IFERROR(SUMPRODUCT((EXPENSES!E$4:E$1999=B11)*EXPENSES!D$4:D$1999)/MAX(COUNTIF(EXPENSES!D$4:D$1999,"&gt;0"),1),0)</f>
        <v/>
      </c>
      <c r="D11" s="98">
        <f>IFERROR(SUMPRODUCT((EXPENSES!E$4:E$1999=B11)*EXPENSES!D$4:D$1999),0)</f>
        <v/>
      </c>
      <c r="E11" s="99">
        <f>IFERROR(D11/SUM(D$5:D$34),0)</f>
        <v/>
      </c>
      <c r="F11" s="11" t="n"/>
      <c r="G11" s="100" t="n">
        <v>0</v>
      </c>
      <c r="H11" s="101">
        <f>G11*12</f>
        <v/>
      </c>
      <c r="I11" s="11" t="n"/>
      <c r="J11" s="96" t="n">
        <v>7</v>
      </c>
      <c r="K11" s="97">
        <f>SETTINGS!A9</f>
        <v/>
      </c>
      <c r="L11" s="98">
        <f>IFERROR(SUMPRODUCT((EXPENSES!A$4:A$1999&gt;=$K$3)*(EXPENSES!A$4:A$1999&lt;=$M$3)*(EXPENSES!E$4:E$1999=K11)*EXPENSES!D$4:D$1999),0)</f>
        <v/>
      </c>
      <c r="M11" s="102">
        <f>H11/12</f>
        <v/>
      </c>
      <c r="N11" s="98">
        <f>L11-M11</f>
        <v/>
      </c>
      <c r="O11" s="103">
        <f>IFERROR(N11/M11,0)</f>
        <v/>
      </c>
      <c r="P11" s="5" t="n"/>
    </row>
    <row r="12" ht="18" customHeight="1" s="184">
      <c r="A12" s="96" t="n">
        <v>8</v>
      </c>
      <c r="B12" s="97">
        <f>SETTINGS!A10</f>
        <v/>
      </c>
      <c r="C12" s="98">
        <f>IFERROR(SUMPRODUCT((EXPENSES!E$4:E$1999=B12)*EXPENSES!D$4:D$1999)/MAX(COUNTIF(EXPENSES!D$4:D$1999,"&gt;0"),1),0)</f>
        <v/>
      </c>
      <c r="D12" s="98">
        <f>IFERROR(SUMPRODUCT((EXPENSES!E$4:E$1999=B12)*EXPENSES!D$4:D$1999),0)</f>
        <v/>
      </c>
      <c r="E12" s="99">
        <f>IFERROR(D12/SUM(D$5:D$34),0)</f>
        <v/>
      </c>
      <c r="F12" s="11" t="n"/>
      <c r="G12" s="100" t="n">
        <v>0</v>
      </c>
      <c r="H12" s="101">
        <f>G12*12</f>
        <v/>
      </c>
      <c r="I12" s="11" t="n"/>
      <c r="J12" s="96" t="n">
        <v>8</v>
      </c>
      <c r="K12" s="97">
        <f>SETTINGS!A10</f>
        <v/>
      </c>
      <c r="L12" s="98">
        <f>IFERROR(SUMPRODUCT((EXPENSES!A$4:A$1999&gt;=$K$3)*(EXPENSES!A$4:A$1999&lt;=$M$3)*(EXPENSES!E$4:E$1999=K12)*EXPENSES!D$4:D$1999),0)</f>
        <v/>
      </c>
      <c r="M12" s="102">
        <f>H12/12</f>
        <v/>
      </c>
      <c r="N12" s="98">
        <f>L12-M12</f>
        <v/>
      </c>
      <c r="O12" s="103">
        <f>IFERROR(N12/M12,0)</f>
        <v/>
      </c>
      <c r="P12" s="5" t="n"/>
    </row>
    <row r="13" ht="18" customHeight="1" s="184">
      <c r="A13" s="96" t="n">
        <v>9</v>
      </c>
      <c r="B13" s="97">
        <f>SETTINGS!A11</f>
        <v/>
      </c>
      <c r="C13" s="98">
        <f>IFERROR(SUMPRODUCT((EXPENSES!E$4:E$1999=B13)*EXPENSES!D$4:D$1999)/MAX(COUNTIF(EXPENSES!D$4:D$1999,"&gt;0"),1),0)</f>
        <v/>
      </c>
      <c r="D13" s="98">
        <f>IFERROR(SUMPRODUCT((EXPENSES!E$4:E$1999=B13)*EXPENSES!D$4:D$1999),0)</f>
        <v/>
      </c>
      <c r="E13" s="99">
        <f>IFERROR(D13/SUM(D$5:D$34),0)</f>
        <v/>
      </c>
      <c r="F13" s="11" t="n"/>
      <c r="G13" s="100" t="n">
        <v>0</v>
      </c>
      <c r="H13" s="101">
        <f>G13*12</f>
        <v/>
      </c>
      <c r="I13" s="11" t="n"/>
      <c r="J13" s="96" t="n">
        <v>9</v>
      </c>
      <c r="K13" s="97">
        <f>SETTINGS!A11</f>
        <v/>
      </c>
      <c r="L13" s="98">
        <f>IFERROR(SUMPRODUCT((EXPENSES!A$4:A$1999&gt;=$K$3)*(EXPENSES!A$4:A$1999&lt;=$M$3)*(EXPENSES!E$4:E$1999=K13)*EXPENSES!D$4:D$1999),0)</f>
        <v/>
      </c>
      <c r="M13" s="102">
        <f>H13/12</f>
        <v/>
      </c>
      <c r="N13" s="98">
        <f>L13-M13</f>
        <v/>
      </c>
      <c r="O13" s="103">
        <f>IFERROR(N13/M13,0)</f>
        <v/>
      </c>
      <c r="P13" s="5" t="n"/>
    </row>
    <row r="14" ht="18" customHeight="1" s="184">
      <c r="A14" s="96" t="n">
        <v>10</v>
      </c>
      <c r="B14" s="97">
        <f>SETTINGS!A12</f>
        <v/>
      </c>
      <c r="C14" s="98">
        <f>IFERROR(SUMPRODUCT((EXPENSES!E$4:E$1999=B14)*EXPENSES!D$4:D$1999)/MAX(COUNTIF(EXPENSES!D$4:D$1999,"&gt;0"),1),0)</f>
        <v/>
      </c>
      <c r="D14" s="98">
        <f>IFERROR(SUMPRODUCT((EXPENSES!E$4:E$1999=B14)*EXPENSES!D$4:D$1999),0)</f>
        <v/>
      </c>
      <c r="E14" s="99">
        <f>IFERROR(D14/SUM(D$5:D$34),0)</f>
        <v/>
      </c>
      <c r="F14" s="11" t="n"/>
      <c r="G14" s="100" t="n">
        <v>0</v>
      </c>
      <c r="H14" s="101">
        <f>G14*12</f>
        <v/>
      </c>
      <c r="I14" s="11" t="n"/>
      <c r="J14" s="96" t="n">
        <v>10</v>
      </c>
      <c r="K14" s="97">
        <f>SETTINGS!A12</f>
        <v/>
      </c>
      <c r="L14" s="98">
        <f>IFERROR(SUMPRODUCT((EXPENSES!A$4:A$1999&gt;=$K$3)*(EXPENSES!A$4:A$1999&lt;=$M$3)*(EXPENSES!E$4:E$1999=K14)*EXPENSES!D$4:D$1999),0)</f>
        <v/>
      </c>
      <c r="M14" s="102">
        <f>H14/12</f>
        <v/>
      </c>
      <c r="N14" s="98">
        <f>L14-M14</f>
        <v/>
      </c>
      <c r="O14" s="103">
        <f>IFERROR(N14/M14,0)</f>
        <v/>
      </c>
      <c r="P14" s="5" t="n"/>
    </row>
    <row r="15" ht="18" customHeight="1" s="184">
      <c r="A15" s="96" t="n">
        <v>11</v>
      </c>
      <c r="B15" s="97">
        <f>SETTINGS!A13</f>
        <v/>
      </c>
      <c r="C15" s="98">
        <f>IFERROR(SUMPRODUCT((EXPENSES!E$4:E$1999=B15)*EXPENSES!D$4:D$1999)/MAX(COUNTIF(EXPENSES!D$4:D$1999,"&gt;0"),1),0)</f>
        <v/>
      </c>
      <c r="D15" s="98">
        <f>IFERROR(SUMPRODUCT((EXPENSES!E$4:E$1999=B15)*EXPENSES!D$4:D$1999),0)</f>
        <v/>
      </c>
      <c r="E15" s="99">
        <f>IFERROR(D15/SUM(D$5:D$34),0)</f>
        <v/>
      </c>
      <c r="F15" s="11" t="n"/>
      <c r="G15" s="100" t="n">
        <v>0</v>
      </c>
      <c r="H15" s="101">
        <f>G15*12</f>
        <v/>
      </c>
      <c r="I15" s="11" t="n"/>
      <c r="J15" s="96" t="n">
        <v>11</v>
      </c>
      <c r="K15" s="97">
        <f>SETTINGS!A13</f>
        <v/>
      </c>
      <c r="L15" s="98">
        <f>IFERROR(SUMPRODUCT((EXPENSES!A$4:A$1999&gt;=$K$3)*(EXPENSES!A$4:A$1999&lt;=$M$3)*(EXPENSES!E$4:E$1999=K15)*EXPENSES!D$4:D$1999),0)</f>
        <v/>
      </c>
      <c r="M15" s="102">
        <f>H15/12</f>
        <v/>
      </c>
      <c r="N15" s="98">
        <f>L15-M15</f>
        <v/>
      </c>
      <c r="O15" s="103">
        <f>IFERROR(N15/M15,0)</f>
        <v/>
      </c>
      <c r="P15" s="5" t="n"/>
    </row>
    <row r="16" ht="18" customHeight="1" s="184">
      <c r="A16" s="96" t="n">
        <v>12</v>
      </c>
      <c r="B16" s="97">
        <f>SETTINGS!A14</f>
        <v/>
      </c>
      <c r="C16" s="98">
        <f>IFERROR(SUMPRODUCT((EXPENSES!E$4:E$1999=B16)*EXPENSES!D$4:D$1999)/MAX(COUNTIF(EXPENSES!D$4:D$1999,"&gt;0"),1),0)</f>
        <v/>
      </c>
      <c r="D16" s="98">
        <f>IFERROR(SUMPRODUCT((EXPENSES!E$4:E$1999=B16)*EXPENSES!D$4:D$1999),0)</f>
        <v/>
      </c>
      <c r="E16" s="99">
        <f>IFERROR(D16/SUM(D$5:D$34),0)</f>
        <v/>
      </c>
      <c r="F16" s="11" t="n"/>
      <c r="G16" s="100" t="n">
        <v>0</v>
      </c>
      <c r="H16" s="101">
        <f>G16*12</f>
        <v/>
      </c>
      <c r="I16" s="11" t="n"/>
      <c r="J16" s="96" t="n">
        <v>12</v>
      </c>
      <c r="K16" s="97">
        <f>SETTINGS!A14</f>
        <v/>
      </c>
      <c r="L16" s="98">
        <f>IFERROR(SUMPRODUCT((EXPENSES!A$4:A$1999&gt;=$K$3)*(EXPENSES!A$4:A$1999&lt;=$M$3)*(EXPENSES!E$4:E$1999=K16)*EXPENSES!D$4:D$1999),0)</f>
        <v/>
      </c>
      <c r="M16" s="102">
        <f>H16/12</f>
        <v/>
      </c>
      <c r="N16" s="98">
        <f>L16-M16</f>
        <v/>
      </c>
      <c r="O16" s="103">
        <f>IFERROR(N16/M16,0)</f>
        <v/>
      </c>
      <c r="P16" s="5" t="n"/>
    </row>
    <row r="17" ht="18" customHeight="1" s="184">
      <c r="A17" s="96" t="n">
        <v>13</v>
      </c>
      <c r="B17" s="97">
        <f>SETTINGS!A15</f>
        <v/>
      </c>
      <c r="C17" s="98">
        <f>IFERROR(SUMPRODUCT((EXPENSES!E$4:E$1999=B17)*EXPENSES!D$4:D$1999)/MAX(COUNTIF(EXPENSES!D$4:D$1999,"&gt;0"),1),0)</f>
        <v/>
      </c>
      <c r="D17" s="98">
        <f>IFERROR(SUMPRODUCT((EXPENSES!E$4:E$1999=B17)*EXPENSES!D$4:D$1999),0)</f>
        <v/>
      </c>
      <c r="E17" s="99">
        <f>IFERROR(D17/SUM(D$5:D$34),0)</f>
        <v/>
      </c>
      <c r="F17" s="11" t="n"/>
      <c r="G17" s="100" t="n">
        <v>0</v>
      </c>
      <c r="H17" s="101">
        <f>G17*12</f>
        <v/>
      </c>
      <c r="I17" s="11" t="n"/>
      <c r="J17" s="96" t="n">
        <v>13</v>
      </c>
      <c r="K17" s="97">
        <f>SETTINGS!A15</f>
        <v/>
      </c>
      <c r="L17" s="98">
        <f>IFERROR(SUMPRODUCT((EXPENSES!A$4:A$1999&gt;=$K$3)*(EXPENSES!A$4:A$1999&lt;=$M$3)*(EXPENSES!E$4:E$1999=K17)*EXPENSES!D$4:D$1999),0)</f>
        <v/>
      </c>
      <c r="M17" s="102">
        <f>H17/12</f>
        <v/>
      </c>
      <c r="N17" s="98">
        <f>L17-M17</f>
        <v/>
      </c>
      <c r="O17" s="103">
        <f>IFERROR(N17/M17,0)</f>
        <v/>
      </c>
      <c r="P17" s="5" t="n"/>
    </row>
    <row r="18" ht="18" customHeight="1" s="184">
      <c r="A18" s="96" t="n">
        <v>14</v>
      </c>
      <c r="B18" s="97">
        <f>SETTINGS!A16</f>
        <v/>
      </c>
      <c r="C18" s="98">
        <f>IFERROR(SUMPRODUCT((EXPENSES!E$4:E$1999=B18)*EXPENSES!D$4:D$1999)/MAX(COUNTIF(EXPENSES!D$4:D$1999,"&gt;0"),1),0)</f>
        <v/>
      </c>
      <c r="D18" s="98">
        <f>IFERROR(SUMPRODUCT((EXPENSES!E$4:E$1999=B18)*EXPENSES!D$4:D$1999),0)</f>
        <v/>
      </c>
      <c r="E18" s="99">
        <f>IFERROR(D18/SUM(D$5:D$34),0)</f>
        <v/>
      </c>
      <c r="F18" s="11" t="n"/>
      <c r="G18" s="100" t="n">
        <v>0</v>
      </c>
      <c r="H18" s="101">
        <f>G18*12</f>
        <v/>
      </c>
      <c r="I18" s="11" t="n"/>
      <c r="J18" s="96" t="n">
        <v>14</v>
      </c>
      <c r="K18" s="97">
        <f>SETTINGS!A16</f>
        <v/>
      </c>
      <c r="L18" s="98">
        <f>IFERROR(SUMPRODUCT((EXPENSES!A$4:A$1999&gt;=$K$3)*(EXPENSES!A$4:A$1999&lt;=$M$3)*(EXPENSES!E$4:E$1999=K18)*EXPENSES!D$4:D$1999),0)</f>
        <v/>
      </c>
      <c r="M18" s="102">
        <f>H18/12</f>
        <v/>
      </c>
      <c r="N18" s="98">
        <f>L18-M18</f>
        <v/>
      </c>
      <c r="O18" s="103">
        <f>IFERROR(N18/M18,0)</f>
        <v/>
      </c>
      <c r="P18" s="5" t="n"/>
    </row>
    <row r="19" ht="18" customHeight="1" s="184">
      <c r="A19" s="96" t="n">
        <v>15</v>
      </c>
      <c r="B19" s="97">
        <f>SETTINGS!A17</f>
        <v/>
      </c>
      <c r="C19" s="98">
        <f>IFERROR(SUMPRODUCT((EXPENSES!E$4:E$1999=B19)*EXPENSES!D$4:D$1999)/MAX(COUNTIF(EXPENSES!D$4:D$1999,"&gt;0"),1),0)</f>
        <v/>
      </c>
      <c r="D19" s="98">
        <f>IFERROR(SUMPRODUCT((EXPENSES!E$4:E$1999=B19)*EXPENSES!D$4:D$1999),0)</f>
        <v/>
      </c>
      <c r="E19" s="99">
        <f>IFERROR(D19/SUM(D$5:D$34),0)</f>
        <v/>
      </c>
      <c r="F19" s="11" t="n"/>
      <c r="G19" s="100" t="n">
        <v>0</v>
      </c>
      <c r="H19" s="101">
        <f>G19*12</f>
        <v/>
      </c>
      <c r="I19" s="11" t="n"/>
      <c r="J19" s="96" t="n">
        <v>15</v>
      </c>
      <c r="K19" s="97">
        <f>SETTINGS!A17</f>
        <v/>
      </c>
      <c r="L19" s="98">
        <f>IFERROR(SUMPRODUCT((EXPENSES!A$4:A$1999&gt;=$K$3)*(EXPENSES!A$4:A$1999&lt;=$M$3)*(EXPENSES!E$4:E$1999=K19)*EXPENSES!D$4:D$1999),0)</f>
        <v/>
      </c>
      <c r="M19" s="102">
        <f>H19/12</f>
        <v/>
      </c>
      <c r="N19" s="98">
        <f>L19-M19</f>
        <v/>
      </c>
      <c r="O19" s="103">
        <f>IFERROR(N19/M19,0)</f>
        <v/>
      </c>
      <c r="P19" s="5" t="n"/>
    </row>
    <row r="20" ht="18" customHeight="1" s="184">
      <c r="A20" s="96" t="n">
        <v>16</v>
      </c>
      <c r="B20" s="97">
        <f>SETTINGS!A18</f>
        <v/>
      </c>
      <c r="C20" s="98">
        <f>IFERROR(SUMPRODUCT((EXPENSES!E$4:E$1999=B20)*EXPENSES!D$4:D$1999)/MAX(COUNTIF(EXPENSES!D$4:D$1999,"&gt;0"),1),0)</f>
        <v/>
      </c>
      <c r="D20" s="98">
        <f>IFERROR(SUMPRODUCT((EXPENSES!E$4:E$1999=B20)*EXPENSES!D$4:D$1999),0)</f>
        <v/>
      </c>
      <c r="E20" s="99">
        <f>IFERROR(D20/SUM(D$5:D$34),0)</f>
        <v/>
      </c>
      <c r="F20" s="11" t="n"/>
      <c r="G20" s="100" t="n">
        <v>0</v>
      </c>
      <c r="H20" s="101">
        <f>G20*12</f>
        <v/>
      </c>
      <c r="I20" s="11" t="n"/>
      <c r="J20" s="96" t="n">
        <v>16</v>
      </c>
      <c r="K20" s="97">
        <f>SETTINGS!A18</f>
        <v/>
      </c>
      <c r="L20" s="98">
        <f>IFERROR(SUMPRODUCT((EXPENSES!A$4:A$1999&gt;=$K$3)*(EXPENSES!A$4:A$1999&lt;=$M$3)*(EXPENSES!E$4:E$1999=K20)*EXPENSES!D$4:D$1999),0)</f>
        <v/>
      </c>
      <c r="M20" s="102">
        <f>H20/12</f>
        <v/>
      </c>
      <c r="N20" s="98">
        <f>L20-M20</f>
        <v/>
      </c>
      <c r="O20" s="103">
        <f>IFERROR(N20/M20,0)</f>
        <v/>
      </c>
      <c r="P20" s="5" t="n"/>
    </row>
    <row r="21" ht="18" customHeight="1" s="184">
      <c r="A21" s="96" t="n">
        <v>17</v>
      </c>
      <c r="B21" s="97">
        <f>SETTINGS!A19</f>
        <v/>
      </c>
      <c r="C21" s="98">
        <f>IFERROR(SUMPRODUCT((EXPENSES!E$4:E$1999=B21)*EXPENSES!D$4:D$1999)/MAX(COUNTIF(EXPENSES!D$4:D$1999,"&gt;0"),1),0)</f>
        <v/>
      </c>
      <c r="D21" s="98">
        <f>IFERROR(SUMPRODUCT((EXPENSES!E$4:E$1999=B21)*EXPENSES!D$4:D$1999),0)</f>
        <v/>
      </c>
      <c r="E21" s="99">
        <f>IFERROR(D21/SUM(D$5:D$34),0)</f>
        <v/>
      </c>
      <c r="F21" s="11" t="n"/>
      <c r="G21" s="100" t="n">
        <v>0</v>
      </c>
      <c r="H21" s="101">
        <f>G21*12</f>
        <v/>
      </c>
      <c r="I21" s="11" t="n"/>
      <c r="J21" s="96" t="n">
        <v>17</v>
      </c>
      <c r="K21" s="97">
        <f>SETTINGS!A19</f>
        <v/>
      </c>
      <c r="L21" s="98">
        <f>IFERROR(SUMPRODUCT((EXPENSES!A$4:A$1999&gt;=$K$3)*(EXPENSES!A$4:A$1999&lt;=$M$3)*(EXPENSES!E$4:E$1999=K21)*EXPENSES!D$4:D$1999),0)</f>
        <v/>
      </c>
      <c r="M21" s="102">
        <f>H21/12</f>
        <v/>
      </c>
      <c r="N21" s="98">
        <f>L21-M21</f>
        <v/>
      </c>
      <c r="O21" s="103">
        <f>IFERROR(N21/M21,0)</f>
        <v/>
      </c>
      <c r="P21" s="5" t="n"/>
    </row>
    <row r="22" ht="18" customHeight="1" s="184">
      <c r="A22" s="96" t="n">
        <v>18</v>
      </c>
      <c r="B22" s="97">
        <f>SETTINGS!A20</f>
        <v/>
      </c>
      <c r="C22" s="98">
        <f>IFERROR(SUMPRODUCT((EXPENSES!E$4:E$1999=B22)*EXPENSES!D$4:D$1999)/MAX(COUNTIF(EXPENSES!D$4:D$1999,"&gt;0"),1),0)</f>
        <v/>
      </c>
      <c r="D22" s="98">
        <f>IFERROR(SUMPRODUCT((EXPENSES!E$4:E$1999=B22)*EXPENSES!D$4:D$1999),0)</f>
        <v/>
      </c>
      <c r="E22" s="99">
        <f>IFERROR(D22/SUM(D$5:D$34),0)</f>
        <v/>
      </c>
      <c r="F22" s="11" t="n"/>
      <c r="G22" s="100" t="n">
        <v>0</v>
      </c>
      <c r="H22" s="101">
        <f>G22*12</f>
        <v/>
      </c>
      <c r="I22" s="11" t="n"/>
      <c r="J22" s="96" t="n">
        <v>18</v>
      </c>
      <c r="K22" s="97">
        <f>SETTINGS!A20</f>
        <v/>
      </c>
      <c r="L22" s="98">
        <f>IFERROR(SUMPRODUCT((EXPENSES!A$4:A$1999&gt;=$K$3)*(EXPENSES!A$4:A$1999&lt;=$M$3)*(EXPENSES!E$4:E$1999=K22)*EXPENSES!D$4:D$1999),0)</f>
        <v/>
      </c>
      <c r="M22" s="102">
        <f>H22/12</f>
        <v/>
      </c>
      <c r="N22" s="98">
        <f>L22-M22</f>
        <v/>
      </c>
      <c r="O22" s="103">
        <f>IFERROR(N22/M22,0)</f>
        <v/>
      </c>
      <c r="P22" s="5" t="n"/>
    </row>
    <row r="23" ht="18" customHeight="1" s="184">
      <c r="A23" s="96" t="n">
        <v>19</v>
      </c>
      <c r="B23" s="97">
        <f>SETTINGS!A21</f>
        <v/>
      </c>
      <c r="C23" s="98">
        <f>IFERROR(SUMPRODUCT((EXPENSES!E$4:E$1999=B23)*EXPENSES!D$4:D$1999)/MAX(COUNTIF(EXPENSES!D$4:D$1999,"&gt;0"),1),0)</f>
        <v/>
      </c>
      <c r="D23" s="98">
        <f>IFERROR(SUMPRODUCT((EXPENSES!E$4:E$1999=B23)*EXPENSES!D$4:D$1999),0)</f>
        <v/>
      </c>
      <c r="E23" s="99">
        <f>IFERROR(D23/SUM(D$5:D$34),0)</f>
        <v/>
      </c>
      <c r="F23" s="11" t="n"/>
      <c r="G23" s="100" t="n">
        <v>0</v>
      </c>
      <c r="H23" s="101">
        <f>G23*12</f>
        <v/>
      </c>
      <c r="I23" s="11" t="n"/>
      <c r="J23" s="96" t="n">
        <v>19</v>
      </c>
      <c r="K23" s="97">
        <f>SETTINGS!A21</f>
        <v/>
      </c>
      <c r="L23" s="98">
        <f>IFERROR(SUMPRODUCT((EXPENSES!A$4:A$1999&gt;=$K$3)*(EXPENSES!A$4:A$1999&lt;=$M$3)*(EXPENSES!E$4:E$1999=K23)*EXPENSES!D$4:D$1999),0)</f>
        <v/>
      </c>
      <c r="M23" s="102">
        <f>H23/12</f>
        <v/>
      </c>
      <c r="N23" s="98">
        <f>L23-M23</f>
        <v/>
      </c>
      <c r="O23" s="103">
        <f>IFERROR(N23/M23,0)</f>
        <v/>
      </c>
      <c r="P23" s="5" t="n"/>
    </row>
    <row r="24" ht="18" customHeight="1" s="184">
      <c r="A24" s="96" t="n">
        <v>20</v>
      </c>
      <c r="B24" s="97">
        <f>SETTINGS!A22</f>
        <v/>
      </c>
      <c r="C24" s="98">
        <f>IFERROR(SUMPRODUCT((EXPENSES!E$4:E$1999=B24)*EXPENSES!D$4:D$1999)/MAX(COUNTIF(EXPENSES!D$4:D$1999,"&gt;0"),1),0)</f>
        <v/>
      </c>
      <c r="D24" s="98">
        <f>IFERROR(SUMPRODUCT((EXPENSES!E$4:E$1999=B24)*EXPENSES!D$4:D$1999),0)</f>
        <v/>
      </c>
      <c r="E24" s="99">
        <f>IFERROR(D24/SUM(D$5:D$34),0)</f>
        <v/>
      </c>
      <c r="F24" s="11" t="n"/>
      <c r="G24" s="100" t="n">
        <v>0</v>
      </c>
      <c r="H24" s="101">
        <f>G24*12</f>
        <v/>
      </c>
      <c r="I24" s="11" t="n"/>
      <c r="J24" s="96" t="n">
        <v>20</v>
      </c>
      <c r="K24" s="97">
        <f>SETTINGS!A22</f>
        <v/>
      </c>
      <c r="L24" s="98">
        <f>IFERROR(SUMPRODUCT((EXPENSES!A$4:A$1999&gt;=$K$3)*(EXPENSES!A$4:A$1999&lt;=$M$3)*(EXPENSES!E$4:E$1999=K24)*EXPENSES!D$4:D$1999),0)</f>
        <v/>
      </c>
      <c r="M24" s="102">
        <f>H24/12</f>
        <v/>
      </c>
      <c r="N24" s="98">
        <f>L24-M24</f>
        <v/>
      </c>
      <c r="O24" s="103">
        <f>IFERROR(N24/M24,0)</f>
        <v/>
      </c>
      <c r="P24" s="5" t="n"/>
    </row>
    <row r="25" ht="18" customHeight="1" s="184">
      <c r="A25" s="96" t="n">
        <v>21</v>
      </c>
      <c r="B25" s="97">
        <f>SETTINGS!A23</f>
        <v/>
      </c>
      <c r="C25" s="98">
        <f>IFERROR(SUMPRODUCT((EXPENSES!E$4:E$1999=B25)*EXPENSES!D$4:D$1999)/MAX(COUNTIF(EXPENSES!D$4:D$1999,"&gt;0"),1),0)</f>
        <v/>
      </c>
      <c r="D25" s="98">
        <f>IFERROR(SUMPRODUCT((EXPENSES!E$4:E$1999=B25)*EXPENSES!D$4:D$1999),0)</f>
        <v/>
      </c>
      <c r="E25" s="99">
        <f>IFERROR(D25/SUM(D$5:D$34),0)</f>
        <v/>
      </c>
      <c r="F25" s="11" t="n"/>
      <c r="G25" s="100" t="n">
        <v>0</v>
      </c>
      <c r="H25" s="101">
        <f>G25*12</f>
        <v/>
      </c>
      <c r="I25" s="11" t="n"/>
      <c r="J25" s="96" t="n">
        <v>21</v>
      </c>
      <c r="K25" s="97">
        <f>SETTINGS!A23</f>
        <v/>
      </c>
      <c r="L25" s="98">
        <f>IFERROR(SUMPRODUCT((EXPENSES!A$4:A$1999&gt;=$K$3)*(EXPENSES!A$4:A$1999&lt;=$M$3)*(EXPENSES!E$4:E$1999=K25)*EXPENSES!D$4:D$1999),0)</f>
        <v/>
      </c>
      <c r="M25" s="102">
        <f>H25/12</f>
        <v/>
      </c>
      <c r="N25" s="98">
        <f>L25-M25</f>
        <v/>
      </c>
      <c r="O25" s="103">
        <f>IFERROR(N25/M25,0)</f>
        <v/>
      </c>
      <c r="P25" s="5" t="n"/>
    </row>
    <row r="26" ht="18" customHeight="1" s="184">
      <c r="A26" s="96" t="n">
        <v>22</v>
      </c>
      <c r="B26" s="97">
        <f>SETTINGS!A24</f>
        <v/>
      </c>
      <c r="C26" s="98">
        <f>IFERROR(SUMPRODUCT((EXPENSES!E$4:E$1999=B26)*EXPENSES!D$4:D$1999)/MAX(COUNTIF(EXPENSES!D$4:D$1999,"&gt;0"),1),0)</f>
        <v/>
      </c>
      <c r="D26" s="98">
        <f>IFERROR(SUMPRODUCT((EXPENSES!E$4:E$1999=B26)*EXPENSES!D$4:D$1999),0)</f>
        <v/>
      </c>
      <c r="E26" s="99">
        <f>IFERROR(D26/SUM(D$5:D$34),0)</f>
        <v/>
      </c>
      <c r="F26" s="11" t="n"/>
      <c r="G26" s="100" t="n">
        <v>0</v>
      </c>
      <c r="H26" s="101">
        <f>G26*12</f>
        <v/>
      </c>
      <c r="I26" s="11" t="n"/>
      <c r="J26" s="96" t="n">
        <v>22</v>
      </c>
      <c r="K26" s="97">
        <f>SETTINGS!A24</f>
        <v/>
      </c>
      <c r="L26" s="98">
        <f>IFERROR(SUMPRODUCT((EXPENSES!A$4:A$1999&gt;=$K$3)*(EXPENSES!A$4:A$1999&lt;=$M$3)*(EXPENSES!E$4:E$1999=K26)*EXPENSES!D$4:D$1999),0)</f>
        <v/>
      </c>
      <c r="M26" s="102">
        <f>H26/12</f>
        <v/>
      </c>
      <c r="N26" s="98">
        <f>L26-M26</f>
        <v/>
      </c>
      <c r="O26" s="103">
        <f>IFERROR(N26/M26,0)</f>
        <v/>
      </c>
      <c r="P26" s="5" t="n"/>
    </row>
    <row r="27" ht="18" customHeight="1" s="184">
      <c r="A27" s="96" t="n">
        <v>23</v>
      </c>
      <c r="B27" s="97">
        <f>SETTINGS!A25</f>
        <v/>
      </c>
      <c r="C27" s="98">
        <f>IFERROR(SUMPRODUCT((EXPENSES!E$4:E$1999=B27)*EXPENSES!D$4:D$1999)/MAX(COUNTIF(EXPENSES!D$4:D$1999,"&gt;0"),1),0)</f>
        <v/>
      </c>
      <c r="D27" s="98">
        <f>IFERROR(SUMPRODUCT((EXPENSES!E$4:E$1999=B27)*EXPENSES!D$4:D$1999),0)</f>
        <v/>
      </c>
      <c r="E27" s="99">
        <f>IFERROR(D27/SUM(D$5:D$34),0)</f>
        <v/>
      </c>
      <c r="F27" s="11" t="n"/>
      <c r="G27" s="100" t="n">
        <v>0</v>
      </c>
      <c r="H27" s="101">
        <f>G27*12</f>
        <v/>
      </c>
      <c r="I27" s="11" t="n"/>
      <c r="J27" s="96" t="n">
        <v>23</v>
      </c>
      <c r="K27" s="97">
        <f>SETTINGS!A25</f>
        <v/>
      </c>
      <c r="L27" s="98">
        <f>IFERROR(SUMPRODUCT((EXPENSES!A$4:A$1999&gt;=$K$3)*(EXPENSES!A$4:A$1999&lt;=$M$3)*(EXPENSES!E$4:E$1999=K27)*EXPENSES!D$4:D$1999),0)</f>
        <v/>
      </c>
      <c r="M27" s="102">
        <f>H27/12</f>
        <v/>
      </c>
      <c r="N27" s="98">
        <f>L27-M27</f>
        <v/>
      </c>
      <c r="O27" s="103">
        <f>IFERROR(N27/M27,0)</f>
        <v/>
      </c>
      <c r="P27" s="5" t="n"/>
    </row>
    <row r="28" ht="18" customHeight="1" s="184">
      <c r="A28" s="96" t="n">
        <v>24</v>
      </c>
      <c r="B28" s="97">
        <f>SETTINGS!A26</f>
        <v/>
      </c>
      <c r="C28" s="98">
        <f>IFERROR(SUMPRODUCT((EXPENSES!E$4:E$1999=B28)*EXPENSES!D$4:D$1999)/MAX(COUNTIF(EXPENSES!D$4:D$1999,"&gt;0"),1),0)</f>
        <v/>
      </c>
      <c r="D28" s="98">
        <f>IFERROR(SUMPRODUCT((EXPENSES!E$4:E$1999=B28)*EXPENSES!D$4:D$1999),0)</f>
        <v/>
      </c>
      <c r="E28" s="99">
        <f>IFERROR(D28/SUM(D$5:D$34),0)</f>
        <v/>
      </c>
      <c r="F28" s="11" t="n"/>
      <c r="G28" s="100" t="n">
        <v>0</v>
      </c>
      <c r="H28" s="101">
        <f>G28*12</f>
        <v/>
      </c>
      <c r="I28" s="11" t="n"/>
      <c r="J28" s="96" t="n">
        <v>24</v>
      </c>
      <c r="K28" s="97">
        <f>SETTINGS!A26</f>
        <v/>
      </c>
      <c r="L28" s="98">
        <f>IFERROR(SUMPRODUCT((EXPENSES!A$4:A$1999&gt;=$K$3)*(EXPENSES!A$4:A$1999&lt;=$M$3)*(EXPENSES!E$4:E$1999=K28)*EXPENSES!D$4:D$1999),0)</f>
        <v/>
      </c>
      <c r="M28" s="102">
        <f>H28/12</f>
        <v/>
      </c>
      <c r="N28" s="98">
        <f>L28-M28</f>
        <v/>
      </c>
      <c r="O28" s="103">
        <f>IFERROR(N28/M28,0)</f>
        <v/>
      </c>
      <c r="P28" s="5" t="n"/>
    </row>
    <row r="29" ht="18" customHeight="1" s="184">
      <c r="A29" s="96" t="n">
        <v>25</v>
      </c>
      <c r="B29" s="97">
        <f>SETTINGS!A27</f>
        <v/>
      </c>
      <c r="C29" s="98">
        <f>IFERROR(SUMPRODUCT((EXPENSES!E$4:E$1999=B29)*EXPENSES!D$4:D$1999)/MAX(COUNTIF(EXPENSES!D$4:D$1999,"&gt;0"),1),0)</f>
        <v/>
      </c>
      <c r="D29" s="98">
        <f>IFERROR(SUMPRODUCT((EXPENSES!E$4:E$1999=B29)*EXPENSES!D$4:D$1999),0)</f>
        <v/>
      </c>
      <c r="E29" s="99">
        <f>IFERROR(D29/SUM(D$5:D$34),0)</f>
        <v/>
      </c>
      <c r="F29" s="11" t="n"/>
      <c r="G29" s="100" t="n">
        <v>0</v>
      </c>
      <c r="H29" s="101">
        <f>G29*12</f>
        <v/>
      </c>
      <c r="I29" s="11" t="n"/>
      <c r="J29" s="96" t="n">
        <v>25</v>
      </c>
      <c r="K29" s="97">
        <f>SETTINGS!A27</f>
        <v/>
      </c>
      <c r="L29" s="98">
        <f>IFERROR(SUMPRODUCT((EXPENSES!A$4:A$1999&gt;=$K$3)*(EXPENSES!A$4:A$1999&lt;=$M$3)*(EXPENSES!E$4:E$1999=K29)*EXPENSES!D$4:D$1999),0)</f>
        <v/>
      </c>
      <c r="M29" s="102">
        <f>H29/12</f>
        <v/>
      </c>
      <c r="N29" s="98">
        <f>L29-M29</f>
        <v/>
      </c>
      <c r="O29" s="103">
        <f>IFERROR(N29/M29,0)</f>
        <v/>
      </c>
      <c r="P29" s="5" t="n"/>
    </row>
    <row r="30" ht="18" customHeight="1" s="184">
      <c r="A30" s="96" t="n">
        <v>26</v>
      </c>
      <c r="B30" s="97">
        <f>SETTINGS!A28</f>
        <v/>
      </c>
      <c r="C30" s="98">
        <f>IFERROR(SUMPRODUCT((EXPENSES!E$4:E$1999=B30)*EXPENSES!D$4:D$1999)/MAX(COUNTIF(EXPENSES!D$4:D$1999,"&gt;0"),1),0)</f>
        <v/>
      </c>
      <c r="D30" s="98">
        <f>IFERROR(SUMPRODUCT((EXPENSES!E$4:E$1999=B30)*EXPENSES!D$4:D$1999),0)</f>
        <v/>
      </c>
      <c r="E30" s="99">
        <f>IFERROR(D30/SUM(D$5:D$34),0)</f>
        <v/>
      </c>
      <c r="F30" s="11" t="n"/>
      <c r="G30" s="100" t="n">
        <v>0</v>
      </c>
      <c r="H30" s="101">
        <f>G30*12</f>
        <v/>
      </c>
      <c r="I30" s="11" t="n"/>
      <c r="J30" s="96" t="n">
        <v>26</v>
      </c>
      <c r="K30" s="97">
        <f>SETTINGS!A28</f>
        <v/>
      </c>
      <c r="L30" s="98">
        <f>IFERROR(SUMPRODUCT((EXPENSES!A$4:A$1999&gt;=$K$3)*(EXPENSES!A$4:A$1999&lt;=$M$3)*(EXPENSES!E$4:E$1999=K30)*EXPENSES!D$4:D$1999),0)</f>
        <v/>
      </c>
      <c r="M30" s="102">
        <f>H30/12</f>
        <v/>
      </c>
      <c r="N30" s="98">
        <f>L30-M30</f>
        <v/>
      </c>
      <c r="O30" s="103">
        <f>IFERROR(N30/M30,0)</f>
        <v/>
      </c>
      <c r="P30" s="5" t="n"/>
    </row>
    <row r="31" ht="18" customHeight="1" s="184">
      <c r="A31" s="96" t="n">
        <v>27</v>
      </c>
      <c r="B31" s="97">
        <f>SETTINGS!A29</f>
        <v/>
      </c>
      <c r="C31" s="98">
        <f>IFERROR(SUMPRODUCT((EXPENSES!E$4:E$1999=B31)*EXPENSES!D$4:D$1999)/MAX(COUNTIF(EXPENSES!D$4:D$1999,"&gt;0"),1),0)</f>
        <v/>
      </c>
      <c r="D31" s="98">
        <f>IFERROR(SUMPRODUCT((EXPENSES!E$4:E$1999=B31)*EXPENSES!D$4:D$1999),0)</f>
        <v/>
      </c>
      <c r="E31" s="99">
        <f>IFERROR(D31/SUM(D$5:D$34),0)</f>
        <v/>
      </c>
      <c r="F31" s="11" t="n"/>
      <c r="G31" s="100" t="n">
        <v>0</v>
      </c>
      <c r="H31" s="101">
        <f>G31*12</f>
        <v/>
      </c>
      <c r="I31" s="11" t="n"/>
      <c r="J31" s="96" t="n">
        <v>27</v>
      </c>
      <c r="K31" s="97">
        <f>SETTINGS!A29</f>
        <v/>
      </c>
      <c r="L31" s="98">
        <f>IFERROR(SUMPRODUCT((EXPENSES!A$4:A$1999&gt;=$K$3)*(EXPENSES!A$4:A$1999&lt;=$M$3)*(EXPENSES!E$4:E$1999=K31)*EXPENSES!D$4:D$1999),0)</f>
        <v/>
      </c>
      <c r="M31" s="102">
        <f>H31/12</f>
        <v/>
      </c>
      <c r="N31" s="98">
        <f>L31-M31</f>
        <v/>
      </c>
      <c r="O31" s="103">
        <f>IFERROR(N31/M31,0)</f>
        <v/>
      </c>
      <c r="P31" s="5" t="n"/>
    </row>
    <row r="32" ht="18" customHeight="1" s="184">
      <c r="A32" s="96" t="n">
        <v>28</v>
      </c>
      <c r="B32" s="97">
        <f>SETTINGS!A30</f>
        <v/>
      </c>
      <c r="C32" s="98">
        <f>IFERROR(SUMPRODUCT((EXPENSES!E$4:E$1999=B32)*EXPENSES!D$4:D$1999)/MAX(COUNTIF(EXPENSES!D$4:D$1999,"&gt;0"),1),0)</f>
        <v/>
      </c>
      <c r="D32" s="98">
        <f>IFERROR(SUMPRODUCT((EXPENSES!E$4:E$1999=B32)*EXPENSES!D$4:D$1999),0)</f>
        <v/>
      </c>
      <c r="E32" s="99">
        <f>IFERROR(D32/SUM(D$5:D$34),0)</f>
        <v/>
      </c>
      <c r="F32" s="11" t="n"/>
      <c r="G32" s="100" t="n">
        <v>0</v>
      </c>
      <c r="H32" s="101">
        <f>G32*12</f>
        <v/>
      </c>
      <c r="I32" s="11" t="n"/>
      <c r="J32" s="96" t="n">
        <v>28</v>
      </c>
      <c r="K32" s="97">
        <f>SETTINGS!A30</f>
        <v/>
      </c>
      <c r="L32" s="98">
        <f>IFERROR(SUMPRODUCT((EXPENSES!A$4:A$1999&gt;=$K$3)*(EXPENSES!A$4:A$1999&lt;=$M$3)*(EXPENSES!E$4:E$1999=K32)*EXPENSES!D$4:D$1999),0)</f>
        <v/>
      </c>
      <c r="M32" s="102">
        <f>H32/12</f>
        <v/>
      </c>
      <c r="N32" s="98">
        <f>L32-M32</f>
        <v/>
      </c>
      <c r="O32" s="103">
        <f>IFERROR(N32/M32,0)</f>
        <v/>
      </c>
      <c r="P32" s="5" t="n"/>
    </row>
    <row r="33" ht="18" customHeight="1" s="184">
      <c r="A33" s="96" t="n">
        <v>29</v>
      </c>
      <c r="B33" s="97">
        <f>SETTINGS!A31</f>
        <v/>
      </c>
      <c r="C33" s="98">
        <f>IFERROR(SUMPRODUCT((EXPENSES!E$4:E$1999=B33)*EXPENSES!D$4:D$1999)/MAX(COUNTIF(EXPENSES!D$4:D$1999,"&gt;0"),1),0)</f>
        <v/>
      </c>
      <c r="D33" s="98">
        <f>IFERROR(SUMPRODUCT((EXPENSES!E$4:E$1999=B33)*EXPENSES!D$4:D$1999),0)</f>
        <v/>
      </c>
      <c r="E33" s="99">
        <f>IFERROR(D33/SUM(D$5:D$34),0)</f>
        <v/>
      </c>
      <c r="F33" s="11" t="n"/>
      <c r="G33" s="100" t="n">
        <v>0</v>
      </c>
      <c r="H33" s="101">
        <f>G33*12</f>
        <v/>
      </c>
      <c r="I33" s="11" t="n"/>
      <c r="J33" s="96" t="n">
        <v>29</v>
      </c>
      <c r="K33" s="97">
        <f>SETTINGS!A31</f>
        <v/>
      </c>
      <c r="L33" s="98">
        <f>IFERROR(SUMPRODUCT((EXPENSES!A$4:A$1999&gt;=$K$3)*(EXPENSES!A$4:A$1999&lt;=$M$3)*(EXPENSES!E$4:E$1999=K33)*EXPENSES!D$4:D$1999),0)</f>
        <v/>
      </c>
      <c r="M33" s="102">
        <f>H33/12</f>
        <v/>
      </c>
      <c r="N33" s="98">
        <f>L33-M33</f>
        <v/>
      </c>
      <c r="O33" s="103">
        <f>IFERROR(N33/M33,0)</f>
        <v/>
      </c>
      <c r="P33" s="5" t="n"/>
    </row>
    <row r="34" ht="18" customHeight="1" s="184">
      <c r="A34" s="96" t="n">
        <v>30</v>
      </c>
      <c r="B34" s="97">
        <f>SETTINGS!A32</f>
        <v/>
      </c>
      <c r="C34" s="98">
        <f>IFERROR(SUMPRODUCT((EXPENSES!E$4:E$1999=B34)*EXPENSES!D$4:D$1999)/MAX(COUNTIF(EXPENSES!D$4:D$1999,"&gt;0"),1),0)</f>
        <v/>
      </c>
      <c r="D34" s="98">
        <f>IFERROR(SUMPRODUCT((EXPENSES!E$4:E$1999=B34)*EXPENSES!D$4:D$1999),0)</f>
        <v/>
      </c>
      <c r="E34" s="99">
        <f>IFERROR(D34/SUM(D$5:D$34),0)</f>
        <v/>
      </c>
      <c r="F34" s="11" t="n"/>
      <c r="G34" s="100" t="n">
        <v>0</v>
      </c>
      <c r="H34" s="101">
        <f>G34*12</f>
        <v/>
      </c>
      <c r="I34" s="11" t="n"/>
      <c r="J34" s="96" t="n">
        <v>30</v>
      </c>
      <c r="K34" s="97">
        <f>SETTINGS!A32</f>
        <v/>
      </c>
      <c r="L34" s="98">
        <f>IFERROR(SUMPRODUCT((EXPENSES!A$4:A$1999&gt;=$K$3)*(EXPENSES!A$4:A$1999&lt;=$M$3)*(EXPENSES!E$4:E$1999=K34)*EXPENSES!D$4:D$1999),0)</f>
        <v/>
      </c>
      <c r="M34" s="102">
        <f>H34/12</f>
        <v/>
      </c>
      <c r="N34" s="98">
        <f>L34-M34</f>
        <v/>
      </c>
      <c r="O34" s="103">
        <f>IFERROR(N34/M34,0)</f>
        <v/>
      </c>
      <c r="P34" s="5" t="n"/>
    </row>
    <row r="35" ht="18" customHeight="1" s="184">
      <c r="A35" s="220" t="inlineStr">
        <is>
          <t>TOTALS</t>
        </is>
      </c>
      <c r="B35" s="218" t="n"/>
      <c r="C35" s="105">
        <f>SUM(C5:C34)</f>
        <v/>
      </c>
      <c r="D35" s="105">
        <f>SUM(D5:D34)</f>
        <v/>
      </c>
      <c r="E35" s="106">
        <f>SUM(E5:E34)</f>
        <v/>
      </c>
      <c r="F35" s="11" t="n"/>
      <c r="G35" s="105">
        <f>SUM(G5:G34)</f>
        <v/>
      </c>
      <c r="H35" s="105">
        <f>SUM(H5:H34)</f>
        <v/>
      </c>
      <c r="I35" s="11" t="n"/>
      <c r="J35" s="220" t="inlineStr">
        <is>
          <t>PERIOD TOTAL</t>
        </is>
      </c>
      <c r="K35" s="218" t="n"/>
      <c r="L35" s="105">
        <f>SUM(L5:L34)</f>
        <v/>
      </c>
      <c r="M35" s="105">
        <f>SUM(M5:M34)</f>
        <v/>
      </c>
      <c r="N35" s="105">
        <f>SUM(N5:N34)</f>
        <v/>
      </c>
      <c r="O35" s="105">
        <f>SUM(O5:O34)</f>
        <v/>
      </c>
      <c r="P35" s="5" t="n"/>
    </row>
    <row r="36" ht="18" customHeight="1" s="184">
      <c r="A36" s="220" t="inlineStr">
        <is>
          <t>TOTALS WithOut Investment</t>
        </is>
      </c>
      <c r="B36" s="218" t="n"/>
      <c r="C36" s="110">
        <f>SUM(C5:C18,C20:C34)</f>
        <v/>
      </c>
      <c r="D36" s="110">
        <f>SUM(D5:D18,D20:D34)</f>
        <v/>
      </c>
      <c r="E36" s="110">
        <f>SUM(E5:E18,E20:E34)</f>
        <v/>
      </c>
      <c r="F36" s="11" t="n"/>
      <c r="G36" s="110">
        <f>SUM(G5:G18,G20:G34)</f>
        <v/>
      </c>
      <c r="H36" s="110">
        <f>SUM(H5:H18,H20:H34)</f>
        <v/>
      </c>
      <c r="I36" s="11" t="n"/>
      <c r="J36" s="220" t="inlineStr">
        <is>
          <t>PERIOD TOTAL WithOut Investment</t>
        </is>
      </c>
      <c r="K36" s="218" t="n"/>
      <c r="L36" s="110">
        <f>SUM(L5:L18,L20:L34)</f>
        <v/>
      </c>
      <c r="M36" s="110">
        <f>SUM(M5:M18,M20:M34)</f>
        <v/>
      </c>
      <c r="N36" s="110">
        <f>SUM(N5:N18,N20:N34)</f>
        <v/>
      </c>
      <c r="O36" s="110">
        <f>SUM(O5:O18,O20:O34)</f>
        <v/>
      </c>
      <c r="P36" s="5" t="n"/>
    </row>
    <row r="37" ht="18" customHeight="1" s="184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5" t="n"/>
      <c r="K37" s="5" t="n"/>
      <c r="L37" s="5" t="n"/>
      <c r="M37" s="5" t="n"/>
      <c r="N37" s="5" t="n"/>
      <c r="O37" s="5" t="n"/>
      <c r="P37" s="5" t="n"/>
    </row>
    <row r="38" ht="15" customHeight="1" s="184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5" t="n"/>
      <c r="K38" s="5" t="n"/>
      <c r="L38" s="5" t="n"/>
      <c r="M38" s="5" t="n"/>
      <c r="N38" s="5" t="n"/>
      <c r="O38" s="5" t="n"/>
      <c r="P38" s="5" t="n"/>
    </row>
    <row r="39" ht="15" customHeight="1" s="184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5" t="n"/>
      <c r="P39" s="5" t="n"/>
    </row>
    <row r="40" ht="15" customHeight="1" s="184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5" t="n"/>
      <c r="P40" s="5" t="n"/>
    </row>
    <row r="41" ht="15.75" customHeight="1" s="184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</row>
    <row r="42" ht="15.75" customHeight="1" s="184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</row>
    <row r="43" ht="15.75" customHeight="1" s="184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</row>
    <row r="44" ht="15.75" customHeight="1" s="18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</row>
    <row r="45" ht="15.75" customHeight="1" s="184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</row>
    <row r="46" ht="15.75" customHeight="1" s="184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</row>
    <row r="47" ht="15.75" customHeight="1" s="184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</row>
    <row r="48" ht="15.75" customHeight="1" s="184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</row>
    <row r="49" ht="15.75" customHeight="1" s="184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</row>
    <row r="50" ht="15.75" customHeight="1" s="184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</row>
    <row r="51" ht="15.75" customHeight="1" s="184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</row>
    <row r="52" ht="15.75" customHeight="1" s="184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</row>
    <row r="53" ht="15.75" customHeight="1" s="184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</row>
    <row r="54" ht="15.75" customHeight="1" s="18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</row>
    <row r="55" ht="15.75" customHeight="1" s="184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</row>
    <row r="56" ht="15.75" customHeight="1" s="184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</row>
    <row r="57" ht="15.75" customHeight="1" s="184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</row>
    <row r="58" ht="15.75" customHeight="1" s="184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</row>
    <row r="59" ht="15.75" customHeight="1" s="184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</row>
    <row r="60" ht="15.75" customHeight="1" s="184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</row>
    <row r="61" ht="15.75" customHeight="1" s="184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</row>
    <row r="62" ht="15.75" customHeight="1" s="184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</row>
    <row r="63" ht="15.75" customHeight="1" s="184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</row>
    <row r="64" ht="15.75" customHeight="1" s="18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</row>
    <row r="65" ht="15.75" customHeight="1" s="184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</row>
    <row r="66" ht="15.75" customHeight="1" s="184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</row>
    <row r="67" ht="15.75" customHeight="1" s="184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</row>
    <row r="68" ht="15.75" customHeight="1" s="184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</row>
    <row r="69" ht="15.75" customHeight="1" s="184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</row>
    <row r="70" ht="15.75" customHeight="1" s="184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</row>
    <row r="71" ht="15.75" customHeight="1" s="184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</row>
    <row r="72" ht="15.75" customHeight="1" s="184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</row>
    <row r="73" ht="15.75" customHeight="1" s="184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</row>
    <row r="74" ht="15.75" customHeight="1" s="18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</row>
    <row r="75" ht="15.75" customHeight="1" s="184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</row>
    <row r="76" ht="15.75" customHeight="1" s="184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</row>
    <row r="77" ht="15.75" customHeight="1" s="184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</row>
    <row r="78" ht="15.75" customHeight="1" s="184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</row>
    <row r="79" ht="15.75" customHeight="1" s="184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</row>
    <row r="80" ht="15.75" customHeight="1" s="184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</row>
    <row r="81" ht="15.75" customHeight="1" s="184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</row>
    <row r="82" ht="15.75" customHeight="1" s="184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</row>
    <row r="83" ht="15.75" customHeight="1" s="184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</row>
    <row r="84" ht="15.75" customHeight="1" s="1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</row>
    <row r="85" ht="15.75" customHeight="1" s="184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</row>
    <row r="86" ht="15.75" customHeight="1" s="184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</row>
    <row r="87" ht="15.75" customHeight="1" s="184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</row>
    <row r="88" ht="15.75" customHeight="1" s="184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</row>
    <row r="89" ht="15.75" customHeight="1" s="184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</row>
    <row r="90" ht="15.75" customHeight="1" s="184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</row>
    <row r="91" ht="15.75" customHeight="1" s="184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</row>
    <row r="92" ht="15.75" customHeight="1" s="184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</row>
    <row r="93" ht="15.75" customHeight="1" s="184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</row>
    <row r="94" ht="15.75" customHeight="1" s="18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</row>
    <row r="95" ht="15.75" customHeight="1" s="184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</row>
    <row r="96" ht="15.75" customHeight="1" s="184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</row>
    <row r="97" ht="15.75" customHeight="1" s="184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</row>
    <row r="98" ht="15.75" customHeight="1" s="184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</row>
    <row r="99" ht="15.75" customHeight="1" s="184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</row>
    <row r="100" ht="15.75" customHeight="1" s="184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</row>
    <row r="101" ht="15.75" customHeight="1" s="184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</row>
    <row r="102" ht="15.75" customHeight="1" s="184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</row>
    <row r="103" ht="15.75" customHeight="1" s="184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</row>
    <row r="104" ht="15.75" customHeight="1" s="18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</row>
    <row r="105" ht="15.75" customHeight="1" s="184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</row>
    <row r="106" ht="15.75" customHeight="1" s="184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</row>
    <row r="107" ht="15.75" customHeight="1" s="184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</row>
    <row r="108" ht="15.75" customHeight="1" s="184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</row>
    <row r="109" ht="15.75" customHeight="1" s="184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</row>
    <row r="110" ht="15.75" customHeight="1" s="184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</row>
    <row r="111" ht="15.75" customHeight="1" s="184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</row>
    <row r="112" ht="15.75" customHeight="1" s="184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</row>
    <row r="113" ht="15.75" customHeight="1" s="184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</row>
    <row r="114" ht="15.75" customHeight="1" s="18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</row>
    <row r="115" ht="15.75" customHeight="1" s="184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</row>
    <row r="116" ht="15.75" customHeight="1" s="184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</row>
    <row r="117" ht="15.75" customHeight="1" s="184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</row>
    <row r="118" ht="15.75" customHeight="1" s="184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</row>
    <row r="119" ht="15.75" customHeight="1" s="184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</row>
    <row r="120" ht="15.75" customHeight="1" s="184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</row>
    <row r="121" ht="15.75" customHeight="1" s="184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</row>
    <row r="122" ht="15.75" customHeight="1" s="184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</row>
    <row r="123" ht="15.75" customHeight="1" s="184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</row>
    <row r="124" ht="15.75" customHeight="1" s="18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</row>
    <row r="125" ht="15.75" customHeight="1" s="184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</row>
    <row r="126" ht="15.75" customHeight="1" s="184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</row>
    <row r="127" ht="15.75" customHeight="1" s="184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</row>
    <row r="128" ht="15.75" customHeight="1" s="184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</row>
    <row r="129" ht="15.75" customHeight="1" s="184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</row>
    <row r="130" ht="15.75" customHeight="1" s="184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</row>
    <row r="131" ht="15.75" customHeight="1" s="184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</row>
    <row r="132" ht="15.75" customHeight="1" s="184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</row>
    <row r="133" ht="15.75" customHeight="1" s="184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</row>
    <row r="134" ht="15.75" customHeight="1" s="18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</row>
    <row r="135" ht="15.75" customHeight="1" s="184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</row>
    <row r="136" ht="15.75" customHeight="1" s="184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</row>
    <row r="137" ht="15.75" customHeight="1" s="184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</row>
    <row r="138" ht="15.75" customHeight="1" s="184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</row>
    <row r="139" ht="15.75" customHeight="1" s="184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</row>
    <row r="140" ht="15.75" customHeight="1" s="184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</row>
    <row r="141" ht="15.75" customHeight="1" s="184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</row>
    <row r="142" ht="15.75" customHeight="1" s="184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</row>
    <row r="143" ht="15.75" customHeight="1" s="184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</row>
    <row r="144" ht="15.75" customHeight="1" s="18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</row>
    <row r="145" ht="15.75" customHeight="1" s="184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</row>
    <row r="146" ht="15.75" customHeight="1" s="184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</row>
    <row r="147" ht="15.75" customHeight="1" s="184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</row>
    <row r="148" ht="15.75" customHeight="1" s="184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</row>
    <row r="149" ht="15.75" customHeight="1" s="184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</row>
    <row r="150" ht="15.75" customHeight="1" s="184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</row>
    <row r="151" ht="15.75" customHeight="1" s="184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</row>
    <row r="152" ht="15.75" customHeight="1" s="184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</row>
    <row r="153" ht="15.75" customHeight="1" s="184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</row>
    <row r="154" ht="15.75" customHeight="1" s="18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</row>
    <row r="155" ht="15.75" customHeight="1" s="184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</row>
    <row r="156" ht="15.75" customHeight="1" s="184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</row>
    <row r="157" ht="15.75" customHeight="1" s="184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</row>
    <row r="158" ht="15.75" customHeight="1" s="184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</row>
    <row r="159" ht="15.75" customHeight="1" s="184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</row>
    <row r="160" ht="15.75" customHeight="1" s="184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</row>
    <row r="161" ht="15.75" customHeight="1" s="184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</row>
    <row r="162" ht="15.75" customHeight="1" s="184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</row>
    <row r="163" ht="15.75" customHeight="1" s="184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</row>
    <row r="164" ht="15.75" customHeight="1" s="18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</row>
    <row r="165" ht="15.75" customHeight="1" s="184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</row>
    <row r="166" ht="15.75" customHeight="1" s="184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</row>
    <row r="167" ht="15.75" customHeight="1" s="184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</row>
    <row r="168" ht="15.75" customHeight="1" s="184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</row>
    <row r="169" ht="15.75" customHeight="1" s="184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</row>
    <row r="170" ht="15.75" customHeight="1" s="184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</row>
    <row r="171" ht="15.75" customHeight="1" s="184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</row>
    <row r="172" ht="15.75" customHeight="1" s="184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</row>
    <row r="173" ht="15.75" customHeight="1" s="184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</row>
    <row r="174" ht="15.75" customHeight="1" s="18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</row>
    <row r="175" ht="15.75" customHeight="1" s="184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</row>
    <row r="176" ht="15.75" customHeight="1" s="184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</row>
    <row r="177" ht="15.75" customHeight="1" s="184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</row>
    <row r="178" ht="15.75" customHeight="1" s="184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</row>
    <row r="179" ht="15.75" customHeight="1" s="184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</row>
    <row r="180" ht="15.75" customHeight="1" s="184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</row>
    <row r="181" ht="15.75" customHeight="1" s="184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</row>
    <row r="182" ht="15.75" customHeight="1" s="184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</row>
    <row r="183" ht="15.75" customHeight="1" s="184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</row>
    <row r="184" ht="15.75" customHeight="1" s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</row>
    <row r="185" ht="15.75" customHeight="1" s="184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</row>
    <row r="186" ht="15.75" customHeight="1" s="184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</row>
    <row r="187" ht="15.75" customHeight="1" s="184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</row>
    <row r="188" ht="15.75" customHeight="1" s="184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</row>
    <row r="189" ht="15.75" customHeight="1" s="184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</row>
    <row r="190" ht="15.75" customHeight="1" s="184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</row>
    <row r="191" ht="15.75" customHeight="1" s="184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</row>
    <row r="192" ht="15.75" customHeight="1" s="184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</row>
    <row r="193" ht="15.75" customHeight="1" s="184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</row>
    <row r="194" ht="15.75" customHeight="1" s="18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</row>
    <row r="195" ht="15.75" customHeight="1" s="184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</row>
    <row r="196" ht="15.75" customHeight="1" s="184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</row>
    <row r="197" ht="15.75" customHeight="1" s="184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</row>
    <row r="198" ht="15.75" customHeight="1" s="184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</row>
    <row r="199" ht="15.75" customHeight="1" s="184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</row>
    <row r="200" ht="15.75" customHeight="1" s="184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</row>
    <row r="201" ht="15.75" customHeight="1" s="184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</row>
    <row r="202" ht="15.75" customHeight="1" s="184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</row>
    <row r="203" ht="15.75" customHeight="1" s="184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</row>
    <row r="204" ht="15.75" customHeight="1" s="18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</row>
    <row r="205" ht="15.75" customHeight="1" s="184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</row>
    <row r="206" ht="15.75" customHeight="1" s="184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</row>
    <row r="207" ht="15.75" customHeight="1" s="184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</row>
    <row r="208" ht="15.75" customHeight="1" s="184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</row>
    <row r="209" ht="15.75" customHeight="1" s="184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</row>
    <row r="210" ht="15.75" customHeight="1" s="184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</row>
    <row r="211" ht="15.75" customHeight="1" s="184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</row>
    <row r="212" ht="15.75" customHeight="1" s="184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</row>
    <row r="213" ht="15.75" customHeight="1" s="184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</row>
    <row r="214" ht="15.75" customHeight="1" s="18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</row>
    <row r="215" ht="15.75" customHeight="1" s="184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</row>
    <row r="216" ht="15.75" customHeight="1" s="184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</row>
    <row r="217" ht="15.75" customHeight="1" s="184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</row>
    <row r="218" ht="15.75" customHeight="1" s="184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</row>
    <row r="219" ht="15.75" customHeight="1" s="184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</row>
    <row r="220" ht="15.75" customHeight="1" s="184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</row>
    <row r="221" ht="15.75" customHeight="1" s="184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</row>
    <row r="222" ht="15.75" customHeight="1" s="184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</row>
    <row r="223" ht="15.75" customHeight="1" s="18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</row>
    <row r="224" ht="15.75" customHeight="1" s="18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</row>
    <row r="225" ht="15.75" customHeight="1" s="18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</row>
    <row r="226" ht="15.75" customHeight="1" s="18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</row>
    <row r="227" ht="15.75" customHeight="1" s="18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</row>
    <row r="228" ht="15.75" customHeight="1" s="18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</row>
    <row r="229" ht="15.75" customHeight="1" s="184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</row>
    <row r="230" ht="15.75" customHeight="1" s="184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</row>
    <row r="231" ht="15.75" customHeight="1" s="184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</row>
    <row r="232" ht="15.75" customHeight="1" s="184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</row>
    <row r="233" ht="15.75" customHeight="1" s="184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</row>
    <row r="234" ht="15.75" customHeight="1" s="18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</row>
    <row r="235" ht="15.75" customHeight="1" s="184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</row>
    <row r="236" ht="15.75" customHeight="1" s="184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</row>
    <row r="237" ht="15.75" customHeight="1" s="184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</row>
    <row r="238" ht="15.75" customHeight="1" s="184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</row>
    <row r="239" ht="15.75" customHeight="1" s="184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</row>
    <row r="240" ht="15.75" customHeight="1" s="184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</row>
    <row r="241" ht="15.75" customHeight="1" s="184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</row>
    <row r="242" ht="15.75" customHeight="1" s="18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</row>
    <row r="243" ht="15.75" customHeight="1" s="18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</row>
    <row r="244" ht="15.75" customHeight="1" s="18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</row>
    <row r="245" ht="15.75" customHeight="1" s="184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</row>
    <row r="246" ht="15.75" customHeight="1" s="184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</row>
    <row r="247" ht="15.75" customHeight="1" s="184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</row>
    <row r="248" ht="15.75" customHeight="1" s="184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</row>
    <row r="249" ht="15.75" customHeight="1" s="184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</row>
    <row r="250" ht="15.75" customHeight="1" s="184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</row>
    <row r="251" ht="15.75" customHeight="1" s="184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</row>
    <row r="252" ht="15.75" customHeight="1" s="184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</row>
    <row r="253" ht="15.75" customHeight="1" s="184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</row>
    <row r="254" ht="15.75" customHeight="1" s="18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</row>
    <row r="255" ht="15.75" customHeight="1" s="184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</row>
    <row r="256" ht="15.75" customHeight="1" s="184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</row>
    <row r="257" ht="15.75" customHeight="1" s="184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</row>
    <row r="258" ht="15.75" customHeight="1" s="184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</row>
    <row r="259" ht="15.75" customHeight="1" s="184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</row>
    <row r="260" ht="15.75" customHeight="1" s="184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</row>
    <row r="261" ht="15.75" customHeight="1" s="184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</row>
    <row r="262" ht="15.75" customHeight="1" s="184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</row>
    <row r="263" ht="15.75" customHeight="1" s="184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</row>
    <row r="264" ht="15.75" customHeight="1" s="18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</row>
    <row r="265" ht="15.75" customHeight="1" s="184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</row>
    <row r="266" ht="15.75" customHeight="1" s="184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</row>
    <row r="267" ht="15.75" customHeight="1" s="184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</row>
    <row r="268" ht="15.75" customHeight="1" s="184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</row>
    <row r="269" ht="15.75" customHeight="1" s="184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</row>
    <row r="270" ht="15.75" customHeight="1" s="184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</row>
    <row r="271" ht="15.75" customHeight="1" s="184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</row>
    <row r="272" ht="15.75" customHeight="1" s="184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</row>
    <row r="273" ht="15.75" customHeight="1" s="184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</row>
    <row r="274" ht="15.75" customHeight="1" s="18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</row>
    <row r="275" ht="15.75" customHeight="1" s="184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</row>
    <row r="276" ht="15.75" customHeight="1" s="184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</row>
    <row r="277" ht="15.75" customHeight="1" s="184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</row>
    <row r="278" ht="15.75" customHeight="1" s="184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</row>
    <row r="279" ht="15.75" customHeight="1" s="184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</row>
    <row r="280" ht="15.75" customHeight="1" s="184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</row>
    <row r="281" ht="15.75" customHeight="1" s="184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</row>
    <row r="282" ht="15.75" customHeight="1" s="184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</row>
    <row r="283" ht="15.75" customHeight="1" s="184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</row>
    <row r="284" ht="15.75" customHeight="1" s="1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</row>
    <row r="285" ht="15.75" customHeight="1" s="184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</row>
    <row r="286" ht="15.75" customHeight="1" s="184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</row>
    <row r="287" ht="15.75" customHeight="1" s="184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</row>
    <row r="288" ht="15.75" customHeight="1" s="184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</row>
    <row r="289" ht="15.75" customHeight="1" s="184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</row>
    <row r="290" ht="15.75" customHeight="1" s="184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</row>
    <row r="291" ht="15.75" customHeight="1" s="184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</row>
    <row r="292" ht="15.75" customHeight="1" s="184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</row>
    <row r="293" ht="15.75" customHeight="1" s="184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</row>
    <row r="294" ht="15.75" customHeight="1" s="18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</row>
    <row r="295" ht="15.75" customHeight="1" s="184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</row>
    <row r="296" ht="15.75" customHeight="1" s="184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</row>
    <row r="297" ht="15.75" customHeight="1" s="184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</row>
    <row r="298" ht="15.75" customHeight="1" s="184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</row>
    <row r="299" ht="15.75" customHeight="1" s="184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</row>
    <row r="300" ht="15.75" customHeight="1" s="184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</row>
    <row r="301" ht="15.75" customHeight="1" s="184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</row>
    <row r="302" ht="15.75" customHeight="1" s="184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</row>
    <row r="303" ht="15.75" customHeight="1" s="184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</row>
    <row r="304" ht="15.75" customHeight="1" s="18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</row>
    <row r="305" ht="15.75" customHeight="1" s="184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</row>
    <row r="306" ht="15.75" customHeight="1" s="184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</row>
    <row r="307" ht="15.75" customHeight="1" s="184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</row>
    <row r="308" ht="15.75" customHeight="1" s="184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</row>
    <row r="309" ht="15.75" customHeight="1" s="184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</row>
    <row r="310" ht="15.75" customHeight="1" s="184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</row>
    <row r="311" ht="15.75" customHeight="1" s="184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</row>
    <row r="312" ht="15.75" customHeight="1" s="184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</row>
    <row r="313" ht="15.75" customHeight="1" s="184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</row>
    <row r="314" ht="15.75" customHeight="1" s="18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</row>
    <row r="315" ht="15.75" customHeight="1" s="184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</row>
    <row r="316" ht="15.75" customHeight="1" s="184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</row>
    <row r="317" ht="15.75" customHeight="1" s="184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</row>
    <row r="318" ht="15.75" customHeight="1" s="184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</row>
    <row r="319" ht="15.75" customHeight="1" s="184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</row>
    <row r="320" ht="15.75" customHeight="1" s="184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</row>
    <row r="321" ht="15.75" customHeight="1" s="184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</row>
    <row r="322" ht="15.75" customHeight="1" s="184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</row>
    <row r="323" ht="15.75" customHeight="1" s="184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</row>
    <row r="324" ht="15.75" customHeight="1" s="18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</row>
    <row r="325" ht="15.75" customHeight="1" s="184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</row>
    <row r="326" ht="15.75" customHeight="1" s="184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</row>
    <row r="327" ht="15.75" customHeight="1" s="184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</row>
    <row r="328" ht="15.75" customHeight="1" s="184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</row>
    <row r="329" ht="15.75" customHeight="1" s="184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</row>
    <row r="330" ht="15.75" customHeight="1" s="184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</row>
    <row r="331" ht="15.75" customHeight="1" s="184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</row>
    <row r="332" ht="15.75" customHeight="1" s="184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</row>
    <row r="333" ht="15.75" customHeight="1" s="184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</row>
    <row r="334" ht="15.75" customHeight="1" s="18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</row>
    <row r="335" ht="15.75" customHeight="1" s="184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</row>
    <row r="336" ht="15.75" customHeight="1" s="184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</row>
    <row r="337" ht="15.75" customHeight="1" s="184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</row>
    <row r="338" ht="15.75" customHeight="1" s="184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</row>
    <row r="339" ht="15.75" customHeight="1" s="184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</row>
    <row r="340" ht="15.75" customHeight="1" s="184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</row>
    <row r="341" ht="15.75" customHeight="1" s="184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</row>
    <row r="342" ht="15.75" customHeight="1" s="184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</row>
    <row r="343" ht="15.75" customHeight="1" s="184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</row>
    <row r="344" ht="15.75" customHeight="1" s="18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</row>
    <row r="345" ht="15.75" customHeight="1" s="184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</row>
    <row r="346" ht="15.75" customHeight="1" s="184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</row>
    <row r="347" ht="15.75" customHeight="1" s="184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</row>
    <row r="348" ht="15.75" customHeight="1" s="184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</row>
    <row r="349" ht="15.75" customHeight="1" s="184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</row>
    <row r="350" ht="15.75" customHeight="1" s="184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</row>
    <row r="351" ht="15.75" customHeight="1" s="184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</row>
    <row r="352" ht="15.75" customHeight="1" s="184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</row>
    <row r="353" ht="15.75" customHeight="1" s="184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</row>
    <row r="354" ht="15.75" customHeight="1" s="18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</row>
    <row r="355" ht="15.75" customHeight="1" s="184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</row>
    <row r="356" ht="15.75" customHeight="1" s="184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</row>
    <row r="357" ht="15.75" customHeight="1" s="184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</row>
    <row r="358" ht="15.75" customHeight="1" s="184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</row>
    <row r="359" ht="15.75" customHeight="1" s="184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</row>
    <row r="360" ht="15.75" customHeight="1" s="184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</row>
    <row r="361" ht="15.75" customHeight="1" s="184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</row>
    <row r="362" ht="15.75" customHeight="1" s="184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</row>
    <row r="363" ht="15.75" customHeight="1" s="184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</row>
    <row r="364" ht="15.75" customHeight="1" s="18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</row>
    <row r="365" ht="15.75" customHeight="1" s="184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</row>
    <row r="366" ht="15.75" customHeight="1" s="184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</row>
    <row r="367" ht="15.75" customHeight="1" s="184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</row>
    <row r="368" ht="15.75" customHeight="1" s="184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</row>
    <row r="369" ht="15.75" customHeight="1" s="184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</row>
    <row r="370" ht="15.75" customHeight="1" s="184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</row>
    <row r="371" ht="15.75" customHeight="1" s="184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</row>
    <row r="372" ht="15.75" customHeight="1" s="184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</row>
    <row r="373" ht="15.75" customHeight="1" s="184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</row>
    <row r="374" ht="15.75" customHeight="1" s="18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</row>
    <row r="375" ht="15.75" customHeight="1" s="184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</row>
    <row r="376" ht="15.75" customHeight="1" s="184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</row>
    <row r="377" ht="15.75" customHeight="1" s="184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</row>
    <row r="378" ht="15.75" customHeight="1" s="184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</row>
    <row r="379" ht="15.75" customHeight="1" s="184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</row>
    <row r="380" ht="15.75" customHeight="1" s="184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</row>
    <row r="381" ht="15.75" customHeight="1" s="184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</row>
    <row r="382" ht="15.75" customHeight="1" s="184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</row>
    <row r="383" ht="15.75" customHeight="1" s="184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</row>
    <row r="384" ht="15.75" customHeight="1" s="1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</row>
    <row r="385" ht="15.75" customHeight="1" s="184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</row>
    <row r="386" ht="15.75" customHeight="1" s="184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</row>
    <row r="387" ht="15.75" customHeight="1" s="184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</row>
    <row r="388" ht="15.75" customHeight="1" s="184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</row>
    <row r="389" ht="15.75" customHeight="1" s="184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</row>
    <row r="390" ht="15.75" customHeight="1" s="184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</row>
    <row r="391" ht="15.75" customHeight="1" s="184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</row>
    <row r="392" ht="15.75" customHeight="1" s="184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</row>
    <row r="393" ht="15.75" customHeight="1" s="184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</row>
    <row r="394" ht="15.75" customHeight="1" s="18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</row>
    <row r="395" ht="15.75" customHeight="1" s="184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</row>
    <row r="396" ht="15.75" customHeight="1" s="184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</row>
    <row r="397" ht="15.75" customHeight="1" s="184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</row>
    <row r="398" ht="15.75" customHeight="1" s="184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</row>
    <row r="399" ht="15.75" customHeight="1" s="184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</row>
    <row r="400" ht="15.75" customHeight="1" s="184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</row>
    <row r="401" ht="15.75" customHeight="1" s="184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</row>
    <row r="402" ht="15.75" customHeight="1" s="184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</row>
    <row r="403" ht="15.75" customHeight="1" s="184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</row>
    <row r="404" ht="15.75" customHeight="1" s="18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</row>
    <row r="405" ht="15.75" customHeight="1" s="184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</row>
    <row r="406" ht="15.75" customHeight="1" s="184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</row>
    <row r="407" ht="15.75" customHeight="1" s="184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</row>
    <row r="408" ht="15.75" customHeight="1" s="184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</row>
    <row r="409" ht="15.75" customHeight="1" s="184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</row>
    <row r="410" ht="15.75" customHeight="1" s="184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</row>
    <row r="411" ht="15.75" customHeight="1" s="184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</row>
    <row r="412" ht="15.75" customHeight="1" s="184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</row>
    <row r="413" ht="15.75" customHeight="1" s="184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</row>
    <row r="414" ht="15.75" customHeight="1" s="18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</row>
    <row r="415" ht="15.75" customHeight="1" s="184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</row>
    <row r="416" ht="15.75" customHeight="1" s="184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</row>
    <row r="417" ht="15.75" customHeight="1" s="184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</row>
    <row r="418" ht="15.75" customHeight="1" s="184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</row>
    <row r="419" ht="15.75" customHeight="1" s="184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</row>
    <row r="420" ht="15.75" customHeight="1" s="184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</row>
    <row r="421" ht="15.75" customHeight="1" s="184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</row>
    <row r="422" ht="15.75" customHeight="1" s="184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</row>
    <row r="423" ht="15.75" customHeight="1" s="184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</row>
    <row r="424" ht="15.75" customHeight="1" s="18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</row>
    <row r="425" ht="15.75" customHeight="1" s="184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</row>
    <row r="426" ht="15.75" customHeight="1" s="184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</row>
    <row r="427" ht="15.75" customHeight="1" s="184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</row>
    <row r="428" ht="15.75" customHeight="1" s="184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</row>
    <row r="429" ht="15.75" customHeight="1" s="184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</row>
    <row r="430" ht="15.75" customHeight="1" s="184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</row>
    <row r="431" ht="15.75" customHeight="1" s="184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</row>
    <row r="432" ht="15.75" customHeight="1" s="184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</row>
    <row r="433" ht="15.75" customHeight="1" s="184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</row>
    <row r="434" ht="15.75" customHeight="1" s="18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</row>
    <row r="435" ht="15.75" customHeight="1" s="184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</row>
    <row r="436" ht="15.75" customHeight="1" s="184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</row>
    <row r="437" ht="15.75" customHeight="1" s="184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</row>
    <row r="438" ht="15.75" customHeight="1" s="184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</row>
    <row r="439" ht="15.75" customHeight="1" s="184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</row>
    <row r="440" ht="15.75" customHeight="1" s="184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</row>
    <row r="441" ht="15.75" customHeight="1" s="184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</row>
    <row r="442" ht="15.75" customHeight="1" s="184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</row>
    <row r="443" ht="15.75" customHeight="1" s="184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</row>
    <row r="444" ht="15.75" customHeight="1" s="18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</row>
    <row r="445" ht="15.75" customHeight="1" s="184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</row>
    <row r="446" ht="15.75" customHeight="1" s="184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</row>
    <row r="447" ht="15.75" customHeight="1" s="184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</row>
    <row r="448" ht="15.75" customHeight="1" s="184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</row>
    <row r="449" ht="15.75" customHeight="1" s="184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</row>
    <row r="450" ht="15.75" customHeight="1" s="184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</row>
    <row r="451" ht="15.75" customHeight="1" s="184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</row>
    <row r="452" ht="15.75" customHeight="1" s="184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</row>
    <row r="453" ht="15.75" customHeight="1" s="184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</row>
    <row r="454" ht="15.75" customHeight="1" s="18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</row>
    <row r="455" ht="15.75" customHeight="1" s="184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</row>
    <row r="456" ht="15.75" customHeight="1" s="184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</row>
    <row r="457" ht="15.75" customHeight="1" s="184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</row>
    <row r="458" ht="15.75" customHeight="1" s="184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</row>
    <row r="459" ht="15.75" customHeight="1" s="184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</row>
    <row r="460" ht="15.75" customHeight="1" s="184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</row>
    <row r="461" ht="15.75" customHeight="1" s="184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</row>
    <row r="462" ht="15.75" customHeight="1" s="184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</row>
    <row r="463" ht="15.75" customHeight="1" s="184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</row>
    <row r="464" ht="15.75" customHeight="1" s="18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</row>
    <row r="465" ht="15.75" customHeight="1" s="184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</row>
    <row r="466" ht="15.75" customHeight="1" s="184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</row>
    <row r="467" ht="15.75" customHeight="1" s="184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</row>
    <row r="468" ht="15.75" customHeight="1" s="184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</row>
    <row r="469" ht="15.75" customHeight="1" s="184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</row>
    <row r="470" ht="15.75" customHeight="1" s="184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</row>
    <row r="471" ht="15.75" customHeight="1" s="184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</row>
    <row r="472" ht="15.75" customHeight="1" s="184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</row>
    <row r="473" ht="15.75" customHeight="1" s="184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</row>
    <row r="474" ht="15.75" customHeight="1" s="18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</row>
    <row r="475" ht="15.75" customHeight="1" s="184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</row>
    <row r="476" ht="15.75" customHeight="1" s="184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</row>
    <row r="477" ht="15.75" customHeight="1" s="184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</row>
    <row r="478" ht="15.75" customHeight="1" s="184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</row>
    <row r="479" ht="15.75" customHeight="1" s="184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</row>
    <row r="480" ht="15.75" customHeight="1" s="184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</row>
    <row r="481" ht="15.75" customHeight="1" s="184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</row>
    <row r="482" ht="15.75" customHeight="1" s="184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</row>
    <row r="483" ht="15.75" customHeight="1" s="184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</row>
    <row r="484" ht="15.75" customHeight="1" s="1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</row>
    <row r="485" ht="15.75" customHeight="1" s="184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</row>
    <row r="486" ht="15.75" customHeight="1" s="184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</row>
    <row r="487" ht="15.75" customHeight="1" s="184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</row>
    <row r="488" ht="15.75" customHeight="1" s="184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</row>
    <row r="489" ht="15.75" customHeight="1" s="184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</row>
    <row r="490" ht="15.75" customHeight="1" s="184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</row>
    <row r="491" ht="15.75" customHeight="1" s="184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</row>
    <row r="492" ht="15.75" customHeight="1" s="184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</row>
    <row r="493" ht="15.75" customHeight="1" s="184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</row>
    <row r="494" ht="15.75" customHeight="1" s="18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</row>
    <row r="495" ht="15.75" customHeight="1" s="184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</row>
    <row r="496" ht="15.75" customHeight="1" s="184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</row>
    <row r="497" ht="15.75" customHeight="1" s="184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</row>
    <row r="498" ht="15.75" customHeight="1" s="184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</row>
    <row r="499" ht="15.75" customHeight="1" s="184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</row>
    <row r="500" ht="15.75" customHeight="1" s="184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</row>
    <row r="501" ht="15.75" customHeight="1" s="184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</row>
    <row r="502" ht="15.75" customHeight="1" s="184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</row>
    <row r="503" ht="15.75" customHeight="1" s="184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</row>
    <row r="504" ht="15.75" customHeight="1" s="18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</row>
    <row r="505" ht="15.75" customHeight="1" s="184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</row>
    <row r="506" ht="15.75" customHeight="1" s="184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</row>
    <row r="507" ht="15.75" customHeight="1" s="184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</row>
    <row r="508" ht="15.75" customHeight="1" s="184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</row>
    <row r="509" ht="15.75" customHeight="1" s="184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</row>
    <row r="510" ht="15.75" customHeight="1" s="184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</row>
    <row r="511" ht="15.75" customHeight="1" s="184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</row>
    <row r="512" ht="15.75" customHeight="1" s="184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</row>
    <row r="513" ht="15.75" customHeight="1" s="184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</row>
    <row r="514" ht="15.75" customHeight="1" s="18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</row>
    <row r="515" ht="15.75" customHeight="1" s="184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</row>
    <row r="516" ht="15.75" customHeight="1" s="184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</row>
    <row r="517" ht="15.75" customHeight="1" s="184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</row>
    <row r="518" ht="15.75" customHeight="1" s="184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</row>
    <row r="519" ht="15.75" customHeight="1" s="184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</row>
    <row r="520" ht="15.75" customHeight="1" s="184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</row>
    <row r="521" ht="15.75" customHeight="1" s="184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</row>
    <row r="522" ht="15.75" customHeight="1" s="184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</row>
    <row r="523" ht="15.75" customHeight="1" s="184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</row>
    <row r="524" ht="15.75" customHeight="1" s="18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</row>
    <row r="525" ht="15.75" customHeight="1" s="184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</row>
    <row r="526" ht="15.75" customHeight="1" s="184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</row>
    <row r="527" ht="15.75" customHeight="1" s="184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</row>
    <row r="528" ht="15.75" customHeight="1" s="184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</row>
    <row r="529" ht="15.75" customHeight="1" s="184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</row>
    <row r="530" ht="15.75" customHeight="1" s="184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</row>
    <row r="531" ht="15.75" customHeight="1" s="184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</row>
    <row r="532" ht="15.75" customHeight="1" s="184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</row>
    <row r="533" ht="15.75" customHeight="1" s="184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</row>
    <row r="534" ht="15.75" customHeight="1" s="18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</row>
    <row r="535" ht="15.75" customHeight="1" s="184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</row>
    <row r="536" ht="15.75" customHeight="1" s="184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</row>
    <row r="537" ht="15.75" customHeight="1" s="184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</row>
    <row r="538" ht="15.75" customHeight="1" s="184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</row>
    <row r="539" ht="15.75" customHeight="1" s="184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</row>
    <row r="540" ht="15.75" customHeight="1" s="184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</row>
    <row r="541" ht="15.75" customHeight="1" s="184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</row>
    <row r="542" ht="15.75" customHeight="1" s="184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</row>
    <row r="543" ht="15.75" customHeight="1" s="184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</row>
    <row r="544" ht="15.75" customHeight="1" s="18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</row>
    <row r="545" ht="15.75" customHeight="1" s="184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</row>
    <row r="546" ht="15.75" customHeight="1" s="184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</row>
    <row r="547" ht="15.75" customHeight="1" s="184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</row>
    <row r="548" ht="15.75" customHeight="1" s="184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</row>
    <row r="549" ht="15.75" customHeight="1" s="184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</row>
    <row r="550" ht="15.75" customHeight="1" s="184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</row>
    <row r="551" ht="15.75" customHeight="1" s="184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</row>
    <row r="552" ht="15.75" customHeight="1" s="184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</row>
    <row r="553" ht="15.75" customHeight="1" s="184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</row>
    <row r="554" ht="15.75" customHeight="1" s="18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</row>
    <row r="555" ht="15.75" customHeight="1" s="184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</row>
    <row r="556" ht="15.75" customHeight="1" s="184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</row>
    <row r="557" ht="15.75" customHeight="1" s="184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</row>
    <row r="558" ht="15.75" customHeight="1" s="184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</row>
    <row r="559" ht="15.75" customHeight="1" s="184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</row>
    <row r="560" ht="15.75" customHeight="1" s="184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</row>
    <row r="561" ht="15.75" customHeight="1" s="184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</row>
    <row r="562" ht="15.75" customHeight="1" s="184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</row>
    <row r="563" ht="15.75" customHeight="1" s="184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</row>
    <row r="564" ht="15.75" customHeight="1" s="18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</row>
    <row r="565" ht="15.75" customHeight="1" s="184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</row>
    <row r="566" ht="15.75" customHeight="1" s="184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</row>
    <row r="567" ht="15.75" customHeight="1" s="184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</row>
    <row r="568" ht="15.75" customHeight="1" s="184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</row>
    <row r="569" ht="15.75" customHeight="1" s="184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</row>
    <row r="570" ht="15.75" customHeight="1" s="184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</row>
    <row r="571" ht="15.75" customHeight="1" s="184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</row>
    <row r="572" ht="15.75" customHeight="1" s="184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</row>
    <row r="573" ht="15.75" customHeight="1" s="184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</row>
    <row r="574" ht="15.75" customHeight="1" s="18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</row>
    <row r="575" ht="15.75" customHeight="1" s="184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</row>
    <row r="576" ht="15.75" customHeight="1" s="184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</row>
    <row r="577" ht="15.75" customHeight="1" s="184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</row>
    <row r="578" ht="15.75" customHeight="1" s="184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</row>
    <row r="579" ht="15.75" customHeight="1" s="184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</row>
    <row r="580" ht="15.75" customHeight="1" s="184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</row>
    <row r="581" ht="15.75" customHeight="1" s="184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</row>
    <row r="582" ht="15.75" customHeight="1" s="184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</row>
    <row r="583" ht="15.75" customHeight="1" s="184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</row>
    <row r="584" ht="15.75" customHeight="1" s="1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</row>
    <row r="585" ht="15.75" customHeight="1" s="184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</row>
    <row r="586" ht="15.75" customHeight="1" s="184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</row>
    <row r="587" ht="15.75" customHeight="1" s="184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</row>
    <row r="588" ht="15.75" customHeight="1" s="184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</row>
    <row r="589" ht="15.75" customHeight="1" s="184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</row>
    <row r="590" ht="15.75" customHeight="1" s="184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</row>
    <row r="591" ht="15.75" customHeight="1" s="184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</row>
    <row r="592" ht="15.75" customHeight="1" s="184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</row>
    <row r="593" ht="15.75" customHeight="1" s="184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</row>
    <row r="594" ht="15.75" customHeight="1" s="18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</row>
    <row r="595" ht="15.75" customHeight="1" s="184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</row>
    <row r="596" ht="15.75" customHeight="1" s="184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</row>
    <row r="597" ht="15.75" customHeight="1" s="184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</row>
    <row r="598" ht="15.75" customHeight="1" s="184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</row>
    <row r="599" ht="15.75" customHeight="1" s="184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</row>
    <row r="600" ht="15.75" customHeight="1" s="184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</row>
    <row r="601" ht="15.75" customHeight="1" s="184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</row>
    <row r="602" ht="15.75" customHeight="1" s="184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</row>
    <row r="603" ht="15.75" customHeight="1" s="184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</row>
    <row r="604" ht="15.75" customHeight="1" s="18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</row>
    <row r="605" ht="15.75" customHeight="1" s="184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</row>
    <row r="606" ht="15.75" customHeight="1" s="184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</row>
    <row r="607" ht="15.75" customHeight="1" s="184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</row>
    <row r="608" ht="15.75" customHeight="1" s="184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</row>
    <row r="609" ht="15.75" customHeight="1" s="184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</row>
    <row r="610" ht="15.75" customHeight="1" s="184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</row>
    <row r="611" ht="15.75" customHeight="1" s="184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</row>
    <row r="612" ht="15.75" customHeight="1" s="184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</row>
    <row r="613" ht="15.75" customHeight="1" s="184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</row>
    <row r="614" ht="15.75" customHeight="1" s="18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</row>
    <row r="615" ht="15.75" customHeight="1" s="184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</row>
    <row r="616" ht="15.75" customHeight="1" s="184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</row>
    <row r="617" ht="15.75" customHeight="1" s="184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</row>
    <row r="618" ht="15.75" customHeight="1" s="184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</row>
    <row r="619" ht="15.75" customHeight="1" s="184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</row>
    <row r="620" ht="15.75" customHeight="1" s="184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</row>
    <row r="621" ht="15.75" customHeight="1" s="184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</row>
    <row r="622" ht="15.75" customHeight="1" s="184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</row>
    <row r="623" ht="15.75" customHeight="1" s="184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</row>
    <row r="624" ht="15.75" customHeight="1" s="18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</row>
    <row r="625" ht="15.75" customHeight="1" s="184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</row>
    <row r="626" ht="15.75" customHeight="1" s="184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</row>
    <row r="627" ht="15.75" customHeight="1" s="184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</row>
    <row r="628" ht="15.75" customHeight="1" s="184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</row>
    <row r="629" ht="15.75" customHeight="1" s="184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</row>
    <row r="630" ht="15.75" customHeight="1" s="184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</row>
    <row r="631" ht="15.75" customHeight="1" s="184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</row>
    <row r="632" ht="15.75" customHeight="1" s="184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</row>
    <row r="633" ht="15.75" customHeight="1" s="184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</row>
    <row r="634" ht="15.75" customHeight="1" s="18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</row>
    <row r="635" ht="15.75" customHeight="1" s="184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</row>
    <row r="636" ht="15.75" customHeight="1" s="184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</row>
    <row r="637" ht="15.75" customHeight="1" s="184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</row>
    <row r="638" ht="15.75" customHeight="1" s="184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</row>
    <row r="639" ht="15.75" customHeight="1" s="184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</row>
    <row r="640" ht="15.75" customHeight="1" s="184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</row>
    <row r="641" ht="15.75" customHeight="1" s="184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</row>
    <row r="642" ht="15.75" customHeight="1" s="184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</row>
    <row r="643" ht="15.75" customHeight="1" s="184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</row>
    <row r="644" ht="15.75" customHeight="1" s="18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</row>
    <row r="645" ht="15.75" customHeight="1" s="184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</row>
    <row r="646" ht="15.75" customHeight="1" s="184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</row>
    <row r="647" ht="15.75" customHeight="1" s="184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</row>
    <row r="648" ht="15.75" customHeight="1" s="184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</row>
    <row r="649" ht="15.75" customHeight="1" s="184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</row>
    <row r="650" ht="15.75" customHeight="1" s="184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</row>
    <row r="651" ht="15.75" customHeight="1" s="184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</row>
    <row r="652" ht="15.75" customHeight="1" s="184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</row>
    <row r="653" ht="15.75" customHeight="1" s="184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</row>
    <row r="654" ht="15.75" customHeight="1" s="18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</row>
    <row r="655" ht="15.75" customHeight="1" s="184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</row>
    <row r="656" ht="15.75" customHeight="1" s="184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</row>
    <row r="657" ht="15.75" customHeight="1" s="184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</row>
    <row r="658" ht="15.75" customHeight="1" s="184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</row>
    <row r="659" ht="15.75" customHeight="1" s="184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</row>
    <row r="660" ht="15.75" customHeight="1" s="184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</row>
    <row r="661" ht="15.75" customHeight="1" s="184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</row>
    <row r="662" ht="15.75" customHeight="1" s="184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</row>
    <row r="663" ht="15.75" customHeight="1" s="184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</row>
    <row r="664" ht="15.75" customHeight="1" s="18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</row>
    <row r="665" ht="15.75" customHeight="1" s="184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</row>
    <row r="666" ht="15.75" customHeight="1" s="184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</row>
    <row r="667" ht="15.75" customHeight="1" s="184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</row>
    <row r="668" ht="15.75" customHeight="1" s="184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</row>
    <row r="669" ht="15.75" customHeight="1" s="184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</row>
    <row r="670" ht="15.75" customHeight="1" s="184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</row>
    <row r="671" ht="15.75" customHeight="1" s="184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</row>
    <row r="672" ht="15.75" customHeight="1" s="184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</row>
    <row r="673" ht="15.75" customHeight="1" s="184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</row>
    <row r="674" ht="15.75" customHeight="1" s="18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</row>
    <row r="675" ht="15.75" customHeight="1" s="184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</row>
    <row r="676" ht="15.75" customHeight="1" s="184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</row>
    <row r="677" ht="15.75" customHeight="1" s="184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</row>
    <row r="678" ht="15.75" customHeight="1" s="184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</row>
    <row r="679" ht="15.75" customHeight="1" s="184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</row>
    <row r="680" ht="15.75" customHeight="1" s="184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</row>
    <row r="681" ht="15.75" customHeight="1" s="184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</row>
    <row r="682" ht="15.75" customHeight="1" s="184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</row>
    <row r="683" ht="15.75" customHeight="1" s="184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</row>
    <row r="684" ht="15.75" customHeight="1" s="1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</row>
    <row r="685" ht="15.75" customHeight="1" s="184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</row>
    <row r="686" ht="15.75" customHeight="1" s="184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</row>
    <row r="687" ht="15.75" customHeight="1" s="184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</row>
    <row r="688" ht="15.75" customHeight="1" s="184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</row>
    <row r="689" ht="15.75" customHeight="1" s="184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</row>
    <row r="690" ht="15.75" customHeight="1" s="184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</row>
    <row r="691" ht="15.75" customHeight="1" s="184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</row>
    <row r="692" ht="15.75" customHeight="1" s="184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</row>
    <row r="693" ht="15.75" customHeight="1" s="184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</row>
    <row r="694" ht="15.75" customHeight="1" s="18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</row>
    <row r="695" ht="15.75" customHeight="1" s="184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</row>
    <row r="696" ht="15.75" customHeight="1" s="184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</row>
    <row r="697" ht="15.75" customHeight="1" s="184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</row>
    <row r="698" ht="15.75" customHeight="1" s="184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</row>
    <row r="699" ht="15.75" customHeight="1" s="184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</row>
    <row r="700" ht="15.75" customHeight="1" s="184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</row>
    <row r="701" ht="15.75" customHeight="1" s="184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</row>
    <row r="702" ht="15.75" customHeight="1" s="184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</row>
    <row r="703" ht="15.75" customHeight="1" s="184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</row>
    <row r="704" ht="15.75" customHeight="1" s="18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</row>
    <row r="705" ht="15.75" customHeight="1" s="184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</row>
    <row r="706" ht="15.75" customHeight="1" s="184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</row>
    <row r="707" ht="15.75" customHeight="1" s="184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</row>
    <row r="708" ht="15.75" customHeight="1" s="184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</row>
    <row r="709" ht="15.75" customHeight="1" s="184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</row>
    <row r="710" ht="15.75" customHeight="1" s="184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</row>
    <row r="711" ht="15.75" customHeight="1" s="184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</row>
    <row r="712" ht="15.75" customHeight="1" s="184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</row>
    <row r="713" ht="15.75" customHeight="1" s="184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</row>
    <row r="714" ht="15.75" customHeight="1" s="18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</row>
    <row r="715" ht="15.75" customHeight="1" s="184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</row>
    <row r="716" ht="15.75" customHeight="1" s="184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</row>
    <row r="717" ht="15.75" customHeight="1" s="184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</row>
    <row r="718" ht="15.75" customHeight="1" s="184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</row>
    <row r="719" ht="15.75" customHeight="1" s="184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</row>
    <row r="720" ht="15.75" customHeight="1" s="184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</row>
    <row r="721" ht="15.75" customHeight="1" s="184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</row>
    <row r="722" ht="15.75" customHeight="1" s="184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</row>
    <row r="723" ht="15.75" customHeight="1" s="184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</row>
    <row r="724" ht="15.75" customHeight="1" s="18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</row>
    <row r="725" ht="15.75" customHeight="1" s="184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</row>
    <row r="726" ht="15.75" customHeight="1" s="184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</row>
    <row r="727" ht="15.75" customHeight="1" s="184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</row>
    <row r="728" ht="15.75" customHeight="1" s="184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</row>
    <row r="729" ht="15.75" customHeight="1" s="184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</row>
    <row r="730" ht="15.75" customHeight="1" s="184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</row>
    <row r="731" ht="15.75" customHeight="1" s="184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</row>
    <row r="732" ht="15.75" customHeight="1" s="184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</row>
    <row r="733" ht="15.75" customHeight="1" s="184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</row>
    <row r="734" ht="15.75" customHeight="1" s="18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</row>
    <row r="735" ht="15.75" customHeight="1" s="184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</row>
    <row r="736" ht="15.75" customHeight="1" s="184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</row>
    <row r="737" ht="15.75" customHeight="1" s="184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</row>
    <row r="738" ht="15.75" customHeight="1" s="184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</row>
    <row r="739" ht="15.75" customHeight="1" s="184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</row>
    <row r="740" ht="15.75" customHeight="1" s="184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</row>
    <row r="741" ht="15.75" customHeight="1" s="184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</row>
    <row r="742" ht="15.75" customHeight="1" s="184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</row>
    <row r="743" ht="15.75" customHeight="1" s="184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</row>
    <row r="744" ht="15.75" customHeight="1" s="18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</row>
    <row r="745" ht="15.75" customHeight="1" s="184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</row>
    <row r="746" ht="15.75" customHeight="1" s="184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</row>
    <row r="747" ht="15.75" customHeight="1" s="184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</row>
    <row r="748" ht="15.75" customHeight="1" s="184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</row>
    <row r="749" ht="15.75" customHeight="1" s="184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</row>
    <row r="750" ht="15.75" customHeight="1" s="184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</row>
    <row r="751" ht="15.75" customHeight="1" s="184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</row>
    <row r="752" ht="15.75" customHeight="1" s="184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</row>
    <row r="753" ht="15.75" customHeight="1" s="184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</row>
    <row r="754" ht="15.75" customHeight="1" s="18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</row>
    <row r="755" ht="15.75" customHeight="1" s="184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</row>
    <row r="756" ht="15.75" customHeight="1" s="184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</row>
    <row r="757" ht="15.75" customHeight="1" s="184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</row>
    <row r="758" ht="15.75" customHeight="1" s="184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</row>
    <row r="759" ht="15.75" customHeight="1" s="184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</row>
    <row r="760" ht="15.75" customHeight="1" s="184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</row>
    <row r="761" ht="15.75" customHeight="1" s="184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</row>
    <row r="762" ht="15.75" customHeight="1" s="184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</row>
    <row r="763" ht="15.75" customHeight="1" s="184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</row>
    <row r="764" ht="15.75" customHeight="1" s="18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</row>
    <row r="765" ht="15.75" customHeight="1" s="184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</row>
    <row r="766" ht="15.75" customHeight="1" s="184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</row>
    <row r="767" ht="15.75" customHeight="1" s="184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</row>
    <row r="768" ht="15.75" customHeight="1" s="184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</row>
    <row r="769" ht="15.75" customHeight="1" s="184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</row>
    <row r="770" ht="15.75" customHeight="1" s="184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</row>
    <row r="771" ht="15.75" customHeight="1" s="184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</row>
    <row r="772" ht="15.75" customHeight="1" s="184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</row>
    <row r="773" ht="15.75" customHeight="1" s="184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</row>
    <row r="774" ht="15.75" customHeight="1" s="18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</row>
    <row r="775" ht="15.75" customHeight="1" s="184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</row>
    <row r="776" ht="15.75" customHeight="1" s="184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</row>
    <row r="777" ht="15.75" customHeight="1" s="184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</row>
    <row r="778" ht="15.75" customHeight="1" s="184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</row>
    <row r="779" ht="15.75" customHeight="1" s="184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</row>
    <row r="780" ht="15.75" customHeight="1" s="184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</row>
    <row r="781" ht="15.75" customHeight="1" s="184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</row>
    <row r="782" ht="15.75" customHeight="1" s="184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</row>
    <row r="783" ht="15.75" customHeight="1" s="184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</row>
    <row r="784" ht="15.75" customHeight="1" s="1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</row>
    <row r="785" ht="15.75" customHeight="1" s="184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</row>
    <row r="786" ht="15.75" customHeight="1" s="184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</row>
    <row r="787" ht="15.75" customHeight="1" s="184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</row>
    <row r="788" ht="15.75" customHeight="1" s="184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</row>
    <row r="789" ht="15.75" customHeight="1" s="184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</row>
    <row r="790" ht="15.75" customHeight="1" s="184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</row>
    <row r="791" ht="15.75" customHeight="1" s="184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</row>
    <row r="792" ht="15.75" customHeight="1" s="184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</row>
    <row r="793" ht="15.75" customHeight="1" s="184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</row>
    <row r="794" ht="15.75" customHeight="1" s="18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</row>
    <row r="795" ht="15.75" customHeight="1" s="184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</row>
    <row r="796" ht="15.75" customHeight="1" s="184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</row>
    <row r="797" ht="15.75" customHeight="1" s="184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</row>
    <row r="798" ht="15.75" customHeight="1" s="184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</row>
    <row r="799" ht="15.75" customHeight="1" s="184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</row>
    <row r="800" ht="15.75" customHeight="1" s="184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</row>
    <row r="801" ht="15.75" customHeight="1" s="184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</row>
    <row r="802" ht="15.75" customHeight="1" s="184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</row>
    <row r="803" ht="15.75" customHeight="1" s="184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</row>
    <row r="804" ht="15.75" customHeight="1" s="18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</row>
    <row r="805" ht="15.75" customHeight="1" s="184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</row>
    <row r="806" ht="15.75" customHeight="1" s="184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</row>
    <row r="807" ht="15.75" customHeight="1" s="184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</row>
    <row r="808" ht="15.75" customHeight="1" s="184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</row>
    <row r="809" ht="15.75" customHeight="1" s="184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</row>
    <row r="810" ht="15.75" customHeight="1" s="184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</row>
    <row r="811" ht="15.75" customHeight="1" s="184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</row>
    <row r="812" ht="15.75" customHeight="1" s="184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</row>
    <row r="813" ht="15.75" customHeight="1" s="184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</row>
    <row r="814" ht="15.75" customHeight="1" s="18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</row>
    <row r="815" ht="15.75" customHeight="1" s="184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</row>
    <row r="816" ht="15.75" customHeight="1" s="184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</row>
    <row r="817" ht="15.75" customHeight="1" s="184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</row>
    <row r="818" ht="15.75" customHeight="1" s="184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</row>
    <row r="819" ht="15.75" customHeight="1" s="184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</row>
    <row r="820" ht="15.75" customHeight="1" s="184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</row>
    <row r="821" ht="15.75" customHeight="1" s="184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</row>
    <row r="822" ht="15.75" customHeight="1" s="184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</row>
    <row r="823" ht="15.75" customHeight="1" s="184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</row>
    <row r="824" ht="15.75" customHeight="1" s="18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</row>
    <row r="825" ht="15.75" customHeight="1" s="184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</row>
    <row r="826" ht="15.75" customHeight="1" s="184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</row>
    <row r="827" ht="15.75" customHeight="1" s="184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</row>
    <row r="828" ht="15.75" customHeight="1" s="184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</row>
    <row r="829" ht="15.75" customHeight="1" s="184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</row>
    <row r="830" ht="15.75" customHeight="1" s="184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</row>
    <row r="831" ht="15.75" customHeight="1" s="184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</row>
    <row r="832" ht="15.75" customHeight="1" s="184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</row>
    <row r="833" ht="15.75" customHeight="1" s="184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</row>
    <row r="834" ht="15.75" customHeight="1" s="18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</row>
    <row r="835" ht="15.75" customHeight="1" s="184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</row>
    <row r="836" ht="15.75" customHeight="1" s="184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</row>
    <row r="837" ht="15.75" customHeight="1" s="184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</row>
    <row r="838" ht="15.75" customHeight="1" s="184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</row>
    <row r="839" ht="15.75" customHeight="1" s="184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</row>
    <row r="840" ht="15.75" customHeight="1" s="184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</row>
    <row r="841" ht="15.75" customHeight="1" s="184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</row>
    <row r="842" ht="15.75" customHeight="1" s="184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</row>
    <row r="843" ht="15.75" customHeight="1" s="184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</row>
    <row r="844" ht="15.75" customHeight="1" s="18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</row>
    <row r="845" ht="15.75" customHeight="1" s="184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</row>
    <row r="846" ht="15.75" customHeight="1" s="184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</row>
    <row r="847" ht="15.75" customHeight="1" s="184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</row>
    <row r="848" ht="15.75" customHeight="1" s="184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</row>
    <row r="849" ht="15.75" customHeight="1" s="184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</row>
    <row r="850" ht="15.75" customHeight="1" s="184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</row>
    <row r="851" ht="15.75" customHeight="1" s="184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</row>
    <row r="852" ht="15.75" customHeight="1" s="184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</row>
    <row r="853" ht="15.75" customHeight="1" s="184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</row>
    <row r="854" ht="15.75" customHeight="1" s="18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</row>
    <row r="855" ht="15.75" customHeight="1" s="184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</row>
    <row r="856" ht="15.75" customHeight="1" s="184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</row>
    <row r="857" ht="15.75" customHeight="1" s="184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</row>
    <row r="858" ht="15.75" customHeight="1" s="184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</row>
    <row r="859" ht="15.75" customHeight="1" s="184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</row>
    <row r="860" ht="15.75" customHeight="1" s="184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</row>
    <row r="861" ht="15.75" customHeight="1" s="184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</row>
    <row r="862" ht="15.75" customHeight="1" s="184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</row>
    <row r="863" ht="15.75" customHeight="1" s="184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</row>
    <row r="864" ht="15.75" customHeight="1" s="18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</row>
    <row r="865" ht="15.75" customHeight="1" s="184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</row>
    <row r="866" ht="15.75" customHeight="1" s="184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</row>
    <row r="867" ht="15.75" customHeight="1" s="184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</row>
    <row r="868" ht="15.75" customHeight="1" s="184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</row>
    <row r="869" ht="15.75" customHeight="1" s="184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</row>
    <row r="870" ht="15.75" customHeight="1" s="184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</row>
    <row r="871" ht="15.75" customHeight="1" s="184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</row>
    <row r="872" ht="15.75" customHeight="1" s="184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</row>
    <row r="873" ht="15.75" customHeight="1" s="184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</row>
    <row r="874" ht="15.75" customHeight="1" s="18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</row>
    <row r="875" ht="15.75" customHeight="1" s="184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</row>
    <row r="876" ht="15.75" customHeight="1" s="184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</row>
    <row r="877" ht="15.75" customHeight="1" s="184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</row>
    <row r="878" ht="15.75" customHeight="1" s="184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</row>
    <row r="879" ht="15.75" customHeight="1" s="184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</row>
    <row r="880" ht="15.75" customHeight="1" s="184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</row>
    <row r="881" ht="15.75" customHeight="1" s="184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</row>
    <row r="882" ht="15.75" customHeight="1" s="184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</row>
    <row r="883" ht="15.75" customHeight="1" s="184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</row>
    <row r="884" ht="15.75" customHeight="1" s="1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</row>
    <row r="885" ht="15.75" customHeight="1" s="184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</row>
    <row r="886" ht="15.75" customHeight="1" s="184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</row>
    <row r="887" ht="15.75" customHeight="1" s="184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</row>
    <row r="888" ht="15.75" customHeight="1" s="184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</row>
    <row r="889" ht="15.75" customHeight="1" s="184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</row>
    <row r="890" ht="15.75" customHeight="1" s="184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</row>
    <row r="891" ht="15.75" customHeight="1" s="184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</row>
    <row r="892" ht="15.75" customHeight="1" s="184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</row>
    <row r="893" ht="15.75" customHeight="1" s="184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</row>
    <row r="894" ht="15.75" customHeight="1" s="18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</row>
    <row r="895" ht="15.75" customHeight="1" s="184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</row>
    <row r="896" ht="15.75" customHeight="1" s="184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</row>
    <row r="897" ht="15.75" customHeight="1" s="184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</row>
    <row r="898" ht="15.75" customHeight="1" s="184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</row>
    <row r="899" ht="15.75" customHeight="1" s="184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</row>
    <row r="900" ht="15.75" customHeight="1" s="184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</row>
    <row r="901" ht="15.75" customHeight="1" s="184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</row>
    <row r="902" ht="15.75" customHeight="1" s="184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</row>
    <row r="903" ht="15.75" customHeight="1" s="184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</row>
    <row r="904" ht="15.75" customHeight="1" s="18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</row>
    <row r="905" ht="15.75" customHeight="1" s="184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</row>
    <row r="906" ht="15.75" customHeight="1" s="184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</row>
    <row r="907" ht="15.75" customHeight="1" s="184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</row>
    <row r="908" ht="15.75" customHeight="1" s="184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</row>
    <row r="909" ht="15.75" customHeight="1" s="184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</row>
    <row r="910" ht="15.75" customHeight="1" s="184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</row>
    <row r="911" ht="15.75" customHeight="1" s="184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</row>
    <row r="912" ht="15.75" customHeight="1" s="184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</row>
    <row r="913" ht="15.75" customHeight="1" s="184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</row>
    <row r="914" ht="15.75" customHeight="1" s="18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</row>
    <row r="915" ht="15.75" customHeight="1" s="184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</row>
    <row r="916" ht="15.75" customHeight="1" s="184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</row>
    <row r="917" ht="15.75" customHeight="1" s="184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</row>
    <row r="918" ht="15.75" customHeight="1" s="184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</row>
    <row r="919" ht="15.75" customHeight="1" s="184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</row>
    <row r="920" ht="15.75" customHeight="1" s="184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</row>
    <row r="921" ht="15.75" customHeight="1" s="184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</row>
    <row r="922" ht="15.75" customHeight="1" s="184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</row>
    <row r="923" ht="15.75" customHeight="1" s="184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</row>
    <row r="924" ht="15.75" customHeight="1" s="18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</row>
    <row r="925" ht="15.75" customHeight="1" s="184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</row>
    <row r="926" ht="15.75" customHeight="1" s="184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</row>
    <row r="927" ht="15.75" customHeight="1" s="184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</row>
    <row r="928" ht="15.75" customHeight="1" s="184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</row>
    <row r="929" ht="15.75" customHeight="1" s="184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</row>
    <row r="930" ht="15.75" customHeight="1" s="184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</row>
    <row r="931" ht="15.75" customHeight="1" s="184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</row>
    <row r="932" ht="15.75" customHeight="1" s="184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</row>
    <row r="933" ht="15.75" customHeight="1" s="184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</row>
    <row r="934" ht="15.75" customHeight="1" s="18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</row>
    <row r="935" ht="15.75" customHeight="1" s="184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</row>
    <row r="936" ht="15.75" customHeight="1" s="184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</row>
    <row r="937" ht="15.75" customHeight="1" s="184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</row>
    <row r="938" ht="15.75" customHeight="1" s="184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</row>
    <row r="939" ht="15.75" customHeight="1" s="184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</row>
    <row r="940" ht="15.75" customHeight="1" s="184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</row>
    <row r="941" ht="15.75" customHeight="1" s="184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</row>
    <row r="942" ht="15.75" customHeight="1" s="184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</row>
    <row r="943" ht="15.75" customHeight="1" s="184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</row>
    <row r="944" ht="15.75" customHeight="1" s="18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</row>
    <row r="945" ht="15.75" customHeight="1" s="184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</row>
    <row r="946" ht="15.75" customHeight="1" s="184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</row>
    <row r="947" ht="15.75" customHeight="1" s="184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</row>
    <row r="948" ht="15.75" customHeight="1" s="184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</row>
    <row r="949" ht="15.75" customHeight="1" s="184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</row>
    <row r="950" ht="15.75" customHeight="1" s="184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</row>
    <row r="951" ht="15.75" customHeight="1" s="184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</row>
    <row r="952" ht="15.75" customHeight="1" s="184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</row>
    <row r="953" ht="15.75" customHeight="1" s="184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</row>
    <row r="954" ht="15.75" customHeight="1" s="18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</row>
    <row r="955" ht="15.75" customHeight="1" s="184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</row>
    <row r="956" ht="15.75" customHeight="1" s="184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</row>
    <row r="957" ht="15.75" customHeight="1" s="184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</row>
    <row r="958" ht="15.75" customHeight="1" s="184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</row>
    <row r="959" ht="15.75" customHeight="1" s="184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</row>
    <row r="960" ht="15.75" customHeight="1" s="184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</row>
    <row r="961" ht="15.75" customHeight="1" s="184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</row>
    <row r="962" ht="15.75" customHeight="1" s="184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</row>
    <row r="963" ht="15.75" customHeight="1" s="184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</row>
    <row r="964" ht="15.75" customHeight="1" s="18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</row>
    <row r="965" ht="15.75" customHeight="1" s="184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</row>
    <row r="966" ht="15.75" customHeight="1" s="184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</row>
    <row r="967" ht="15.75" customHeight="1" s="184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</row>
    <row r="968" ht="15.75" customHeight="1" s="184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</row>
    <row r="969" ht="15.75" customHeight="1" s="184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</row>
    <row r="970" ht="15.75" customHeight="1" s="184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</row>
    <row r="971" ht="15.75" customHeight="1" s="184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</row>
    <row r="972" ht="15.75" customHeight="1" s="184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</row>
    <row r="973" ht="15.75" customHeight="1" s="184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</row>
    <row r="974" ht="15.75" customHeight="1" s="18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</row>
    <row r="975" ht="15.75" customHeight="1" s="184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</row>
    <row r="976" ht="15.75" customHeight="1" s="184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</row>
    <row r="977" ht="15.75" customHeight="1" s="184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</row>
    <row r="978" ht="15.75" customHeight="1" s="184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</row>
    <row r="979" ht="15.75" customHeight="1" s="184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</row>
    <row r="980" ht="15.75" customHeight="1" s="184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</row>
    <row r="981" ht="15.75" customHeight="1" s="184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</row>
    <row r="982" ht="15.75" customHeight="1" s="184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</row>
    <row r="983" ht="15.75" customHeight="1" s="184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</row>
    <row r="984" ht="15.75" customHeight="1" s="1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</row>
    <row r="985" ht="15.75" customHeight="1" s="184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</row>
    <row r="986" ht="15.75" customHeight="1" s="184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</row>
    <row r="987" ht="15.75" customHeight="1" s="184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</row>
    <row r="988" ht="15.75" customHeight="1" s="184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</row>
    <row r="989" ht="15.75" customHeight="1" s="184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</row>
    <row r="990" ht="15.75" customHeight="1" s="184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</row>
    <row r="991" ht="15.75" customHeight="1" s="184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</row>
    <row r="992" ht="15.75" customHeight="1" s="184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</row>
    <row r="993" ht="15.75" customHeight="1" s="184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</row>
    <row r="994" ht="15.75" customHeight="1" s="18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</row>
    <row r="995" ht="15.75" customHeight="1" s="184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</row>
    <row r="996" ht="15.75" customHeight="1" s="184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</row>
    <row r="997" ht="15.75" customHeight="1" s="184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</row>
    <row r="998" ht="15.75" customHeight="1" s="184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</row>
    <row r="999" ht="15.75" customHeight="1" s="184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</row>
    <row r="1000" ht="15.75" customHeight="1" s="184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</row>
  </sheetData>
  <mergeCells count="9">
    <mergeCell ref="J35:K35"/>
    <mergeCell ref="J2:O2"/>
    <mergeCell ref="A2:H2"/>
    <mergeCell ref="A1:O1"/>
    <mergeCell ref="A36:B36"/>
    <mergeCell ref="J36:K36"/>
    <mergeCell ref="D3:E3"/>
    <mergeCell ref="A3:B3"/>
    <mergeCell ref="A35:B35"/>
  </mergeCells>
  <conditionalFormatting sqref="C5:C34">
    <cfRule type="colorScale" priority="1">
      <colorScale>
        <cfvo type="min" val="0"/>
        <cfvo type="percentile" val="30"/>
        <cfvo type="max" val="0"/>
        <color rgb="FF57BB8A"/>
        <color rgb="FFFFFFFF"/>
        <color rgb="FFE67C73"/>
      </colorScale>
    </cfRule>
  </conditionalFormatting>
  <conditionalFormatting sqref="D5:D34">
    <cfRule type="colorScale" priority="2">
      <colorScale>
        <cfvo type="min" val="0"/>
        <cfvo type="percentile" val="30"/>
        <cfvo type="max" val="0"/>
        <color rgb="FF57BB8A"/>
        <color rgb="FFFFFFFF"/>
        <color rgb="FFE67C73"/>
      </colorScale>
    </cfRule>
  </conditionalFormatting>
  <conditionalFormatting sqref="E5:E34">
    <cfRule type="colorScale" priority="3">
      <colorScale>
        <cfvo type="min" val="0"/>
        <cfvo type="percentile" val="30"/>
        <cfvo type="max" val="0"/>
        <color rgb="FF57BB8A"/>
        <color rgb="FFFFFFFF"/>
        <color rgb="FFE67C73"/>
      </colorScale>
    </cfRule>
  </conditionalFormatting>
  <conditionalFormatting sqref="L5:L34">
    <cfRule type="colorScale" priority="4">
      <colorScale>
        <cfvo type="min" val="0"/>
        <cfvo type="max" val="0"/>
        <color rgb="FFFFFFFF"/>
        <color rgb="FFE67C73"/>
      </colorScale>
    </cfRule>
  </conditionalFormatting>
  <conditionalFormatting sqref="L5:L34 N5:N34">
    <cfRule type="colorScale" priority="5">
      <colorScale>
        <cfvo type="min" val="0"/>
        <cfvo type="max" val="0"/>
        <color rgb="FFFFFFFF"/>
        <color rgb="FFE67C73"/>
      </colorScale>
    </cfRule>
  </conditionalFormatting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Z1000"/>
  <sheetViews>
    <sheetView showGridLines="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baseColWidth="8" defaultColWidth="14.43" defaultRowHeight="15" customHeight="1"/>
  <cols>
    <col width="2" customWidth="1" style="184" min="1" max="1"/>
    <col width="7" customWidth="1" style="184" min="2" max="2"/>
    <col width="12" customWidth="1" style="184" min="3" max="4"/>
    <col width="14" customWidth="1" style="184" min="5" max="7"/>
    <col width="13" customWidth="1" style="184" min="8" max="9"/>
    <col width="14" customWidth="1" style="184" min="10" max="12"/>
    <col width="37.86" customWidth="1" style="184" min="13" max="13"/>
    <col hidden="1" width="14" customWidth="1" style="184" min="14" max="15"/>
    <col hidden="1" width="8.710000000000001" customWidth="1" style="184" min="16" max="16"/>
  </cols>
  <sheetData>
    <row r="1" ht="33.75" customHeight="1" s="184">
      <c r="A1" s="11" t="n"/>
      <c r="B1" s="221">
        <f>"🤯 Average Expenses you do ₹"&amp;TEXT(IFERROR(AVERAGEIF(E5:E24,"&gt;0"),0),"##,##0.00")</f>
        <v/>
      </c>
      <c r="C1" s="222" t="n"/>
      <c r="D1" s="222" t="n"/>
      <c r="E1" s="222" t="n"/>
      <c r="F1" s="222" t="n"/>
      <c r="G1" s="223">
        <f>"💰 Average Income you do ₹"&amp;TEXT(IFERROR(AVERAGEIF(F5:F24,"&gt;0"),0),"##,##0.00")</f>
        <v/>
      </c>
      <c r="H1" s="224" t="n"/>
      <c r="I1" s="224" t="n"/>
      <c r="J1" s="224" t="n"/>
      <c r="K1" s="225">
        <f>"🪙 Average Saving you do ₹"&amp;TEXT(IFERROR(AVERAGEIF(G5:G24,"&gt;0"),0),"##,##0.00")</f>
        <v/>
      </c>
      <c r="L1" s="226" t="n"/>
      <c r="M1" s="226" t="n"/>
      <c r="N1" s="11" t="n"/>
      <c r="O1" s="11" t="n"/>
      <c r="P1" s="11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6" customHeight="1" s="184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7" t="n"/>
      <c r="N2" s="11" t="n"/>
      <c r="O2" s="11" t="n"/>
      <c r="P2" s="11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21.75" customHeight="1" s="184">
      <c r="A3" s="11" t="n"/>
      <c r="B3" s="118" t="n"/>
      <c r="C3" s="227" t="inlineStr">
        <is>
          <t>Time Period</t>
        </is>
      </c>
      <c r="D3" s="218" t="n"/>
      <c r="E3" s="227" t="inlineStr">
        <is>
          <t>Totals</t>
        </is>
      </c>
      <c r="F3" s="218" t="n"/>
      <c r="G3" s="218" t="n"/>
      <c r="H3" s="227" t="inlineStr">
        <is>
          <t>Ratios</t>
        </is>
      </c>
      <c r="I3" s="218" t="n"/>
      <c r="J3" s="227" t="inlineStr">
        <is>
          <t>Averages — Actuals</t>
        </is>
      </c>
      <c r="K3" s="218" t="n"/>
      <c r="L3" s="218" t="n"/>
      <c r="M3" s="120" t="n"/>
      <c r="N3" s="11" t="n"/>
      <c r="O3" s="11" t="n"/>
      <c r="P3" s="11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21.75" customHeight="1" s="184">
      <c r="A4" s="11" t="n"/>
      <c r="B4" s="121" t="inlineStr">
        <is>
          <t>Month</t>
        </is>
      </c>
      <c r="C4" s="121" t="inlineStr">
        <is>
          <t>Start Date</t>
        </is>
      </c>
      <c r="D4" s="121" t="inlineStr">
        <is>
          <t>End Date</t>
        </is>
      </c>
      <c r="E4" s="121" t="inlineStr">
        <is>
          <t>Expenses</t>
        </is>
      </c>
      <c r="F4" s="121" t="inlineStr">
        <is>
          <t>Income</t>
        </is>
      </c>
      <c r="G4" s="121" t="inlineStr">
        <is>
          <t>Savings</t>
        </is>
      </c>
      <c r="H4" s="121" t="inlineStr">
        <is>
          <t>Expense Ratio</t>
        </is>
      </c>
      <c r="I4" s="121" t="inlineStr">
        <is>
          <t>Savings Ratio</t>
        </is>
      </c>
      <c r="J4" s="121" t="inlineStr">
        <is>
          <t>Expenses</t>
        </is>
      </c>
      <c r="K4" s="121" t="inlineStr">
        <is>
          <t>Income</t>
        </is>
      </c>
      <c r="L4" s="121" t="inlineStr">
        <is>
          <t>Savings</t>
        </is>
      </c>
      <c r="M4" s="121" t="inlineStr">
        <is>
          <t>Remark</t>
        </is>
      </c>
      <c r="N4" s="11" t="n"/>
      <c r="O4" s="11" t="n"/>
      <c r="P4" s="11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8" customHeight="1" s="184">
      <c r="A5" s="11" t="n"/>
      <c r="B5" s="122">
        <f>ROW()-4</f>
        <v/>
      </c>
      <c r="C5" s="123" t="n">
        <v>45689</v>
      </c>
      <c r="D5" s="123">
        <f>EOMONTH(C5,0)</f>
        <v/>
      </c>
      <c r="E5" s="124">
        <f>IF($D5="","",IFERROR(SUMIFS(EXPENSES!$D:$D,EXPENSES!$A:$A,"&gt;="&amp;$C5,EXPENSES!$A:$A,"&lt;="&amp;$D5),"na"))</f>
        <v/>
      </c>
      <c r="F5" s="124">
        <f>IF($D5="","",IFERROR(SUMIFS(INCOME!$C:$C,INCOME!$A:$A,"&gt;="&amp;$C5,INCOME!$A:$A,"&lt;="&amp;$D5),"na"))</f>
        <v/>
      </c>
      <c r="G5" s="124">
        <f>F5-E5</f>
        <v/>
      </c>
      <c r="H5" s="125">
        <f>IF(F5=0,"na",E5/F5)</f>
        <v/>
      </c>
      <c r="I5" s="125">
        <f>IF(F5=0,"na",G5/F5)</f>
        <v/>
      </c>
      <c r="J5" s="126">
        <f>IFERROR(SUMPRODUCT(EXPENSES!D$4:D$1999),0)</f>
        <v/>
      </c>
      <c r="K5" s="126">
        <f>IFERROR(SUMPRODUCT((INCOME!D$4:D$501&lt;&gt;"Expense Money")*(INCOME!C$4:C$501&gt;0)*INCOME!C$4:C$501),0)</f>
        <v/>
      </c>
      <c r="L5" s="126">
        <f>K5-J5</f>
        <v/>
      </c>
      <c r="M5" s="127" t="n"/>
      <c r="N5" s="11" t="n"/>
      <c r="O5" s="11" t="n"/>
      <c r="P5" s="11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8" customHeight="1" s="184">
      <c r="A6" s="11" t="n"/>
      <c r="B6" s="122">
        <f>ROW()-4</f>
        <v/>
      </c>
      <c r="C6" s="123">
        <f>EDATE(C5,1)</f>
        <v/>
      </c>
      <c r="D6" s="123">
        <f>EOMONTH(C6,0)</f>
        <v/>
      </c>
      <c r="E6" s="124">
        <f>IF($D6="","",IFERROR(SUMIFS(EXPENSES!$D:$D,EXPENSES!$A:$A,"&gt;="&amp;$C6,EXPENSES!$A:$A,"&lt;="&amp;$D6),"na"))</f>
        <v/>
      </c>
      <c r="F6" s="124">
        <f>IF($D6="","",IFERROR(SUMIFS(INCOME!$C:$C,INCOME!$A:$A,"&gt;="&amp;$C6,INCOME!$A:$A,"&lt;="&amp;$D6),"na"))</f>
        <v/>
      </c>
      <c r="G6" s="124">
        <f>F6-E6</f>
        <v/>
      </c>
      <c r="H6" s="125">
        <f>IF(F6=0,"na",E6/F6)</f>
        <v/>
      </c>
      <c r="I6" s="125">
        <f>IF(F6=0,"na",G6/F6)</f>
        <v/>
      </c>
      <c r="J6" s="126">
        <f>IFERROR(SUMPRODUCT(EXPENSES!$D:$D),0)</f>
        <v/>
      </c>
      <c r="K6" s="126">
        <f>IF(F6="","",K$5)</f>
        <v/>
      </c>
      <c r="L6" s="126">
        <f>K6-J6</f>
        <v/>
      </c>
      <c r="M6" s="127" t="n"/>
      <c r="N6" s="11" t="n"/>
      <c r="O6" s="11" t="n"/>
      <c r="P6" s="11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8" customHeight="1" s="184">
      <c r="A7" s="11" t="n"/>
      <c r="B7" s="122">
        <f>ROW()-4</f>
        <v/>
      </c>
      <c r="C7" s="123">
        <f>EDATE(C6,1)</f>
        <v/>
      </c>
      <c r="D7" s="123">
        <f>EOMONTH(C7,0)</f>
        <v/>
      </c>
      <c r="E7" s="124">
        <f>IF($D7="","",IFERROR(SUMIFS(EXPENSES!$D:$D,EXPENSES!$A:$A,"&gt;="&amp;$C7,EXPENSES!$A:$A,"&lt;="&amp;$D7),"na"))</f>
        <v/>
      </c>
      <c r="F7" s="124">
        <f>IF($D7="","",IFERROR(SUMIFS(INCOME!$C:$C,INCOME!$A:$A,"&gt;="&amp;$C7,INCOME!$A:$A,"&lt;="&amp;$D7),"na"))</f>
        <v/>
      </c>
      <c r="G7" s="124">
        <f>F7-E7</f>
        <v/>
      </c>
      <c r="H7" s="125">
        <f>IF(F7=0,"na",E7/F7)</f>
        <v/>
      </c>
      <c r="I7" s="125">
        <f>IF(F7=0,"na",G7/F7)</f>
        <v/>
      </c>
      <c r="J7" s="126">
        <f>IFERROR(SUMPRODUCT(EXPENSES!$D:$D),0)</f>
        <v/>
      </c>
      <c r="K7" s="126">
        <f>IF(F7="","",K$5)</f>
        <v/>
      </c>
      <c r="L7" s="126">
        <f>K7-J7</f>
        <v/>
      </c>
      <c r="M7" s="127" t="n"/>
      <c r="N7" s="11" t="n"/>
      <c r="O7" s="11" t="n"/>
      <c r="P7" s="11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8" customHeight="1" s="184">
      <c r="A8" s="11" t="n"/>
      <c r="B8" s="122">
        <f>ROW()-4</f>
        <v/>
      </c>
      <c r="C8" s="123">
        <f>EDATE(C7,1)</f>
        <v/>
      </c>
      <c r="D8" s="123">
        <f>EOMONTH(C8,0)</f>
        <v/>
      </c>
      <c r="E8" s="124">
        <f>IF($D8="","",IFERROR(SUMIFS(EXPENSES!$D:$D,EXPENSES!$A:$A,"&gt;="&amp;$C8,EXPENSES!$A:$A,"&lt;="&amp;$D8),"na"))</f>
        <v/>
      </c>
      <c r="F8" s="124">
        <f>IF($D8="","",IFERROR(SUMIFS(INCOME!$C:$C,INCOME!$A:$A,"&gt;="&amp;$C8,INCOME!$A:$A,"&lt;="&amp;$D8),"na"))</f>
        <v/>
      </c>
      <c r="G8" s="124">
        <f>F8-E8</f>
        <v/>
      </c>
      <c r="H8" s="125">
        <f>IF(F8=0,"na",E8/F8)</f>
        <v/>
      </c>
      <c r="I8" s="125">
        <f>IF(F8=0,"na",G8/F8)</f>
        <v/>
      </c>
      <c r="J8" s="126">
        <f>IFERROR(SUMPRODUCT(EXPENSES!$D:$D),0)</f>
        <v/>
      </c>
      <c r="K8" s="126">
        <f>IF(F8="","",K$5)</f>
        <v/>
      </c>
      <c r="L8" s="126">
        <f>K8-J8</f>
        <v/>
      </c>
      <c r="M8" s="127" t="n"/>
      <c r="N8" s="11" t="n"/>
      <c r="O8" s="11" t="n"/>
      <c r="P8" s="11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8" customHeight="1" s="184">
      <c r="A9" s="11" t="n"/>
      <c r="B9" s="122">
        <f>ROW()-4</f>
        <v/>
      </c>
      <c r="C9" s="123">
        <f>EDATE(C8,1)</f>
        <v/>
      </c>
      <c r="D9" s="123">
        <f>EOMONTH(C9,0)</f>
        <v/>
      </c>
      <c r="E9" s="124">
        <f>IF($D9="","",IFERROR(SUMIFS(EXPENSES!$D:$D,EXPENSES!$A:$A,"&gt;="&amp;$C9,EXPENSES!$A:$A,"&lt;="&amp;$D9),"na"))</f>
        <v/>
      </c>
      <c r="F9" s="124">
        <f>IF($D9="","",IFERROR(SUMIFS(INCOME!$C:$C,INCOME!$A:$A,"&gt;="&amp;$C9,INCOME!$A:$A,"&lt;="&amp;$D9),"na"))</f>
        <v/>
      </c>
      <c r="G9" s="124">
        <f>F9-E9</f>
        <v/>
      </c>
      <c r="H9" s="125">
        <f>IF(F9=0,"na",E9/F9)</f>
        <v/>
      </c>
      <c r="I9" s="125">
        <f>IF(F9=0,"na",G9/F9)</f>
        <v/>
      </c>
      <c r="J9" s="126">
        <f>IFERROR(SUMPRODUCT(EXPENSES!$D:$D),0)</f>
        <v/>
      </c>
      <c r="K9" s="126">
        <f>IF(F9="","",K$5)</f>
        <v/>
      </c>
      <c r="L9" s="126">
        <f>K9-J9</f>
        <v/>
      </c>
      <c r="M9" s="127" t="n"/>
      <c r="N9" s="11" t="n"/>
      <c r="O9" s="11" t="n"/>
      <c r="P9" s="11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8" customHeight="1" s="184">
      <c r="A10" s="11" t="n"/>
      <c r="B10" s="122">
        <f>ROW()-4</f>
        <v/>
      </c>
      <c r="C10" s="123">
        <f>EDATE(C9,1)</f>
        <v/>
      </c>
      <c r="D10" s="123">
        <f>EOMONTH(C10,0)</f>
        <v/>
      </c>
      <c r="E10" s="124">
        <f>IF($D10="","",IFERROR(SUMIFS(EXPENSES!$D:$D,EXPENSES!$A:$A,"&gt;="&amp;$C10,EXPENSES!$A:$A,"&lt;="&amp;$D10),"na"))</f>
        <v/>
      </c>
      <c r="F10" s="124">
        <f>IF($D10="","",IFERROR(SUMIFS(INCOME!$C:$C,INCOME!$A:$A,"&gt;="&amp;$C10,INCOME!$A:$A,"&lt;="&amp;$D10),"na"))</f>
        <v/>
      </c>
      <c r="G10" s="124">
        <f>F10-E10</f>
        <v/>
      </c>
      <c r="H10" s="125">
        <f>IF(F10=0,"na",E10/F10)</f>
        <v/>
      </c>
      <c r="I10" s="125">
        <f>IF(F10=0,"na",G10/F10)</f>
        <v/>
      </c>
      <c r="J10" s="126">
        <f>IFERROR(SUMPRODUCT(EXPENSES!$D:$D),0)</f>
        <v/>
      </c>
      <c r="K10" s="126">
        <f>IF(F10="","",K$5)</f>
        <v/>
      </c>
      <c r="L10" s="126">
        <f>K10-J10</f>
        <v/>
      </c>
      <c r="M10" s="127" t="n"/>
      <c r="N10" s="11" t="n"/>
      <c r="O10" s="11" t="n"/>
      <c r="P10" s="11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8" customHeight="1" s="184">
      <c r="A11" s="11" t="n"/>
      <c r="B11" s="122">
        <f>ROW()-4</f>
        <v/>
      </c>
      <c r="C11" s="123">
        <f>EDATE(C10,1)</f>
        <v/>
      </c>
      <c r="D11" s="123">
        <f>EOMONTH(C11,0)</f>
        <v/>
      </c>
      <c r="E11" s="124">
        <f>IF($D11="","",IFERROR(SUMIFS(EXPENSES!$D:$D,EXPENSES!$A:$A,"&gt;="&amp;$C11,EXPENSES!$A:$A,"&lt;="&amp;$D11),"na"))</f>
        <v/>
      </c>
      <c r="F11" s="124">
        <f>IF($D11="","",IFERROR(SUMIFS(INCOME!$C:$C,INCOME!$A:$A,"&gt;="&amp;$C11,INCOME!$A:$A,"&lt;="&amp;$D11),"na"))</f>
        <v/>
      </c>
      <c r="G11" s="124">
        <f>F11-E11</f>
        <v/>
      </c>
      <c r="H11" s="125">
        <f>IF(F11=0,"na",E11/F11)</f>
        <v/>
      </c>
      <c r="I11" s="125">
        <f>IF(F11=0,"na",G11/F11)</f>
        <v/>
      </c>
      <c r="J11" s="126">
        <f>IFERROR(SUMPRODUCT(EXPENSES!$D:$D),0)</f>
        <v/>
      </c>
      <c r="K11" s="126">
        <f>IF(F11="","",K$5)</f>
        <v/>
      </c>
      <c r="L11" s="126">
        <f>K11-J11</f>
        <v/>
      </c>
      <c r="M11" s="127" t="n"/>
      <c r="N11" s="11" t="n"/>
      <c r="O11" s="11" t="n"/>
      <c r="P11" s="11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8" customHeight="1" s="184">
      <c r="A12" s="11" t="n"/>
      <c r="B12" s="122">
        <f>ROW()-4</f>
        <v/>
      </c>
      <c r="C12" s="123">
        <f>EDATE(C11,1)</f>
        <v/>
      </c>
      <c r="D12" s="123">
        <f>EOMONTH(C12,0)</f>
        <v/>
      </c>
      <c r="E12" s="124">
        <f>IF($D12="","",IFERROR(SUMIFS(EXPENSES!$D:$D,EXPENSES!$A:$A,"&gt;="&amp;$C12,EXPENSES!$A:$A,"&lt;="&amp;$D12),"na"))</f>
        <v/>
      </c>
      <c r="F12" s="124">
        <f>IF($D12="","",IFERROR(SUMIFS(INCOME!$C:$C,INCOME!$A:$A,"&gt;="&amp;$C12,INCOME!$A:$A,"&lt;="&amp;$D12),"na"))</f>
        <v/>
      </c>
      <c r="G12" s="124">
        <f>F12-E12</f>
        <v/>
      </c>
      <c r="H12" s="125">
        <f>IF(F12=0,"na",E12/F12)</f>
        <v/>
      </c>
      <c r="I12" s="125">
        <f>IF(F12=0,"na",G12/F12)</f>
        <v/>
      </c>
      <c r="J12" s="126">
        <f>IFERROR(SUMPRODUCT(EXPENSES!$D:$D),0)</f>
        <v/>
      </c>
      <c r="K12" s="126">
        <f>IF(F12="","",K$5)</f>
        <v/>
      </c>
      <c r="L12" s="126">
        <f>K12-J12</f>
        <v/>
      </c>
      <c r="M12" s="127" t="n"/>
      <c r="N12" s="11" t="n"/>
      <c r="O12" s="11" t="n"/>
      <c r="P12" s="11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8" customHeight="1" s="184">
      <c r="A13" s="11" t="n"/>
      <c r="B13" s="122">
        <f>ROW()-4</f>
        <v/>
      </c>
      <c r="C13" s="123">
        <f>EDATE(C12,1)</f>
        <v/>
      </c>
      <c r="D13" s="123">
        <f>EOMONTH(C13,0)</f>
        <v/>
      </c>
      <c r="E13" s="124">
        <f>IF($D13="","",IFERROR(SUMIFS(EXPENSES!$D:$D,EXPENSES!$A:$A,"&gt;="&amp;$C13,EXPENSES!$A:$A,"&lt;="&amp;$D13),"na"))</f>
        <v/>
      </c>
      <c r="F13" s="124">
        <f>IF($D13="","",IFERROR(SUMIFS(INCOME!$C:$C,INCOME!$A:$A,"&gt;="&amp;$C13,INCOME!$A:$A,"&lt;="&amp;$D13),"na"))</f>
        <v/>
      </c>
      <c r="G13" s="124">
        <f>F13-E13</f>
        <v/>
      </c>
      <c r="H13" s="125">
        <f>IF(F13=0,"na",E13/F13)</f>
        <v/>
      </c>
      <c r="I13" s="125">
        <f>IF(F13=0,"na",G13/F13)</f>
        <v/>
      </c>
      <c r="J13" s="126">
        <f>IFERROR(SUMPRODUCT(EXPENSES!$D:$D),0)</f>
        <v/>
      </c>
      <c r="K13" s="126">
        <f>IF(F13="","",K$5)</f>
        <v/>
      </c>
      <c r="L13" s="126">
        <f>K13-J13</f>
        <v/>
      </c>
      <c r="M13" s="127" t="n"/>
      <c r="N13" s="11" t="n"/>
      <c r="O13" s="11" t="n"/>
      <c r="P13" s="11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8" customHeight="1" s="184">
      <c r="A14" s="11" t="n"/>
      <c r="B14" s="122">
        <f>ROW()-4</f>
        <v/>
      </c>
      <c r="C14" s="123">
        <f>EDATE(C13,1)</f>
        <v/>
      </c>
      <c r="D14" s="123">
        <f>EOMONTH(C14,0)</f>
        <v/>
      </c>
      <c r="E14" s="124">
        <f>IF($D14="","",IFERROR(SUMIFS(EXPENSES!$D:$D,EXPENSES!$A:$A,"&gt;="&amp;$C14,EXPENSES!$A:$A,"&lt;="&amp;$D14),"na"))</f>
        <v/>
      </c>
      <c r="F14" s="124">
        <f>IF($D14="","",IFERROR(SUMIFS(INCOME!$C:$C,INCOME!$A:$A,"&gt;="&amp;$C14,INCOME!$A:$A,"&lt;="&amp;$D14),"na"))</f>
        <v/>
      </c>
      <c r="G14" s="124">
        <f>F14-E14</f>
        <v/>
      </c>
      <c r="H14" s="125">
        <f>IF(F14=0,"na",E14/F14)</f>
        <v/>
      </c>
      <c r="I14" s="125">
        <f>IF(F14=0,"na",G14/F14)</f>
        <v/>
      </c>
      <c r="J14" s="126">
        <f>IFERROR(SUMPRODUCT(EXPENSES!$D:$D),0)</f>
        <v/>
      </c>
      <c r="K14" s="126">
        <f>IF(F14="","",K$5)</f>
        <v/>
      </c>
      <c r="L14" s="126">
        <f>K14-J14</f>
        <v/>
      </c>
      <c r="M14" s="127" t="n"/>
      <c r="N14" s="11" t="n"/>
      <c r="O14" s="11" t="n"/>
      <c r="P14" s="11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8" customHeight="1" s="184">
      <c r="A15" s="11" t="n"/>
      <c r="B15" s="122">
        <f>ROW()-4</f>
        <v/>
      </c>
      <c r="C15" s="123">
        <f>EDATE(C14,1)</f>
        <v/>
      </c>
      <c r="D15" s="123">
        <f>EOMONTH(C15,0)</f>
        <v/>
      </c>
      <c r="E15" s="124">
        <f>IF($D15="","",IFERROR(SUMIFS(EXPENSES!$D:$D,EXPENSES!$A:$A,"&gt;="&amp;$C15,EXPENSES!$A:$A,"&lt;="&amp;$D15),"na"))</f>
        <v/>
      </c>
      <c r="F15" s="124">
        <f>IF($D15="","",IFERROR(SUMIFS(INCOME!$C:$C,INCOME!$A:$A,"&gt;="&amp;$C15,INCOME!$A:$A,"&lt;="&amp;$D15),"na"))</f>
        <v/>
      </c>
      <c r="G15" s="124">
        <f>F15-E15</f>
        <v/>
      </c>
      <c r="H15" s="125">
        <f>IF(F15=0,"na",E15/F15)</f>
        <v/>
      </c>
      <c r="I15" s="125">
        <f>IF(F15=0,"na",G15/F15)</f>
        <v/>
      </c>
      <c r="J15" s="126">
        <f>IFERROR(SUMPRODUCT(EXPENSES!$D:$D),0)</f>
        <v/>
      </c>
      <c r="K15" s="126">
        <f>IF(F15="","",K$5)</f>
        <v/>
      </c>
      <c r="L15" s="126">
        <f>K15-J15</f>
        <v/>
      </c>
      <c r="M15" s="127" t="n"/>
      <c r="N15" s="11" t="n"/>
      <c r="O15" s="11" t="n"/>
      <c r="P15" s="11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8" customHeight="1" s="184">
      <c r="A16" s="11" t="n"/>
      <c r="B16" s="122">
        <f>ROW()-4</f>
        <v/>
      </c>
      <c r="C16" s="123">
        <f>EDATE(C15,1)</f>
        <v/>
      </c>
      <c r="D16" s="123">
        <f>EOMONTH(C16,0)</f>
        <v/>
      </c>
      <c r="E16" s="124">
        <f>IF($D16="","",IFERROR(SUMIFS(EXPENSES!$D:$D,EXPENSES!$A:$A,"&gt;="&amp;$C16,EXPENSES!$A:$A,"&lt;="&amp;$D16),"na"))</f>
        <v/>
      </c>
      <c r="F16" s="124">
        <f>IF($D16="","",IFERROR(SUMIFS(INCOME!$C:$C,INCOME!$A:$A,"&gt;="&amp;$C16,INCOME!$A:$A,"&lt;="&amp;$D16),"na"))</f>
        <v/>
      </c>
      <c r="G16" s="124">
        <f>F16-E16</f>
        <v/>
      </c>
      <c r="H16" s="125">
        <f>IF(F16=0,"na",E16/F16)</f>
        <v/>
      </c>
      <c r="I16" s="125">
        <f>IF(F16=0,"na",G16/F16)</f>
        <v/>
      </c>
      <c r="J16" s="126">
        <f>IFERROR(SUMPRODUCT(EXPENSES!$D:$D),0)</f>
        <v/>
      </c>
      <c r="K16" s="126">
        <f>IF(F16="","",K$5)</f>
        <v/>
      </c>
      <c r="L16" s="126">
        <f>K16-J16</f>
        <v/>
      </c>
      <c r="M16" s="127" t="n"/>
      <c r="N16" s="11" t="n"/>
      <c r="O16" s="11" t="n"/>
      <c r="P16" s="11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8" customHeight="1" s="184">
      <c r="A17" s="11" t="n"/>
      <c r="B17" s="122">
        <f>ROW()-4</f>
        <v/>
      </c>
      <c r="C17" s="123">
        <f>EDATE(C16,1)</f>
        <v/>
      </c>
      <c r="D17" s="123">
        <f>EOMONTH(C17,0)</f>
        <v/>
      </c>
      <c r="E17" s="124">
        <f>IF($D17="","",IFERROR(SUMIFS(EXPENSES!$D:$D,EXPENSES!$A:$A,"&gt;="&amp;$C17,EXPENSES!$A:$A,"&lt;="&amp;$D17),"na"))</f>
        <v/>
      </c>
      <c r="F17" s="124">
        <f>IF($D17="","",IFERROR(SUMIFS(INCOME!$C:$C,INCOME!$A:$A,"&gt;="&amp;$C17,INCOME!$A:$A,"&lt;="&amp;$D17),"na"))</f>
        <v/>
      </c>
      <c r="G17" s="124">
        <f>F17-E17</f>
        <v/>
      </c>
      <c r="H17" s="125">
        <f>IF(F17=0,"na",E17/F17)</f>
        <v/>
      </c>
      <c r="I17" s="125">
        <f>IF(F17=0,"na",G17/F17)</f>
        <v/>
      </c>
      <c r="J17" s="126">
        <f>IFERROR(SUMPRODUCT(EXPENSES!$D:$D),0)</f>
        <v/>
      </c>
      <c r="K17" s="126">
        <f>IF(F17="","",K$5)</f>
        <v/>
      </c>
      <c r="L17" s="126">
        <f>K17-J17</f>
        <v/>
      </c>
      <c r="M17" s="127" t="n"/>
      <c r="N17" s="11" t="n"/>
      <c r="O17" s="11" t="n"/>
      <c r="P17" s="11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8" customHeight="1" s="184">
      <c r="A18" s="11" t="n"/>
      <c r="B18" s="122">
        <f>ROW()-4</f>
        <v/>
      </c>
      <c r="C18" s="123">
        <f>EDATE(C17,1)</f>
        <v/>
      </c>
      <c r="D18" s="123">
        <f>EOMONTH(C18,0)</f>
        <v/>
      </c>
      <c r="E18" s="124">
        <f>IF($D18="","",IFERROR(SUMIFS(EXPENSES!$D:$D,EXPENSES!$A:$A,"&gt;="&amp;$C18,EXPENSES!$A:$A,"&lt;="&amp;$D18),"na"))</f>
        <v/>
      </c>
      <c r="F18" s="124">
        <f>IF($D18="","",IFERROR(SUMIFS(INCOME!$C:$C,INCOME!$A:$A,"&gt;="&amp;$C18,INCOME!$A:$A,"&lt;="&amp;$D18),"na"))</f>
        <v/>
      </c>
      <c r="G18" s="124">
        <f>F18-E18</f>
        <v/>
      </c>
      <c r="H18" s="125">
        <f>IF(F18=0,"na",E18/F18)</f>
        <v/>
      </c>
      <c r="I18" s="125">
        <f>IF(F18=0,"na",G18/F18)</f>
        <v/>
      </c>
      <c r="J18" s="126">
        <f>IFERROR(SUMPRODUCT(EXPENSES!$D:$D),0)</f>
        <v/>
      </c>
      <c r="K18" s="126">
        <f>IF(F18="","",K$5)</f>
        <v/>
      </c>
      <c r="L18" s="126">
        <f>K18-J18</f>
        <v/>
      </c>
      <c r="M18" s="127" t="n"/>
      <c r="N18" s="11" t="n"/>
      <c r="O18" s="11" t="n"/>
      <c r="P18" s="11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8" customHeight="1" s="184">
      <c r="A19" s="11" t="n"/>
      <c r="B19" s="122">
        <f>ROW()-4</f>
        <v/>
      </c>
      <c r="C19" s="123">
        <f>EDATE(C18,1)</f>
        <v/>
      </c>
      <c r="D19" s="123">
        <f>EOMONTH(C19,0)</f>
        <v/>
      </c>
      <c r="E19" s="124">
        <f>IF($D19="","",IFERROR(SUMIFS(EXPENSES!$D:$D,EXPENSES!$A:$A,"&gt;="&amp;$C19,EXPENSES!$A:$A,"&lt;="&amp;$D19),"na"))</f>
        <v/>
      </c>
      <c r="F19" s="124">
        <f>IF($D19="","",IFERROR(SUMIFS(INCOME!$C:$C,INCOME!$A:$A,"&gt;="&amp;$C19,INCOME!$A:$A,"&lt;="&amp;$D19),"na"))</f>
        <v/>
      </c>
      <c r="G19" s="124">
        <f>F19-E19</f>
        <v/>
      </c>
      <c r="H19" s="125">
        <f>IF(F19=0,"na",E19/F19)</f>
        <v/>
      </c>
      <c r="I19" s="125">
        <f>IF(F19=0,"na",G19/F19)</f>
        <v/>
      </c>
      <c r="J19" s="126">
        <f>IFERROR(SUMPRODUCT(EXPENSES!$D:$D),0)</f>
        <v/>
      </c>
      <c r="K19" s="126">
        <f>IF(F19="","",K$5)</f>
        <v/>
      </c>
      <c r="L19" s="126">
        <f>K19-J19</f>
        <v/>
      </c>
      <c r="M19" s="127" t="n"/>
      <c r="N19" s="11" t="n"/>
      <c r="O19" s="11" t="n"/>
      <c r="P19" s="11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8" customHeight="1" s="184">
      <c r="A20" s="11" t="n"/>
      <c r="B20" s="122">
        <f>ROW()-4</f>
        <v/>
      </c>
      <c r="C20" s="123">
        <f>EDATE(C19,1)</f>
        <v/>
      </c>
      <c r="D20" s="123">
        <f>EOMONTH(C20,0)</f>
        <v/>
      </c>
      <c r="E20" s="124">
        <f>IF($D20="","",IFERROR(SUMIFS(EXPENSES!$D:$D,EXPENSES!$A:$A,"&gt;="&amp;$C20,EXPENSES!$A:$A,"&lt;="&amp;$D20),"na"))</f>
        <v/>
      </c>
      <c r="F20" s="124">
        <f>IF($D20="","",IFERROR(SUMIFS(INCOME!$C:$C,INCOME!$A:$A,"&gt;="&amp;$C20,INCOME!$A:$A,"&lt;="&amp;$D20),"na"))</f>
        <v/>
      </c>
      <c r="G20" s="124">
        <f>F20-E20</f>
        <v/>
      </c>
      <c r="H20" s="125">
        <f>IF(F20=0,"na",E20/F20)</f>
        <v/>
      </c>
      <c r="I20" s="125">
        <f>IF(F20=0,"na",G20/F20)</f>
        <v/>
      </c>
      <c r="J20" s="126">
        <f>IFERROR(SUMPRODUCT(EXPENSES!$D:$D),0)</f>
        <v/>
      </c>
      <c r="K20" s="126">
        <f>IF(F20="","",K$5)</f>
        <v/>
      </c>
      <c r="L20" s="126">
        <f>K20-J20</f>
        <v/>
      </c>
      <c r="M20" s="127" t="n"/>
      <c r="N20" s="11" t="n"/>
      <c r="O20" s="11" t="n"/>
      <c r="P20" s="11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8" customHeight="1" s="184">
      <c r="A21" s="11" t="n"/>
      <c r="B21" s="122">
        <f>ROW()-4</f>
        <v/>
      </c>
      <c r="C21" s="123">
        <f>EDATE(C20,1)</f>
        <v/>
      </c>
      <c r="D21" s="123">
        <f>EOMONTH(C21,0)</f>
        <v/>
      </c>
      <c r="E21" s="124">
        <f>IF($D21="","",IFERROR(SUMIFS(EXPENSES!$D:$D,EXPENSES!$A:$A,"&gt;="&amp;$C21,EXPENSES!$A:$A,"&lt;="&amp;$D21),"na"))</f>
        <v/>
      </c>
      <c r="F21" s="124">
        <f>IF($D21="","",IFERROR(SUMIFS(INCOME!$C:$C,INCOME!$A:$A,"&gt;="&amp;$C21,INCOME!$A:$A,"&lt;="&amp;$D21),"na"))</f>
        <v/>
      </c>
      <c r="G21" s="124">
        <f>F21-E21</f>
        <v/>
      </c>
      <c r="H21" s="125">
        <f>IF(F21=0,"na",E21/F21)</f>
        <v/>
      </c>
      <c r="I21" s="125">
        <f>IF(F21=0,"na",G21/F21)</f>
        <v/>
      </c>
      <c r="J21" s="126">
        <f>IFERROR(SUMPRODUCT(EXPENSES!$D:$D),0)</f>
        <v/>
      </c>
      <c r="K21" s="126">
        <f>IF(F21="","",K$5)</f>
        <v/>
      </c>
      <c r="L21" s="126">
        <f>K21-J21</f>
        <v/>
      </c>
      <c r="M21" s="127" t="n"/>
      <c r="N21" s="11" t="n"/>
      <c r="O21" s="11" t="n"/>
      <c r="P21" s="11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8" customHeight="1" s="184">
      <c r="A22" s="11" t="n"/>
      <c r="B22" s="122">
        <f>ROW()-4</f>
        <v/>
      </c>
      <c r="C22" s="123">
        <f>EDATE(C21,1)</f>
        <v/>
      </c>
      <c r="D22" s="123">
        <f>EOMONTH(C22,0)</f>
        <v/>
      </c>
      <c r="E22" s="124">
        <f>IF($D22="","",IFERROR(SUMIFS(EXPENSES!$D:$D,EXPENSES!$A:$A,"&gt;="&amp;$C22,EXPENSES!$A:$A,"&lt;="&amp;$D22),"na"))</f>
        <v/>
      </c>
      <c r="F22" s="124">
        <f>IF($D22="","",IFERROR(SUMIFS(INCOME!$C:$C,INCOME!$A:$A,"&gt;="&amp;$C22,INCOME!$A:$A,"&lt;="&amp;$D22),"na"))</f>
        <v/>
      </c>
      <c r="G22" s="124">
        <f>F22-E22</f>
        <v/>
      </c>
      <c r="H22" s="125">
        <f>IF(F22=0,"na",E22/F22)</f>
        <v/>
      </c>
      <c r="I22" s="125">
        <f>IF(F22=0,"na",G22/F22)</f>
        <v/>
      </c>
      <c r="J22" s="126">
        <f>IFERROR(SUMPRODUCT(EXPENSES!$D:$D),0)</f>
        <v/>
      </c>
      <c r="K22" s="126">
        <f>IF(F22="","",K$5)</f>
        <v/>
      </c>
      <c r="L22" s="126">
        <f>K22-J22</f>
        <v/>
      </c>
      <c r="M22" s="127" t="n"/>
      <c r="N22" s="11" t="n"/>
      <c r="O22" s="11" t="n"/>
      <c r="P22" s="11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8" customHeight="1" s="184">
      <c r="A23" s="11" t="n"/>
      <c r="B23" s="122">
        <f>ROW()-4</f>
        <v/>
      </c>
      <c r="C23" s="123">
        <f>EDATE(C22,1)</f>
        <v/>
      </c>
      <c r="D23" s="123">
        <f>EOMONTH(C23,0)</f>
        <v/>
      </c>
      <c r="E23" s="124">
        <f>IF($D23="","",IFERROR(SUMIFS(EXPENSES!$D:$D,EXPENSES!$A:$A,"&gt;="&amp;$C23,EXPENSES!$A:$A,"&lt;="&amp;$D23),"na"))</f>
        <v/>
      </c>
      <c r="F23" s="124">
        <f>IF($D23="","",IFERROR(SUMIFS(INCOME!$C:$C,INCOME!$A:$A,"&gt;="&amp;$C23,INCOME!$A:$A,"&lt;="&amp;$D23),"na"))</f>
        <v/>
      </c>
      <c r="G23" s="124">
        <f>F23-E23</f>
        <v/>
      </c>
      <c r="H23" s="125">
        <f>IF(F23=0,"na",E23/F23)</f>
        <v/>
      </c>
      <c r="I23" s="125">
        <f>IF(F23=0,"na",G23/F23)</f>
        <v/>
      </c>
      <c r="J23" s="126">
        <f>IFERROR(SUMPRODUCT(EXPENSES!$D:$D),0)</f>
        <v/>
      </c>
      <c r="K23" s="126">
        <f>IF(F23="","",K$5)</f>
        <v/>
      </c>
      <c r="L23" s="126">
        <f>K23-J23</f>
        <v/>
      </c>
      <c r="M23" s="127" t="n"/>
      <c r="N23" s="11" t="n"/>
      <c r="O23" s="11" t="n"/>
      <c r="P23" s="11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8" customHeight="1" s="184">
      <c r="A24" s="11" t="n"/>
      <c r="B24" s="122">
        <f>ROW()-4</f>
        <v/>
      </c>
      <c r="C24" s="123">
        <f>EDATE(C23,1)</f>
        <v/>
      </c>
      <c r="D24" s="123">
        <f>EOMONTH(C24,0)</f>
        <v/>
      </c>
      <c r="E24" s="124">
        <f>IF($D24="","",IFERROR(SUMIFS(EXPENSES!$D:$D,EXPENSES!$A:$A,"&gt;="&amp;$C24,EXPENSES!$A:$A,"&lt;="&amp;$D24),"na"))</f>
        <v/>
      </c>
      <c r="F24" s="124">
        <f>IF($D24="","",IFERROR(SUMIFS(INCOME!$C:$C,INCOME!$A:$A,"&gt;="&amp;$C24,INCOME!$A:$A,"&lt;="&amp;$D24),"na"))</f>
        <v/>
      </c>
      <c r="G24" s="124">
        <f>F24-E24</f>
        <v/>
      </c>
      <c r="H24" s="125">
        <f>IF(F24=0,"na",E24/F24)</f>
        <v/>
      </c>
      <c r="I24" s="125">
        <f>IF(F24=0,"na",G24/F24)</f>
        <v/>
      </c>
      <c r="J24" s="126">
        <f>IFERROR(SUMPRODUCT(EXPENSES!$D:$D),0)</f>
        <v/>
      </c>
      <c r="K24" s="126">
        <f>IF(F24="","",K$5)</f>
        <v/>
      </c>
      <c r="L24" s="126">
        <f>K24-J24</f>
        <v/>
      </c>
      <c r="M24" s="127" t="n"/>
      <c r="N24" s="11" t="n"/>
      <c r="O24" s="11" t="n"/>
      <c r="P24" s="11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" customHeight="1" s="184">
      <c r="A25" s="11" t="n"/>
      <c r="B25" s="122">
        <f>ROW()-4</f>
        <v/>
      </c>
      <c r="C25" s="123">
        <f>EDATE(C24,1)</f>
        <v/>
      </c>
      <c r="D25" s="123">
        <f>EOMONTH(C25,0)</f>
        <v/>
      </c>
      <c r="E25" s="124">
        <f>IF($D25="","",IFERROR(SUMIFS(EXPENSES!$D:$D,EXPENSES!$A:$A,"&gt;="&amp;$C25,EXPENSES!$A:$A,"&lt;="&amp;$D25),"na"))</f>
        <v/>
      </c>
      <c r="F25" s="124">
        <f>IF($D25="","",IFERROR(SUMIFS(INCOME!$C:$C,INCOME!$A:$A,"&gt;="&amp;$C25,INCOME!$A:$A,"&lt;="&amp;$D25),"na"))</f>
        <v/>
      </c>
      <c r="G25" s="124">
        <f>F25-E25</f>
        <v/>
      </c>
      <c r="H25" s="125">
        <f>IF(F25=0,"na",E25/F25)</f>
        <v/>
      </c>
      <c r="I25" s="125">
        <f>IF(F25=0,"na",G25/F25)</f>
        <v/>
      </c>
      <c r="J25" s="126">
        <f>IFERROR(SUMPRODUCT(EXPENSES!$D:$D),0)</f>
        <v/>
      </c>
      <c r="K25" s="126">
        <f>IF(F25="","",K$5)</f>
        <v/>
      </c>
      <c r="L25" s="126">
        <f>K25-J25</f>
        <v/>
      </c>
      <c r="M25" s="127" t="n"/>
      <c r="N25" s="11" t="n"/>
      <c r="O25" s="11" t="n"/>
      <c r="P25" s="11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" customHeight="1" s="184">
      <c r="A26" s="11" t="n"/>
      <c r="B26" s="122">
        <f>ROW()-4</f>
        <v/>
      </c>
      <c r="C26" s="123">
        <f>EDATE(C25,1)</f>
        <v/>
      </c>
      <c r="D26" s="123">
        <f>EOMONTH(C26,0)</f>
        <v/>
      </c>
      <c r="E26" s="124">
        <f>IF($D26="","",IFERROR(SUMIFS(EXPENSES!$D:$D,EXPENSES!$A:$A,"&gt;="&amp;$C26,EXPENSES!$A:$A,"&lt;="&amp;$D26),"na"))</f>
        <v/>
      </c>
      <c r="F26" s="124">
        <f>IF($D26="","",IFERROR(SUMIFS(INCOME!$C:$C,INCOME!$A:$A,"&gt;="&amp;$C26,INCOME!$A:$A,"&lt;="&amp;$D26),"na"))</f>
        <v/>
      </c>
      <c r="G26" s="124">
        <f>F26-E26</f>
        <v/>
      </c>
      <c r="H26" s="125">
        <f>IF(F26=0,"na",E26/F26)</f>
        <v/>
      </c>
      <c r="I26" s="125">
        <f>IF(F26=0,"na",G26/F26)</f>
        <v/>
      </c>
      <c r="J26" s="126">
        <f>IFERROR(SUMPRODUCT(EXPENSES!$D:$D),0)</f>
        <v/>
      </c>
      <c r="K26" s="126">
        <f>IF(F26="","",K$5)</f>
        <v/>
      </c>
      <c r="L26" s="126">
        <f>K26-J26</f>
        <v/>
      </c>
      <c r="M26" s="127" t="n"/>
      <c r="N26" s="11" t="n"/>
      <c r="O26" s="11" t="n"/>
      <c r="P26" s="11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" customHeight="1" s="184">
      <c r="A27" s="11" t="n"/>
      <c r="B27" s="122">
        <f>ROW()-4</f>
        <v/>
      </c>
      <c r="C27" s="123">
        <f>EDATE(C26,1)</f>
        <v/>
      </c>
      <c r="D27" s="123">
        <f>EOMONTH(C27,0)</f>
        <v/>
      </c>
      <c r="E27" s="124">
        <f>IF($D27="","",IFERROR(SUMIFS(EXPENSES!$D:$D,EXPENSES!$A:$A,"&gt;="&amp;$C27,EXPENSES!$A:$A,"&lt;="&amp;$D27),"na"))</f>
        <v/>
      </c>
      <c r="F27" s="124">
        <f>IF($D27="","",IFERROR(SUMIFS(INCOME!$C:$C,INCOME!$A:$A,"&gt;="&amp;$C27,INCOME!$A:$A,"&lt;="&amp;$D27),"na"))</f>
        <v/>
      </c>
      <c r="G27" s="124">
        <f>F27-E27</f>
        <v/>
      </c>
      <c r="H27" s="125">
        <f>IF(F27=0,"na",E27/F27)</f>
        <v/>
      </c>
      <c r="I27" s="125">
        <f>IF(F27=0,"na",G27/F27)</f>
        <v/>
      </c>
      <c r="J27" s="126">
        <f>IFERROR(SUMPRODUCT(EXPENSES!$D:$D),0)</f>
        <v/>
      </c>
      <c r="K27" s="126">
        <f>IF(F27="","",K$5)</f>
        <v/>
      </c>
      <c r="L27" s="126">
        <f>K27-J27</f>
        <v/>
      </c>
      <c r="M27" s="127" t="n"/>
      <c r="N27" s="11" t="n"/>
      <c r="O27" s="11" t="n"/>
      <c r="P27" s="11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" customHeight="1" s="184">
      <c r="A28" s="11" t="n"/>
      <c r="B28" s="122">
        <f>ROW()-4</f>
        <v/>
      </c>
      <c r="C28" s="123">
        <f>EDATE(C27,1)</f>
        <v/>
      </c>
      <c r="D28" s="123">
        <f>EOMONTH(C28,0)</f>
        <v/>
      </c>
      <c r="E28" s="124">
        <f>IF($D28="","",IFERROR(SUMIFS(EXPENSES!$D:$D,EXPENSES!$A:$A,"&gt;="&amp;$C28,EXPENSES!$A:$A,"&lt;="&amp;$D28),"na"))</f>
        <v/>
      </c>
      <c r="F28" s="124">
        <f>IF($D28="","",IFERROR(SUMIFS(INCOME!$C:$C,INCOME!$A:$A,"&gt;="&amp;$C28,INCOME!$A:$A,"&lt;="&amp;$D28),"na"))</f>
        <v/>
      </c>
      <c r="G28" s="124">
        <f>F28-E28</f>
        <v/>
      </c>
      <c r="H28" s="125">
        <f>IF(F28=0,"na",E28/F28)</f>
        <v/>
      </c>
      <c r="I28" s="125">
        <f>IF(F28=0,"na",G28/F28)</f>
        <v/>
      </c>
      <c r="J28" s="126">
        <f>IFERROR(SUMPRODUCT(EXPENSES!$D:$D),0)</f>
        <v/>
      </c>
      <c r="K28" s="126">
        <f>IF(F28="","",K$5)</f>
        <v/>
      </c>
      <c r="L28" s="126">
        <f>K28-J28</f>
        <v/>
      </c>
      <c r="M28" s="127" t="n"/>
      <c r="N28" s="11" t="n"/>
      <c r="O28" s="11" t="n"/>
      <c r="P28" s="11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" customHeight="1" s="184">
      <c r="A29" s="11" t="n"/>
      <c r="B29" s="122">
        <f>ROW()-4</f>
        <v/>
      </c>
      <c r="C29" s="123">
        <f>EDATE(C28,1)</f>
        <v/>
      </c>
      <c r="D29" s="123">
        <f>EOMONTH(C29,0)</f>
        <v/>
      </c>
      <c r="E29" s="124">
        <f>IF($D29="","",IFERROR(SUMIFS(EXPENSES!$D:$D,EXPENSES!$A:$A,"&gt;="&amp;$C29,EXPENSES!$A:$A,"&lt;="&amp;$D29),"na"))</f>
        <v/>
      </c>
      <c r="F29" s="124">
        <f>IF($D29="","",IFERROR(SUMIFS(INCOME!$C:$C,INCOME!$A:$A,"&gt;="&amp;$C29,INCOME!$A:$A,"&lt;="&amp;$D29),"na"))</f>
        <v/>
      </c>
      <c r="G29" s="124">
        <f>F29-E29</f>
        <v/>
      </c>
      <c r="H29" s="125">
        <f>IF(F29=0,"na",E29/F29)</f>
        <v/>
      </c>
      <c r="I29" s="125">
        <f>IF(F29=0,"na",G29/F29)</f>
        <v/>
      </c>
      <c r="J29" s="126">
        <f>IFERROR(SUMPRODUCT(EXPENSES!$D:$D),0)</f>
        <v/>
      </c>
      <c r="K29" s="126">
        <f>IF(F29="","",K$5)</f>
        <v/>
      </c>
      <c r="L29" s="126">
        <f>K29-J29</f>
        <v/>
      </c>
      <c r="M29" s="127" t="n"/>
      <c r="N29" s="11" t="n"/>
      <c r="O29" s="11" t="n"/>
      <c r="P29" s="11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" customHeight="1" s="184">
      <c r="A30" s="11" t="n"/>
      <c r="B30" s="122">
        <f>ROW()-4</f>
        <v/>
      </c>
      <c r="C30" s="123">
        <f>EDATE(C29,1)</f>
        <v/>
      </c>
      <c r="D30" s="123">
        <f>EOMONTH(C30,0)</f>
        <v/>
      </c>
      <c r="E30" s="124">
        <f>IF($D30="","",IFERROR(SUMIFS(EXPENSES!$D:$D,EXPENSES!$A:$A,"&gt;="&amp;$C30,EXPENSES!$A:$A,"&lt;="&amp;$D30),"na"))</f>
        <v/>
      </c>
      <c r="F30" s="124">
        <f>IF($D30="","",IFERROR(SUMIFS(INCOME!$C:$C,INCOME!$A:$A,"&gt;="&amp;$C30,INCOME!$A:$A,"&lt;="&amp;$D30),"na"))</f>
        <v/>
      </c>
      <c r="G30" s="124">
        <f>F30-E30</f>
        <v/>
      </c>
      <c r="H30" s="125">
        <f>IF(F30=0,"na",E30/F30)</f>
        <v/>
      </c>
      <c r="I30" s="125">
        <f>IF(F30=0,"na",G30/F30)</f>
        <v/>
      </c>
      <c r="J30" s="126">
        <f>IFERROR(SUMPRODUCT(EXPENSES!$D:$D),0)</f>
        <v/>
      </c>
      <c r="K30" s="126">
        <f>IF(F30="","",K$5)</f>
        <v/>
      </c>
      <c r="L30" s="126">
        <f>K30-J30</f>
        <v/>
      </c>
      <c r="M30" s="127" t="n"/>
      <c r="N30" s="11" t="n"/>
      <c r="O30" s="11" t="n"/>
      <c r="P30" s="11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84">
      <c r="A31" s="5" t="n"/>
      <c r="B31" s="122">
        <f>ROW()-4</f>
        <v/>
      </c>
      <c r="C31" s="123">
        <f>EDATE(C30,1)</f>
        <v/>
      </c>
      <c r="D31" s="123">
        <f>EOMONTH(C31,0)</f>
        <v/>
      </c>
      <c r="E31" s="124">
        <f>IF($D31="","",IFERROR(SUMIFS(EXPENSES!$D:$D,EXPENSES!$A:$A,"&gt;="&amp;$C31,EXPENSES!$A:$A,"&lt;="&amp;$D31),"na"))</f>
        <v/>
      </c>
      <c r="F31" s="124">
        <f>IF($D31="","",IFERROR(SUMIFS(INCOME!$C:$C,INCOME!$A:$A,"&gt;="&amp;$C31,INCOME!$A:$A,"&lt;="&amp;$D31),"na"))</f>
        <v/>
      </c>
      <c r="G31" s="124">
        <f>F31-E31</f>
        <v/>
      </c>
      <c r="H31" s="125">
        <f>IF(F31=0,"na",E31/F31)</f>
        <v/>
      </c>
      <c r="I31" s="125">
        <f>IF(F31=0,"na",G31/F31)</f>
        <v/>
      </c>
      <c r="J31" s="126">
        <f>IFERROR(SUMPRODUCT(EXPENSES!$D:$D),0)</f>
        <v/>
      </c>
      <c r="K31" s="126">
        <f>IF(F31="","",K$5)</f>
        <v/>
      </c>
      <c r="L31" s="126">
        <f>K31-J31</f>
        <v/>
      </c>
      <c r="M31" s="127" t="n"/>
      <c r="N31" s="11" t="n"/>
      <c r="O31" s="11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84">
      <c r="A32" s="5" t="n"/>
      <c r="B32" s="122">
        <f>ROW()-4</f>
        <v/>
      </c>
      <c r="C32" s="123">
        <f>EDATE(C31,1)</f>
        <v/>
      </c>
      <c r="D32" s="123">
        <f>EOMONTH(C32,0)</f>
        <v/>
      </c>
      <c r="E32" s="124">
        <f>IF($D32="","",IFERROR(SUMIFS(EXPENSES!$D:$D,EXPENSES!$A:$A,"&gt;="&amp;$C32,EXPENSES!$A:$A,"&lt;="&amp;$D32),"na"))</f>
        <v/>
      </c>
      <c r="F32" s="124">
        <f>IF($D32="","",IFERROR(SUMIFS(INCOME!$C:$C,INCOME!$A:$A,"&gt;="&amp;$C32,INCOME!$A:$A,"&lt;="&amp;$D32),"na"))</f>
        <v/>
      </c>
      <c r="G32" s="124">
        <f>F32-E32</f>
        <v/>
      </c>
      <c r="H32" s="125">
        <f>IF(F32=0,"na",E32/F32)</f>
        <v/>
      </c>
      <c r="I32" s="125">
        <f>IF(F32=0,"na",G32/F32)</f>
        <v/>
      </c>
      <c r="J32" s="126">
        <f>IFERROR(SUMPRODUCT(EXPENSES!$D:$D),0)</f>
        <v/>
      </c>
      <c r="K32" s="126">
        <f>IF(F32="","",K$5)</f>
        <v/>
      </c>
      <c r="L32" s="126">
        <f>K32-J32</f>
        <v/>
      </c>
      <c r="M32" s="127" t="n"/>
      <c r="N32" s="11" t="n"/>
      <c r="O32" s="11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84">
      <c r="A33" s="5" t="n"/>
      <c r="B33" s="122">
        <f>ROW()-4</f>
        <v/>
      </c>
      <c r="C33" s="123">
        <f>EDATE(C32,1)</f>
        <v/>
      </c>
      <c r="D33" s="123">
        <f>EOMONTH(C33,0)</f>
        <v/>
      </c>
      <c r="E33" s="124">
        <f>IF($D33="","",IFERROR(SUMIFS(EXPENSES!$D:$D,EXPENSES!$A:$A,"&gt;="&amp;$C33,EXPENSES!$A:$A,"&lt;="&amp;$D33),"na"))</f>
        <v/>
      </c>
      <c r="F33" s="124">
        <f>IF($D33="","",IFERROR(SUMIFS(INCOME!$C:$C,INCOME!$A:$A,"&gt;="&amp;$C33,INCOME!$A:$A,"&lt;="&amp;$D33),"na"))</f>
        <v/>
      </c>
      <c r="G33" s="124">
        <f>F33-E33</f>
        <v/>
      </c>
      <c r="H33" s="125">
        <f>IF(F33=0,"na",E33/F33)</f>
        <v/>
      </c>
      <c r="I33" s="125">
        <f>IF(F33=0,"na",G33/F33)</f>
        <v/>
      </c>
      <c r="J33" s="126">
        <f>IFERROR(SUMPRODUCT(EXPENSES!$D:$D),0)</f>
        <v/>
      </c>
      <c r="K33" s="126">
        <f>IF(F33="","",K$5)</f>
        <v/>
      </c>
      <c r="L33" s="126">
        <f>K33-J33</f>
        <v/>
      </c>
      <c r="M33" s="127" t="n"/>
      <c r="N33" s="11" t="n"/>
      <c r="O33" s="11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84">
      <c r="A34" s="5" t="n"/>
      <c r="B34" s="122">
        <f>ROW()-4</f>
        <v/>
      </c>
      <c r="C34" s="123">
        <f>EDATE(C33,1)</f>
        <v/>
      </c>
      <c r="D34" s="123">
        <f>EOMONTH(C34,0)</f>
        <v/>
      </c>
      <c r="E34" s="124">
        <f>IF($D34="","",IFERROR(SUMIFS(EXPENSES!$D:$D,EXPENSES!$A:$A,"&gt;="&amp;$C34,EXPENSES!$A:$A,"&lt;="&amp;$D34),"na"))</f>
        <v/>
      </c>
      <c r="F34" s="124">
        <f>IF($D34="","",IFERROR(SUMIFS(INCOME!$C:$C,INCOME!$A:$A,"&gt;="&amp;$C34,INCOME!$A:$A,"&lt;="&amp;$D34),"na"))</f>
        <v/>
      </c>
      <c r="G34" s="124">
        <f>F34-E34</f>
        <v/>
      </c>
      <c r="H34" s="125">
        <f>IF(F34=0,"na",E34/F34)</f>
        <v/>
      </c>
      <c r="I34" s="125">
        <f>IF(F34=0,"na",G34/F34)</f>
        <v/>
      </c>
      <c r="J34" s="126">
        <f>IFERROR(SUMPRODUCT(EXPENSES!$D:$D),0)</f>
        <v/>
      </c>
      <c r="K34" s="126">
        <f>IF(F34="","",K$5)</f>
        <v/>
      </c>
      <c r="L34" s="126">
        <f>K34-J34</f>
        <v/>
      </c>
      <c r="M34" s="127" t="n"/>
      <c r="N34" s="11" t="n"/>
      <c r="O34" s="11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84">
      <c r="A35" s="5" t="n"/>
      <c r="B35" s="122">
        <f>ROW()-4</f>
        <v/>
      </c>
      <c r="C35" s="123">
        <f>EDATE(C34,1)</f>
        <v/>
      </c>
      <c r="D35" s="123">
        <f>EOMONTH(C35,0)</f>
        <v/>
      </c>
      <c r="E35" s="124">
        <f>IF($D35="","",IFERROR(SUMIFS(EXPENSES!$D:$D,EXPENSES!$A:$A,"&gt;="&amp;$C35,EXPENSES!$A:$A,"&lt;="&amp;$D35),"na"))</f>
        <v/>
      </c>
      <c r="F35" s="124">
        <f>IF($D35="","",IFERROR(SUMIFS(INCOME!$C:$C,INCOME!$A:$A,"&gt;="&amp;$C35,INCOME!$A:$A,"&lt;="&amp;$D35),"na"))</f>
        <v/>
      </c>
      <c r="G35" s="124">
        <f>F35-E35</f>
        <v/>
      </c>
      <c r="H35" s="125">
        <f>IF(F35=0,"na",E35/F35)</f>
        <v/>
      </c>
      <c r="I35" s="125">
        <f>IF(F35=0,"na",G35/F35)</f>
        <v/>
      </c>
      <c r="J35" s="126">
        <f>IFERROR(SUMPRODUCT(EXPENSES!$D:$D),0)</f>
        <v/>
      </c>
      <c r="K35" s="126">
        <f>IF(F35="","",K$5)</f>
        <v/>
      </c>
      <c r="L35" s="126">
        <f>K35-J35</f>
        <v/>
      </c>
      <c r="M35" s="127" t="n"/>
      <c r="N35" s="11" t="n"/>
      <c r="O35" s="11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84">
      <c r="A36" s="5" t="n"/>
      <c r="B36" s="122">
        <f>ROW()-4</f>
        <v/>
      </c>
      <c r="C36" s="123">
        <f>EDATE(C35,1)</f>
        <v/>
      </c>
      <c r="D36" s="123">
        <f>EOMONTH(C36,0)</f>
        <v/>
      </c>
      <c r="E36" s="124">
        <f>IF($D36="","",IFERROR(SUMIFS(EXPENSES!$D:$D,EXPENSES!$A:$A,"&gt;="&amp;$C36,EXPENSES!$A:$A,"&lt;="&amp;$D36),"na"))</f>
        <v/>
      </c>
      <c r="F36" s="124">
        <f>IF($D36="","",IFERROR(SUMIFS(INCOME!$C:$C,INCOME!$A:$A,"&gt;="&amp;$C36,INCOME!$A:$A,"&lt;="&amp;$D36),"na"))</f>
        <v/>
      </c>
      <c r="G36" s="124">
        <f>F36-E36</f>
        <v/>
      </c>
      <c r="H36" s="125">
        <f>IF(F36=0,"na",E36/F36)</f>
        <v/>
      </c>
      <c r="I36" s="125">
        <f>IF(F36=0,"na",G36/F36)</f>
        <v/>
      </c>
      <c r="J36" s="126">
        <f>IFERROR(SUMPRODUCT(EXPENSES!$D:$D),0)</f>
        <v/>
      </c>
      <c r="K36" s="126">
        <f>IF(F36="","",K$5)</f>
        <v/>
      </c>
      <c r="L36" s="126">
        <f>K36-J36</f>
        <v/>
      </c>
      <c r="M36" s="127" t="n"/>
      <c r="N36" s="11" t="n"/>
      <c r="O36" s="11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84">
      <c r="A37" s="5" t="n"/>
      <c r="B37" s="122">
        <f>ROW()-4</f>
        <v/>
      </c>
      <c r="C37" s="123">
        <f>EDATE(C36,1)</f>
        <v/>
      </c>
      <c r="D37" s="123">
        <f>EOMONTH(C37,0)</f>
        <v/>
      </c>
      <c r="E37" s="124">
        <f>IF($D37="","",IFERROR(SUMIFS(EXPENSES!$D:$D,EXPENSES!$A:$A,"&gt;="&amp;$C37,EXPENSES!$A:$A,"&lt;="&amp;$D37),"na"))</f>
        <v/>
      </c>
      <c r="F37" s="124">
        <f>IF($D37="","",IFERROR(SUMIFS(INCOME!$C:$C,INCOME!$A:$A,"&gt;="&amp;$C37,INCOME!$A:$A,"&lt;="&amp;$D37),"na"))</f>
        <v/>
      </c>
      <c r="G37" s="124">
        <f>F37-E37</f>
        <v/>
      </c>
      <c r="H37" s="125">
        <f>IF(F37=0,"na",E37/F37)</f>
        <v/>
      </c>
      <c r="I37" s="125">
        <f>IF(F37=0,"na",G37/F37)</f>
        <v/>
      </c>
      <c r="J37" s="126">
        <f>IFERROR(SUMPRODUCT(EXPENSES!$D:$D),0)</f>
        <v/>
      </c>
      <c r="K37" s="126">
        <f>IF(F37="","",K$5)</f>
        <v/>
      </c>
      <c r="L37" s="126">
        <f>K37-J37</f>
        <v/>
      </c>
      <c r="M37" s="127" t="n"/>
      <c r="N37" s="11" t="n"/>
      <c r="O37" s="11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84">
      <c r="A38" s="5" t="n"/>
      <c r="B38" s="122">
        <f>ROW()-4</f>
        <v/>
      </c>
      <c r="C38" s="123">
        <f>EDATE(C37,1)</f>
        <v/>
      </c>
      <c r="D38" s="123">
        <f>EOMONTH(C38,0)</f>
        <v/>
      </c>
      <c r="E38" s="124">
        <f>IF($D38="","",IFERROR(SUMIFS(EXPENSES!$D:$D,EXPENSES!$A:$A,"&gt;="&amp;$C38,EXPENSES!$A:$A,"&lt;="&amp;$D38),"na"))</f>
        <v/>
      </c>
      <c r="F38" s="124">
        <f>IF($D38="","",IFERROR(SUMIFS(INCOME!$C:$C,INCOME!$A:$A,"&gt;="&amp;$C38,INCOME!$A:$A,"&lt;="&amp;$D38),"na"))</f>
        <v/>
      </c>
      <c r="G38" s="124">
        <f>F38-E38</f>
        <v/>
      </c>
      <c r="H38" s="125">
        <f>IF(F38=0,"na",E38/F38)</f>
        <v/>
      </c>
      <c r="I38" s="125">
        <f>IF(F38=0,"na",G38/F38)</f>
        <v/>
      </c>
      <c r="J38" s="126">
        <f>IFERROR(SUMPRODUCT(EXPENSES!$D:$D),0)</f>
        <v/>
      </c>
      <c r="K38" s="126">
        <f>IF(F38="","",K$5)</f>
        <v/>
      </c>
      <c r="L38" s="126">
        <f>K38-J38</f>
        <v/>
      </c>
      <c r="M38" s="127" t="n"/>
      <c r="N38" s="11" t="n"/>
      <c r="O38" s="11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84">
      <c r="A39" s="5" t="n"/>
      <c r="B39" s="122">
        <f>ROW()-4</f>
        <v/>
      </c>
      <c r="C39" s="123">
        <f>EDATE(C38,1)</f>
        <v/>
      </c>
      <c r="D39" s="123">
        <f>EOMONTH(C39,0)</f>
        <v/>
      </c>
      <c r="E39" s="124">
        <f>IF($D39="","",IFERROR(SUMIFS(EXPENSES!$D:$D,EXPENSES!$A:$A,"&gt;="&amp;$C39,EXPENSES!$A:$A,"&lt;="&amp;$D39),"na"))</f>
        <v/>
      </c>
      <c r="F39" s="124">
        <f>IF($D39="","",IFERROR(SUMIFS(INCOME!$C:$C,INCOME!$A:$A,"&gt;="&amp;$C39,INCOME!$A:$A,"&lt;="&amp;$D39),"na"))</f>
        <v/>
      </c>
      <c r="G39" s="124">
        <f>F39-E39</f>
        <v/>
      </c>
      <c r="H39" s="125">
        <f>IF(F39=0,"na",E39/F39)</f>
        <v/>
      </c>
      <c r="I39" s="125">
        <f>IF(F39=0,"na",G39/F39)</f>
        <v/>
      </c>
      <c r="J39" s="126">
        <f>IFERROR(SUMPRODUCT(EXPENSES!$D:$D),0)</f>
        <v/>
      </c>
      <c r="K39" s="126">
        <f>IF(F39="","",K$5)</f>
        <v/>
      </c>
      <c r="L39" s="126">
        <f>K39-J39</f>
        <v/>
      </c>
      <c r="M39" s="127" t="n"/>
      <c r="N39" s="11" t="n"/>
      <c r="O39" s="11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84">
      <c r="A40" s="5" t="n"/>
      <c r="B40" s="122">
        <f>ROW()-4</f>
        <v/>
      </c>
      <c r="C40" s="123">
        <f>EDATE(C39,1)</f>
        <v/>
      </c>
      <c r="D40" s="123">
        <f>EOMONTH(C40,0)</f>
        <v/>
      </c>
      <c r="E40" s="124">
        <f>IF($D40="","",IFERROR(SUMIFS(EXPENSES!$D:$D,EXPENSES!$A:$A,"&gt;="&amp;$C40,EXPENSES!$A:$A,"&lt;="&amp;$D40),"na"))</f>
        <v/>
      </c>
      <c r="F40" s="124">
        <f>IF($D40="","",IFERROR(SUMIFS(INCOME!$C:$C,INCOME!$A:$A,"&gt;="&amp;$C40,INCOME!$A:$A,"&lt;="&amp;$D40),"na"))</f>
        <v/>
      </c>
      <c r="G40" s="124">
        <f>F40-E40</f>
        <v/>
      </c>
      <c r="H40" s="125">
        <f>IF(F40=0,"na",E40/F40)</f>
        <v/>
      </c>
      <c r="I40" s="125">
        <f>IF(F40=0,"na",G40/F40)</f>
        <v/>
      </c>
      <c r="J40" s="126">
        <f>IFERROR(SUMPRODUCT(EXPENSES!$D:$D),0)</f>
        <v/>
      </c>
      <c r="K40" s="126">
        <f>IF(F40="","",K$5)</f>
        <v/>
      </c>
      <c r="L40" s="126">
        <f>K40-J40</f>
        <v/>
      </c>
      <c r="M40" s="127" t="n"/>
      <c r="N40" s="11" t="n"/>
      <c r="O40" s="11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84">
      <c r="A41" s="5" t="n"/>
      <c r="B41" s="122">
        <f>ROW()-4</f>
        <v/>
      </c>
      <c r="C41" s="123">
        <f>EDATE(C40,1)</f>
        <v/>
      </c>
      <c r="D41" s="123">
        <f>EOMONTH(C41,0)</f>
        <v/>
      </c>
      <c r="E41" s="124">
        <f>IF($D41="","",IFERROR(SUMIFS(EXPENSES!$D:$D,EXPENSES!$A:$A,"&gt;="&amp;$C41,EXPENSES!$A:$A,"&lt;="&amp;$D41),"na"))</f>
        <v/>
      </c>
      <c r="F41" s="124">
        <f>IF($D41="","",IFERROR(SUMIFS(INCOME!$C:$C,INCOME!$A:$A,"&gt;="&amp;$C41,INCOME!$A:$A,"&lt;="&amp;$D41),"na"))</f>
        <v/>
      </c>
      <c r="G41" s="124">
        <f>F41-E41</f>
        <v/>
      </c>
      <c r="H41" s="125">
        <f>IF(F41=0,"na",E41/F41)</f>
        <v/>
      </c>
      <c r="I41" s="125">
        <f>IF(F41=0,"na",G41/F41)</f>
        <v/>
      </c>
      <c r="J41" s="126">
        <f>IFERROR(SUMPRODUCT(EXPENSES!$D:$D),0)</f>
        <v/>
      </c>
      <c r="K41" s="126">
        <f>IF(F41="","",K$5)</f>
        <v/>
      </c>
      <c r="L41" s="126">
        <f>K41-J41</f>
        <v/>
      </c>
      <c r="M41" s="127" t="n"/>
      <c r="N41" s="11" t="n"/>
      <c r="O41" s="11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84">
      <c r="A42" s="5" t="n"/>
      <c r="B42" s="122">
        <f>ROW()-4</f>
        <v/>
      </c>
      <c r="C42" s="123">
        <f>EDATE(C41,1)</f>
        <v/>
      </c>
      <c r="D42" s="123">
        <f>EOMONTH(C42,0)</f>
        <v/>
      </c>
      <c r="E42" s="124">
        <f>IF($D42="","",IFERROR(SUMIFS(EXPENSES!$D:$D,EXPENSES!$A:$A,"&gt;="&amp;$C42,EXPENSES!$A:$A,"&lt;="&amp;$D42),"na"))</f>
        <v/>
      </c>
      <c r="F42" s="124">
        <f>IF($D42="","",IFERROR(SUMIFS(INCOME!$C:$C,INCOME!$A:$A,"&gt;="&amp;$C42,INCOME!$A:$A,"&lt;="&amp;$D42),"na"))</f>
        <v/>
      </c>
      <c r="G42" s="124">
        <f>F42-E42</f>
        <v/>
      </c>
      <c r="H42" s="125">
        <f>IF(F42=0,"na",E42/F42)</f>
        <v/>
      </c>
      <c r="I42" s="125">
        <f>IF(F42=0,"na",G42/F42)</f>
        <v/>
      </c>
      <c r="J42" s="126">
        <f>IFERROR(SUMPRODUCT(EXPENSES!$D:$D),0)</f>
        <v/>
      </c>
      <c r="K42" s="126">
        <f>IF(F42="","",K$5)</f>
        <v/>
      </c>
      <c r="L42" s="126">
        <f>K42-J42</f>
        <v/>
      </c>
      <c r="M42" s="127" t="n"/>
      <c r="N42" s="11" t="n"/>
      <c r="O42" s="11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84">
      <c r="A43" s="5" t="n"/>
      <c r="B43" s="122">
        <f>ROW()-4</f>
        <v/>
      </c>
      <c r="C43" s="123">
        <f>EDATE(C42,1)</f>
        <v/>
      </c>
      <c r="D43" s="123">
        <f>EOMONTH(C43,0)</f>
        <v/>
      </c>
      <c r="E43" s="124">
        <f>IF($D43="","",IFERROR(SUMIFS(EXPENSES!$D:$D,EXPENSES!$A:$A,"&gt;="&amp;$C43,EXPENSES!$A:$A,"&lt;="&amp;$D43),"na"))</f>
        <v/>
      </c>
      <c r="F43" s="124">
        <f>IF($D43="","",IFERROR(SUMIFS(INCOME!$C:$C,INCOME!$A:$A,"&gt;="&amp;$C43,INCOME!$A:$A,"&lt;="&amp;$D43),"na"))</f>
        <v/>
      </c>
      <c r="G43" s="124">
        <f>F43-E43</f>
        <v/>
      </c>
      <c r="H43" s="125">
        <f>IF(F43=0,"na",E43/F43)</f>
        <v/>
      </c>
      <c r="I43" s="125">
        <f>IF(F43=0,"na",G43/F43)</f>
        <v/>
      </c>
      <c r="J43" s="126">
        <f>IFERROR(SUMPRODUCT(EXPENSES!$D:$D),0)</f>
        <v/>
      </c>
      <c r="K43" s="126">
        <f>IF(F43="","",K$5)</f>
        <v/>
      </c>
      <c r="L43" s="126">
        <f>K43-J43</f>
        <v/>
      </c>
      <c r="M43" s="127" t="n"/>
      <c r="N43" s="11" t="n"/>
      <c r="O43" s="11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84">
      <c r="A44" s="5" t="n"/>
      <c r="B44" s="122">
        <f>ROW()-4</f>
        <v/>
      </c>
      <c r="C44" s="123">
        <f>EDATE(C43,1)</f>
        <v/>
      </c>
      <c r="D44" s="123">
        <f>EOMONTH(C44,0)</f>
        <v/>
      </c>
      <c r="E44" s="124">
        <f>IF($D44="","",IFERROR(SUMIFS(EXPENSES!$D:$D,EXPENSES!$A:$A,"&gt;="&amp;$C44,EXPENSES!$A:$A,"&lt;="&amp;$D44),"na"))</f>
        <v/>
      </c>
      <c r="F44" s="124">
        <f>IF($D44="","",IFERROR(SUMIFS(INCOME!$C:$C,INCOME!$A:$A,"&gt;="&amp;$C44,INCOME!$A:$A,"&lt;="&amp;$D44),"na"))</f>
        <v/>
      </c>
      <c r="G44" s="124">
        <f>F44-E44</f>
        <v/>
      </c>
      <c r="H44" s="125">
        <f>IF(F44=0,"na",E44/F44)</f>
        <v/>
      </c>
      <c r="I44" s="125">
        <f>IF(F44=0,"na",G44/F44)</f>
        <v/>
      </c>
      <c r="J44" s="126">
        <f>IFERROR(SUMPRODUCT(EXPENSES!$D:$D),0)</f>
        <v/>
      </c>
      <c r="K44" s="126">
        <f>IF(F44="","",K$5)</f>
        <v/>
      </c>
      <c r="L44" s="126">
        <f>K44-J44</f>
        <v/>
      </c>
      <c r="M44" s="127" t="n"/>
      <c r="N44" s="11" t="n"/>
      <c r="O44" s="11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84">
      <c r="A45" s="5" t="n"/>
      <c r="B45" s="122">
        <f>ROW()-4</f>
        <v/>
      </c>
      <c r="C45" s="123">
        <f>EDATE(C44,1)</f>
        <v/>
      </c>
      <c r="D45" s="123">
        <f>EOMONTH(C45,0)</f>
        <v/>
      </c>
      <c r="E45" s="124">
        <f>IF($D45="","",IFERROR(SUMIFS(EXPENSES!$D:$D,EXPENSES!$A:$A,"&gt;="&amp;$C45,EXPENSES!$A:$A,"&lt;="&amp;$D45),"na"))</f>
        <v/>
      </c>
      <c r="F45" s="124">
        <f>IF($D45="","",IFERROR(SUMIFS(INCOME!$C:$C,INCOME!$A:$A,"&gt;="&amp;$C45,INCOME!$A:$A,"&lt;="&amp;$D45),"na"))</f>
        <v/>
      </c>
      <c r="G45" s="124">
        <f>F45-E45</f>
        <v/>
      </c>
      <c r="H45" s="125">
        <f>IF(F45=0,"na",E45/F45)</f>
        <v/>
      </c>
      <c r="I45" s="125">
        <f>IF(F45=0,"na",G45/F45)</f>
        <v/>
      </c>
      <c r="J45" s="126">
        <f>IFERROR(SUMPRODUCT(EXPENSES!$D:$D),0)</f>
        <v/>
      </c>
      <c r="K45" s="126">
        <f>IF(F45="","",K$5)</f>
        <v/>
      </c>
      <c r="L45" s="126">
        <f>K45-J45</f>
        <v/>
      </c>
      <c r="M45" s="127" t="n"/>
      <c r="N45" s="11" t="n"/>
      <c r="O45" s="11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84">
      <c r="A46" s="5" t="n"/>
      <c r="B46" s="122">
        <f>ROW()-4</f>
        <v/>
      </c>
      <c r="C46" s="123">
        <f>EDATE(C45,1)</f>
        <v/>
      </c>
      <c r="D46" s="123">
        <f>EOMONTH(C46,0)</f>
        <v/>
      </c>
      <c r="E46" s="124">
        <f>IF($D46="","",IFERROR(SUMIFS(EXPENSES!$D:$D,EXPENSES!$A:$A,"&gt;="&amp;$C46,EXPENSES!$A:$A,"&lt;="&amp;$D46),"na"))</f>
        <v/>
      </c>
      <c r="F46" s="124">
        <f>IF($D46="","",IFERROR(SUMIFS(INCOME!$C:$C,INCOME!$A:$A,"&gt;="&amp;$C46,INCOME!$A:$A,"&lt;="&amp;$D46),"na"))</f>
        <v/>
      </c>
      <c r="G46" s="124">
        <f>F46-E46</f>
        <v/>
      </c>
      <c r="H46" s="125">
        <f>IF(F46=0,"na",E46/F46)</f>
        <v/>
      </c>
      <c r="I46" s="125">
        <f>IF(F46=0,"na",G46/F46)</f>
        <v/>
      </c>
      <c r="J46" s="126">
        <f>IFERROR(SUMPRODUCT(EXPENSES!$D:$D),0)</f>
        <v/>
      </c>
      <c r="K46" s="126">
        <f>IF(F46="","",K$5)</f>
        <v/>
      </c>
      <c r="L46" s="126">
        <f>K46-J46</f>
        <v/>
      </c>
      <c r="M46" s="127" t="n"/>
      <c r="N46" s="11" t="n"/>
      <c r="O46" s="11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84">
      <c r="A47" s="5" t="n"/>
      <c r="B47" s="122">
        <f>ROW()-4</f>
        <v/>
      </c>
      <c r="C47" s="123">
        <f>EDATE(C46,1)</f>
        <v/>
      </c>
      <c r="D47" s="123">
        <f>EOMONTH(C47,0)</f>
        <v/>
      </c>
      <c r="E47" s="124">
        <f>IF($D47="","",IFERROR(SUMIFS(EXPENSES!$D:$D,EXPENSES!$A:$A,"&gt;="&amp;$C47,EXPENSES!$A:$A,"&lt;="&amp;$D47),"na"))</f>
        <v/>
      </c>
      <c r="F47" s="124">
        <f>IF($D47="","",IFERROR(SUMIFS(INCOME!$C:$C,INCOME!$A:$A,"&gt;="&amp;$C47,INCOME!$A:$A,"&lt;="&amp;$D47),"na"))</f>
        <v/>
      </c>
      <c r="G47" s="124">
        <f>F47-E47</f>
        <v/>
      </c>
      <c r="H47" s="125">
        <f>IF(F47=0,"na",E47/F47)</f>
        <v/>
      </c>
      <c r="I47" s="125">
        <f>IF(F47=0,"na",G47/F47)</f>
        <v/>
      </c>
      <c r="J47" s="126">
        <f>IFERROR(SUMPRODUCT(EXPENSES!$D:$D),0)</f>
        <v/>
      </c>
      <c r="K47" s="126">
        <f>IF(F47="","",K$5)</f>
        <v/>
      </c>
      <c r="L47" s="126">
        <f>K47-J47</f>
        <v/>
      </c>
      <c r="M47" s="127" t="n"/>
      <c r="N47" s="11" t="n"/>
      <c r="O47" s="11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84">
      <c r="A48" s="5" t="n"/>
      <c r="B48" s="122">
        <f>ROW()-4</f>
        <v/>
      </c>
      <c r="C48" s="123">
        <f>EDATE(C47,1)</f>
        <v/>
      </c>
      <c r="D48" s="123">
        <f>EOMONTH(C48,0)</f>
        <v/>
      </c>
      <c r="E48" s="124">
        <f>IF($D48="","",IFERROR(SUMIFS(EXPENSES!$D:$D,EXPENSES!$A:$A,"&gt;="&amp;$C48,EXPENSES!$A:$A,"&lt;="&amp;$D48),"na"))</f>
        <v/>
      </c>
      <c r="F48" s="124">
        <f>IF($D48="","",IFERROR(SUMIFS(INCOME!$C:$C,INCOME!$A:$A,"&gt;="&amp;$C48,INCOME!$A:$A,"&lt;="&amp;$D48),"na"))</f>
        <v/>
      </c>
      <c r="G48" s="124">
        <f>F48-E48</f>
        <v/>
      </c>
      <c r="H48" s="125">
        <f>IF(F48=0,"na",E48/F48)</f>
        <v/>
      </c>
      <c r="I48" s="125">
        <f>IF(F48=0,"na",G48/F48)</f>
        <v/>
      </c>
      <c r="J48" s="126">
        <f>IFERROR(SUMPRODUCT(EXPENSES!$D:$D),0)</f>
        <v/>
      </c>
      <c r="K48" s="126">
        <f>IF(F48="","",K$5)</f>
        <v/>
      </c>
      <c r="L48" s="126">
        <f>K48-J48</f>
        <v/>
      </c>
      <c r="M48" s="127" t="n"/>
      <c r="N48" s="11" t="n"/>
      <c r="O48" s="11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84">
      <c r="A49" s="5" t="n"/>
      <c r="B49" s="122">
        <f>ROW()-4</f>
        <v/>
      </c>
      <c r="C49" s="123">
        <f>EDATE(C48,1)</f>
        <v/>
      </c>
      <c r="D49" s="123">
        <f>EOMONTH(C49,0)</f>
        <v/>
      </c>
      <c r="E49" s="124">
        <f>IF($D49="","",IFERROR(SUMIFS(EXPENSES!$D:$D,EXPENSES!$A:$A,"&gt;="&amp;$C49,EXPENSES!$A:$A,"&lt;="&amp;$D49),"na"))</f>
        <v/>
      </c>
      <c r="F49" s="124">
        <f>IF($D49="","",IFERROR(SUMIFS(INCOME!$C:$C,INCOME!$A:$A,"&gt;="&amp;$C49,INCOME!$A:$A,"&lt;="&amp;$D49),"na"))</f>
        <v/>
      </c>
      <c r="G49" s="124">
        <f>F49-E49</f>
        <v/>
      </c>
      <c r="H49" s="125">
        <f>IF(F49=0,"na",E49/F49)</f>
        <v/>
      </c>
      <c r="I49" s="125">
        <f>IF(F49=0,"na",G49/F49)</f>
        <v/>
      </c>
      <c r="J49" s="126">
        <f>IFERROR(SUMPRODUCT(EXPENSES!$D:$D),0)</f>
        <v/>
      </c>
      <c r="K49" s="126">
        <f>IF(F49="","",K$5)</f>
        <v/>
      </c>
      <c r="L49" s="126">
        <f>K49-J49</f>
        <v/>
      </c>
      <c r="M49" s="127" t="n"/>
      <c r="N49" s="11" t="n"/>
      <c r="O49" s="11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84">
      <c r="A50" s="5" t="n"/>
      <c r="B50" s="122">
        <f>ROW()-4</f>
        <v/>
      </c>
      <c r="C50" s="123">
        <f>EDATE(C49,1)</f>
        <v/>
      </c>
      <c r="D50" s="123">
        <f>EOMONTH(C50,0)</f>
        <v/>
      </c>
      <c r="E50" s="124">
        <f>IF($D50="","",IFERROR(SUMIFS(EXPENSES!$D:$D,EXPENSES!$A:$A,"&gt;="&amp;$C50,EXPENSES!$A:$A,"&lt;="&amp;$D50),"na"))</f>
        <v/>
      </c>
      <c r="F50" s="124">
        <f>IF($D50="","",IFERROR(SUMIFS(INCOME!$C:$C,INCOME!$A:$A,"&gt;="&amp;$C50,INCOME!$A:$A,"&lt;="&amp;$D50),"na"))</f>
        <v/>
      </c>
      <c r="G50" s="124">
        <f>F50-E50</f>
        <v/>
      </c>
      <c r="H50" s="125">
        <f>IF(F50=0,"na",E50/F50)</f>
        <v/>
      </c>
      <c r="I50" s="125">
        <f>IF(F50=0,"na",G50/F50)</f>
        <v/>
      </c>
      <c r="J50" s="126">
        <f>IFERROR(SUMPRODUCT(EXPENSES!$D:$D),0)</f>
        <v/>
      </c>
      <c r="K50" s="126">
        <f>IF(F50="","",K$5)</f>
        <v/>
      </c>
      <c r="L50" s="126">
        <f>K50-J50</f>
        <v/>
      </c>
      <c r="M50" s="127" t="n"/>
      <c r="N50" s="11" t="n"/>
      <c r="O50" s="11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84">
      <c r="A51" s="5" t="n"/>
      <c r="B51" s="122">
        <f>ROW()-4</f>
        <v/>
      </c>
      <c r="C51" s="123">
        <f>EDATE(C50,1)</f>
        <v/>
      </c>
      <c r="D51" s="123">
        <f>EOMONTH(C51,0)</f>
        <v/>
      </c>
      <c r="E51" s="124">
        <f>IF($D51="","",IFERROR(SUMIFS(EXPENSES!$D:$D,EXPENSES!$A:$A,"&gt;="&amp;$C51,EXPENSES!$A:$A,"&lt;="&amp;$D51),"na"))</f>
        <v/>
      </c>
      <c r="F51" s="124">
        <f>IF($D51="","",IFERROR(SUMIFS(INCOME!$C:$C,INCOME!$A:$A,"&gt;="&amp;$C51,INCOME!$A:$A,"&lt;="&amp;$D51),"na"))</f>
        <v/>
      </c>
      <c r="G51" s="124">
        <f>F51-E51</f>
        <v/>
      </c>
      <c r="H51" s="125">
        <f>IF(F51=0,"na",E51/F51)</f>
        <v/>
      </c>
      <c r="I51" s="125">
        <f>IF(F51=0,"na",G51/F51)</f>
        <v/>
      </c>
      <c r="J51" s="126">
        <f>IFERROR(SUMPRODUCT(EXPENSES!$D:$D),0)</f>
        <v/>
      </c>
      <c r="K51" s="126">
        <f>IF(F51="","",K$5)</f>
        <v/>
      </c>
      <c r="L51" s="126">
        <f>K51-J51</f>
        <v/>
      </c>
      <c r="M51" s="127" t="n"/>
      <c r="N51" s="11" t="n"/>
      <c r="O51" s="11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84">
      <c r="A52" s="5" t="n"/>
      <c r="B52" s="122">
        <f>ROW()-4</f>
        <v/>
      </c>
      <c r="C52" s="123">
        <f>EDATE(C51,1)</f>
        <v/>
      </c>
      <c r="D52" s="123">
        <f>EOMONTH(C52,0)</f>
        <v/>
      </c>
      <c r="E52" s="124">
        <f>IF($D52="","",IFERROR(SUMIFS(EXPENSES!$D:$D,EXPENSES!$A:$A,"&gt;="&amp;$C52,EXPENSES!$A:$A,"&lt;="&amp;$D52),"na"))</f>
        <v/>
      </c>
      <c r="F52" s="124">
        <f>IF($D52="","",IFERROR(SUMIFS(INCOME!$C:$C,INCOME!$A:$A,"&gt;="&amp;$C52,INCOME!$A:$A,"&lt;="&amp;$D52),"na"))</f>
        <v/>
      </c>
      <c r="G52" s="124">
        <f>F52-E52</f>
        <v/>
      </c>
      <c r="H52" s="125">
        <f>IF(F52=0,"na",E52/F52)</f>
        <v/>
      </c>
      <c r="I52" s="125">
        <f>IF(F52=0,"na",G52/F52)</f>
        <v/>
      </c>
      <c r="J52" s="126">
        <f>IFERROR(SUMPRODUCT(EXPENSES!$D:$D),0)</f>
        <v/>
      </c>
      <c r="K52" s="126">
        <f>IF(F52="","",K$5)</f>
        <v/>
      </c>
      <c r="L52" s="126">
        <f>K52-J52</f>
        <v/>
      </c>
      <c r="M52" s="127" t="n"/>
      <c r="N52" s="11" t="n"/>
      <c r="O52" s="11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84">
      <c r="A53" s="5" t="n"/>
      <c r="B53" s="122">
        <f>ROW()-4</f>
        <v/>
      </c>
      <c r="C53" s="123">
        <f>EDATE(C52,1)</f>
        <v/>
      </c>
      <c r="D53" s="123">
        <f>EOMONTH(C53,0)</f>
        <v/>
      </c>
      <c r="E53" s="124">
        <f>IF($D53="","",IFERROR(SUMIFS(EXPENSES!$D:$D,EXPENSES!$A:$A,"&gt;="&amp;$C53,EXPENSES!$A:$A,"&lt;="&amp;$D53),"na"))</f>
        <v/>
      </c>
      <c r="F53" s="124">
        <f>IF($D53="","",IFERROR(SUMIFS(INCOME!$C:$C,INCOME!$A:$A,"&gt;="&amp;$C53,INCOME!$A:$A,"&lt;="&amp;$D53),"na"))</f>
        <v/>
      </c>
      <c r="G53" s="124">
        <f>F53-E53</f>
        <v/>
      </c>
      <c r="H53" s="125">
        <f>IF(F53=0,"na",E53/F53)</f>
        <v/>
      </c>
      <c r="I53" s="125">
        <f>IF(F53=0,"na",G53/F53)</f>
        <v/>
      </c>
      <c r="J53" s="126">
        <f>IFERROR(SUMPRODUCT(EXPENSES!$D:$D),0)</f>
        <v/>
      </c>
      <c r="K53" s="126">
        <f>IF(F53="","",K$5)</f>
        <v/>
      </c>
      <c r="L53" s="126">
        <f>K53-J53</f>
        <v/>
      </c>
      <c r="M53" s="127" t="n"/>
      <c r="N53" s="11" t="n"/>
      <c r="O53" s="11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84">
      <c r="A54" s="5" t="n"/>
      <c r="B54" s="122">
        <f>ROW()-4</f>
        <v/>
      </c>
      <c r="C54" s="123">
        <f>EDATE(C53,1)</f>
        <v/>
      </c>
      <c r="D54" s="123">
        <f>EOMONTH(C54,0)</f>
        <v/>
      </c>
      <c r="E54" s="124">
        <f>IF($D54="","",IFERROR(SUMIFS(EXPENSES!$D:$D,EXPENSES!$A:$A,"&gt;="&amp;$C54,EXPENSES!$A:$A,"&lt;="&amp;$D54),"na"))</f>
        <v/>
      </c>
      <c r="F54" s="124">
        <f>IF($D54="","",IFERROR(SUMIFS(INCOME!$C:$C,INCOME!$A:$A,"&gt;="&amp;$C54,INCOME!$A:$A,"&lt;="&amp;$D54),"na"))</f>
        <v/>
      </c>
      <c r="G54" s="124">
        <f>F54-E54</f>
        <v/>
      </c>
      <c r="H54" s="125">
        <f>IF(F54=0,"na",E54/F54)</f>
        <v/>
      </c>
      <c r="I54" s="125">
        <f>IF(F54=0,"na",G54/F54)</f>
        <v/>
      </c>
      <c r="J54" s="126">
        <f>IFERROR(SUMPRODUCT(EXPENSES!$D:$D),0)</f>
        <v/>
      </c>
      <c r="K54" s="126">
        <f>IF(F54="","",K$5)</f>
        <v/>
      </c>
      <c r="L54" s="126">
        <f>K54-J54</f>
        <v/>
      </c>
      <c r="M54" s="127" t="n"/>
      <c r="N54" s="11" t="n"/>
      <c r="O54" s="11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84">
      <c r="A55" s="5" t="n"/>
      <c r="B55" s="122">
        <f>ROW()-4</f>
        <v/>
      </c>
      <c r="C55" s="123">
        <f>EDATE(C54,1)</f>
        <v/>
      </c>
      <c r="D55" s="123">
        <f>EOMONTH(C55,0)</f>
        <v/>
      </c>
      <c r="E55" s="124">
        <f>IF($D55="","",IFERROR(SUMIFS(EXPENSES!$D:$D,EXPENSES!$A:$A,"&gt;="&amp;$C55,EXPENSES!$A:$A,"&lt;="&amp;$D55),"na"))</f>
        <v/>
      </c>
      <c r="F55" s="124">
        <f>IF($D55="","",IFERROR(SUMIFS(INCOME!$C:$C,INCOME!$A:$A,"&gt;="&amp;$C55,INCOME!$A:$A,"&lt;="&amp;$D55),"na"))</f>
        <v/>
      </c>
      <c r="G55" s="124">
        <f>F55-E55</f>
        <v/>
      </c>
      <c r="H55" s="125">
        <f>IF(F55=0,"na",E55/F55)</f>
        <v/>
      </c>
      <c r="I55" s="125">
        <f>IF(F55=0,"na",G55/F55)</f>
        <v/>
      </c>
      <c r="J55" s="126">
        <f>IFERROR(SUMPRODUCT(EXPENSES!$D:$D),0)</f>
        <v/>
      </c>
      <c r="K55" s="126">
        <f>IF(F55="","",K$5)</f>
        <v/>
      </c>
      <c r="L55" s="126">
        <f>K55-J55</f>
        <v/>
      </c>
      <c r="M55" s="127" t="n"/>
      <c r="N55" s="11" t="n"/>
      <c r="O55" s="11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84">
      <c r="A56" s="5" t="n"/>
      <c r="B56" s="122">
        <f>ROW()-4</f>
        <v/>
      </c>
      <c r="C56" s="123">
        <f>EDATE(C55,1)</f>
        <v/>
      </c>
      <c r="D56" s="123">
        <f>EOMONTH(C56,0)</f>
        <v/>
      </c>
      <c r="E56" s="124">
        <f>IF($D56="","",IFERROR(SUMIFS(EXPENSES!$D:$D,EXPENSES!$A:$A,"&gt;="&amp;$C56,EXPENSES!$A:$A,"&lt;="&amp;$D56),"na"))</f>
        <v/>
      </c>
      <c r="F56" s="124">
        <f>IF($D56="","",IFERROR(SUMIFS(INCOME!$C:$C,INCOME!$A:$A,"&gt;="&amp;$C56,INCOME!$A:$A,"&lt;="&amp;$D56),"na"))</f>
        <v/>
      </c>
      <c r="G56" s="124">
        <f>F56-E56</f>
        <v/>
      </c>
      <c r="H56" s="125">
        <f>IF(F56=0,"na",E56/F56)</f>
        <v/>
      </c>
      <c r="I56" s="125">
        <f>IF(F56=0,"na",G56/F56)</f>
        <v/>
      </c>
      <c r="J56" s="126">
        <f>IFERROR(SUMPRODUCT(EXPENSES!$D:$D),0)</f>
        <v/>
      </c>
      <c r="K56" s="126">
        <f>IF(F56="","",K$5)</f>
        <v/>
      </c>
      <c r="L56" s="126">
        <f>K56-J56</f>
        <v/>
      </c>
      <c r="M56" s="127" t="n"/>
      <c r="N56" s="11" t="n"/>
      <c r="O56" s="11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84">
      <c r="A57" s="5" t="n"/>
      <c r="B57" s="122">
        <f>ROW()-4</f>
        <v/>
      </c>
      <c r="C57" s="123">
        <f>EDATE(C56,1)</f>
        <v/>
      </c>
      <c r="D57" s="123">
        <f>EOMONTH(C57,0)</f>
        <v/>
      </c>
      <c r="E57" s="124">
        <f>IF($D57="","",IFERROR(SUMIFS(EXPENSES!$D:$D,EXPENSES!$A:$A,"&gt;="&amp;$C57,EXPENSES!$A:$A,"&lt;="&amp;$D57),"na"))</f>
        <v/>
      </c>
      <c r="F57" s="124">
        <f>IF($D57="","",IFERROR(SUMIFS(INCOME!$C:$C,INCOME!$A:$A,"&gt;="&amp;$C57,INCOME!$A:$A,"&lt;="&amp;$D57),"na"))</f>
        <v/>
      </c>
      <c r="G57" s="124">
        <f>F57-E57</f>
        <v/>
      </c>
      <c r="H57" s="125">
        <f>IF(F57=0,"na",E57/F57)</f>
        <v/>
      </c>
      <c r="I57" s="125">
        <f>IF(F57=0,"na",G57/F57)</f>
        <v/>
      </c>
      <c r="J57" s="126">
        <f>IFERROR(SUMPRODUCT(EXPENSES!$D:$D),0)</f>
        <v/>
      </c>
      <c r="K57" s="126">
        <f>IF(F57="","",K$5)</f>
        <v/>
      </c>
      <c r="L57" s="126">
        <f>K57-J57</f>
        <v/>
      </c>
      <c r="M57" s="127" t="n"/>
      <c r="N57" s="11" t="n"/>
      <c r="O57" s="11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84">
      <c r="A58" s="5" t="n"/>
      <c r="B58" s="122">
        <f>ROW()-4</f>
        <v/>
      </c>
      <c r="C58" s="123">
        <f>EDATE(C57,1)</f>
        <v/>
      </c>
      <c r="D58" s="123">
        <f>EOMONTH(C58,0)</f>
        <v/>
      </c>
      <c r="E58" s="124">
        <f>IF($D58="","",IFERROR(SUMIFS(EXPENSES!$D:$D,EXPENSES!$A:$A,"&gt;="&amp;$C58,EXPENSES!$A:$A,"&lt;="&amp;$D58),"na"))</f>
        <v/>
      </c>
      <c r="F58" s="124">
        <f>IF($D58="","",IFERROR(SUMIFS(INCOME!$C:$C,INCOME!$A:$A,"&gt;="&amp;$C58,INCOME!$A:$A,"&lt;="&amp;$D58),"na"))</f>
        <v/>
      </c>
      <c r="G58" s="124">
        <f>F58-E58</f>
        <v/>
      </c>
      <c r="H58" s="125">
        <f>IF(F58=0,"na",E58/F58)</f>
        <v/>
      </c>
      <c r="I58" s="125">
        <f>IF(F58=0,"na",G58/F58)</f>
        <v/>
      </c>
      <c r="J58" s="126">
        <f>IFERROR(SUMPRODUCT(EXPENSES!$D:$D),0)</f>
        <v/>
      </c>
      <c r="K58" s="126">
        <f>IF(F58="","",K$5)</f>
        <v/>
      </c>
      <c r="L58" s="126">
        <f>K58-J58</f>
        <v/>
      </c>
      <c r="M58" s="127" t="n"/>
      <c r="N58" s="11" t="n"/>
      <c r="O58" s="11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84">
      <c r="A59" s="5" t="n"/>
      <c r="B59" s="122">
        <f>ROW()-4</f>
        <v/>
      </c>
      <c r="C59" s="123">
        <f>EDATE(C58,1)</f>
        <v/>
      </c>
      <c r="D59" s="123">
        <f>EOMONTH(C59,0)</f>
        <v/>
      </c>
      <c r="E59" s="124">
        <f>IF($D59="","",IFERROR(SUMIFS(EXPENSES!$D:$D,EXPENSES!$A:$A,"&gt;="&amp;$C59,EXPENSES!$A:$A,"&lt;="&amp;$D59),"na"))</f>
        <v/>
      </c>
      <c r="F59" s="124">
        <f>IF($D59="","",IFERROR(SUMIFS(INCOME!$C:$C,INCOME!$A:$A,"&gt;="&amp;$C59,INCOME!$A:$A,"&lt;="&amp;$D59),"na"))</f>
        <v/>
      </c>
      <c r="G59" s="124">
        <f>F59-E59</f>
        <v/>
      </c>
      <c r="H59" s="125">
        <f>IF(F59=0,"na",E59/F59)</f>
        <v/>
      </c>
      <c r="I59" s="125">
        <f>IF(F59=0,"na",G59/F59)</f>
        <v/>
      </c>
      <c r="J59" s="126">
        <f>IFERROR(SUMPRODUCT(EXPENSES!$D:$D),0)</f>
        <v/>
      </c>
      <c r="K59" s="126">
        <f>IF(F59="","",K$5)</f>
        <v/>
      </c>
      <c r="L59" s="126">
        <f>K59-J59</f>
        <v/>
      </c>
      <c r="M59" s="127" t="n"/>
      <c r="N59" s="11" t="n"/>
      <c r="O59" s="11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84">
      <c r="A60" s="5" t="n"/>
      <c r="B60" s="122">
        <f>ROW()-4</f>
        <v/>
      </c>
      <c r="C60" s="123">
        <f>EDATE(C59,1)</f>
        <v/>
      </c>
      <c r="D60" s="123">
        <f>EOMONTH(C60,0)</f>
        <v/>
      </c>
      <c r="E60" s="124">
        <f>IF($D60="","",IFERROR(SUMIFS(EXPENSES!$D:$D,EXPENSES!$A:$A,"&gt;="&amp;$C60,EXPENSES!$A:$A,"&lt;="&amp;$D60),"na"))</f>
        <v/>
      </c>
      <c r="F60" s="124">
        <f>IF($D60="","",IFERROR(SUMIFS(INCOME!$C:$C,INCOME!$A:$A,"&gt;="&amp;$C60,INCOME!$A:$A,"&lt;="&amp;$D60),"na"))</f>
        <v/>
      </c>
      <c r="G60" s="124">
        <f>F60-E60</f>
        <v/>
      </c>
      <c r="H60" s="125">
        <f>IF(F60=0,"na",E60/F60)</f>
        <v/>
      </c>
      <c r="I60" s="125">
        <f>IF(F60=0,"na",G60/F60)</f>
        <v/>
      </c>
      <c r="J60" s="126">
        <f>IFERROR(SUMPRODUCT(EXPENSES!$D:$D),0)</f>
        <v/>
      </c>
      <c r="K60" s="126">
        <f>IF(F60="","",K$5)</f>
        <v/>
      </c>
      <c r="L60" s="126">
        <f>K60-J60</f>
        <v/>
      </c>
      <c r="M60" s="127" t="n"/>
      <c r="N60" s="11" t="n"/>
      <c r="O60" s="11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84">
      <c r="A61" s="5" t="n"/>
      <c r="B61" s="122">
        <f>ROW()-4</f>
        <v/>
      </c>
      <c r="C61" s="123">
        <f>EDATE(C60,1)</f>
        <v/>
      </c>
      <c r="D61" s="123">
        <f>EOMONTH(C61,0)</f>
        <v/>
      </c>
      <c r="E61" s="124">
        <f>IF($D61="","",IFERROR(SUMIFS(EXPENSES!$D:$D,EXPENSES!$A:$A,"&gt;="&amp;$C61,EXPENSES!$A:$A,"&lt;="&amp;$D61),"na"))</f>
        <v/>
      </c>
      <c r="F61" s="124">
        <f>IF($D61="","",IFERROR(SUMIFS(INCOME!$C:$C,INCOME!$A:$A,"&gt;="&amp;$C61,INCOME!$A:$A,"&lt;="&amp;$D61),"na"))</f>
        <v/>
      </c>
      <c r="G61" s="124">
        <f>F61-E61</f>
        <v/>
      </c>
      <c r="H61" s="125">
        <f>IF(F61=0,"na",E61/F61)</f>
        <v/>
      </c>
      <c r="I61" s="125">
        <f>IF(F61=0,"na",G61/F61)</f>
        <v/>
      </c>
      <c r="J61" s="126">
        <f>IFERROR(SUMPRODUCT(EXPENSES!$D:$D),0)</f>
        <v/>
      </c>
      <c r="K61" s="126">
        <f>IF(F61="","",K$5)</f>
        <v/>
      </c>
      <c r="L61" s="126">
        <f>K61-J61</f>
        <v/>
      </c>
      <c r="M61" s="127" t="n"/>
      <c r="N61" s="11" t="n"/>
      <c r="O61" s="11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84">
      <c r="A62" s="5" t="n"/>
      <c r="B62" s="122">
        <f>ROW()-4</f>
        <v/>
      </c>
      <c r="C62" s="123">
        <f>EDATE(C61,1)</f>
        <v/>
      </c>
      <c r="D62" s="123">
        <f>EOMONTH(C62,0)</f>
        <v/>
      </c>
      <c r="E62" s="124">
        <f>IF($D62="","",IFERROR(SUMIFS(EXPENSES!$D:$D,EXPENSES!$A:$A,"&gt;="&amp;$C62,EXPENSES!$A:$A,"&lt;="&amp;$D62),"na"))</f>
        <v/>
      </c>
      <c r="F62" s="124">
        <f>IF($D62="","",IFERROR(SUMIFS(INCOME!$C:$C,INCOME!$A:$A,"&gt;="&amp;$C62,INCOME!$A:$A,"&lt;="&amp;$D62),"na"))</f>
        <v/>
      </c>
      <c r="G62" s="124">
        <f>F62-E62</f>
        <v/>
      </c>
      <c r="H62" s="125">
        <f>IF(F62=0,"na",E62/F62)</f>
        <v/>
      </c>
      <c r="I62" s="125">
        <f>IF(F62=0,"na",G62/F62)</f>
        <v/>
      </c>
      <c r="J62" s="126">
        <f>IFERROR(SUMPRODUCT(EXPENSES!$D:$D),0)</f>
        <v/>
      </c>
      <c r="K62" s="126">
        <f>IF(F62="","",K$5)</f>
        <v/>
      </c>
      <c r="L62" s="126">
        <f>K62-J62</f>
        <v/>
      </c>
      <c r="M62" s="127" t="n"/>
      <c r="N62" s="11" t="n"/>
      <c r="O62" s="11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84">
      <c r="A63" s="5" t="n"/>
      <c r="B63" s="122">
        <f>ROW()-4</f>
        <v/>
      </c>
      <c r="C63" s="123">
        <f>EDATE(C62,1)</f>
        <v/>
      </c>
      <c r="D63" s="123">
        <f>EOMONTH(C63,0)</f>
        <v/>
      </c>
      <c r="E63" s="124">
        <f>IF($D63="","",IFERROR(SUMIFS(EXPENSES!$D:$D,EXPENSES!$A:$A,"&gt;="&amp;$C63,EXPENSES!$A:$A,"&lt;="&amp;$D63),"na"))</f>
        <v/>
      </c>
      <c r="F63" s="124">
        <f>IF($D63="","",IFERROR(SUMIFS(INCOME!$C:$C,INCOME!$A:$A,"&gt;="&amp;$C63,INCOME!$A:$A,"&lt;="&amp;$D63),"na"))</f>
        <v/>
      </c>
      <c r="G63" s="124">
        <f>F63-E63</f>
        <v/>
      </c>
      <c r="H63" s="125">
        <f>IF(F63=0,"na",E63/F63)</f>
        <v/>
      </c>
      <c r="I63" s="125">
        <f>IF(F63=0,"na",G63/F63)</f>
        <v/>
      </c>
      <c r="J63" s="126">
        <f>IFERROR(SUMPRODUCT(EXPENSES!$D:$D),0)</f>
        <v/>
      </c>
      <c r="K63" s="126">
        <f>IF(F63="","",K$5)</f>
        <v/>
      </c>
      <c r="L63" s="126">
        <f>K63-J63</f>
        <v/>
      </c>
      <c r="M63" s="127" t="n"/>
      <c r="N63" s="11" t="n"/>
      <c r="O63" s="11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84">
      <c r="A64" s="5" t="n"/>
      <c r="B64" s="122">
        <f>ROW()-4</f>
        <v/>
      </c>
      <c r="C64" s="123">
        <f>EDATE(C63,1)</f>
        <v/>
      </c>
      <c r="D64" s="123">
        <f>EOMONTH(C64,0)</f>
        <v/>
      </c>
      <c r="E64" s="124">
        <f>IF($D64="","",IFERROR(SUMIFS(EXPENSES!$D:$D,EXPENSES!$A:$A,"&gt;="&amp;$C64,EXPENSES!$A:$A,"&lt;="&amp;$D64),"na"))</f>
        <v/>
      </c>
      <c r="F64" s="124">
        <f>IF($D64="","",IFERROR(SUMIFS(INCOME!$C:$C,INCOME!$A:$A,"&gt;="&amp;$C64,INCOME!$A:$A,"&lt;="&amp;$D64),"na"))</f>
        <v/>
      </c>
      <c r="G64" s="124">
        <f>F64-E64</f>
        <v/>
      </c>
      <c r="H64" s="125">
        <f>IF(F64=0,"na",E64/F64)</f>
        <v/>
      </c>
      <c r="I64" s="125">
        <f>IF(F64=0,"na",G64/F64)</f>
        <v/>
      </c>
      <c r="J64" s="126">
        <f>IFERROR(SUMPRODUCT(EXPENSES!$D:$D),0)</f>
        <v/>
      </c>
      <c r="K64" s="126">
        <f>IF(F64="","",K$5)</f>
        <v/>
      </c>
      <c r="L64" s="126">
        <f>K64-J64</f>
        <v/>
      </c>
      <c r="M64" s="127" t="n"/>
      <c r="N64" s="11" t="n"/>
      <c r="O64" s="11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84">
      <c r="A65" s="5" t="n"/>
      <c r="B65" s="122">
        <f>ROW()-4</f>
        <v/>
      </c>
      <c r="C65" s="123">
        <f>EDATE(C64,1)</f>
        <v/>
      </c>
      <c r="D65" s="123">
        <f>EOMONTH(C65,0)</f>
        <v/>
      </c>
      <c r="E65" s="124">
        <f>IF($D65="","",IFERROR(SUMIFS(EXPENSES!$D:$D,EXPENSES!$A:$A,"&gt;="&amp;$C65,EXPENSES!$A:$A,"&lt;="&amp;$D65),"na"))</f>
        <v/>
      </c>
      <c r="F65" s="124">
        <f>IF($D65="","",IFERROR(SUMIFS(INCOME!$C:$C,INCOME!$A:$A,"&gt;="&amp;$C65,INCOME!$A:$A,"&lt;="&amp;$D65),"na"))</f>
        <v/>
      </c>
      <c r="G65" s="124">
        <f>F65-E65</f>
        <v/>
      </c>
      <c r="H65" s="125">
        <f>IF(F65=0,"na",E65/F65)</f>
        <v/>
      </c>
      <c r="I65" s="125">
        <f>IF(F65=0,"na",G65/F65)</f>
        <v/>
      </c>
      <c r="J65" s="126">
        <f>IFERROR(SUMPRODUCT(EXPENSES!$D:$D),0)</f>
        <v/>
      </c>
      <c r="K65" s="126">
        <f>IF(F65="","",K$5)</f>
        <v/>
      </c>
      <c r="L65" s="126">
        <f>K65-J65</f>
        <v/>
      </c>
      <c r="M65" s="127" t="n"/>
      <c r="N65" s="11" t="n"/>
      <c r="O65" s="11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84">
      <c r="A66" s="5" t="n"/>
      <c r="B66" s="122">
        <f>ROW()-4</f>
        <v/>
      </c>
      <c r="C66" s="123">
        <f>EDATE(C65,1)</f>
        <v/>
      </c>
      <c r="D66" s="123">
        <f>EOMONTH(C66,0)</f>
        <v/>
      </c>
      <c r="E66" s="124">
        <f>IF($D66="","",IFERROR(SUMIFS(EXPENSES!$D:$D,EXPENSES!$A:$A,"&gt;="&amp;$C66,EXPENSES!$A:$A,"&lt;="&amp;$D66),"na"))</f>
        <v/>
      </c>
      <c r="F66" s="124">
        <f>IF($D66="","",IFERROR(SUMIFS(INCOME!$C:$C,INCOME!$A:$A,"&gt;="&amp;$C66,INCOME!$A:$A,"&lt;="&amp;$D66),"na"))</f>
        <v/>
      </c>
      <c r="G66" s="124">
        <f>F66-E66</f>
        <v/>
      </c>
      <c r="H66" s="125">
        <f>IF(F66=0,"na",E66/F66)</f>
        <v/>
      </c>
      <c r="I66" s="125">
        <f>IF(F66=0,"na",G66/F66)</f>
        <v/>
      </c>
      <c r="J66" s="126">
        <f>IFERROR(SUMPRODUCT(EXPENSES!$D:$D),0)</f>
        <v/>
      </c>
      <c r="K66" s="126">
        <f>IF(F66="","",K$5)</f>
        <v/>
      </c>
      <c r="L66" s="126">
        <f>K66-J66</f>
        <v/>
      </c>
      <c r="M66" s="127" t="n"/>
      <c r="N66" s="11" t="n"/>
      <c r="O66" s="11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84">
      <c r="A67" s="5" t="n"/>
      <c r="B67" s="122">
        <f>ROW()-4</f>
        <v/>
      </c>
      <c r="C67" s="123">
        <f>EDATE(C66,1)</f>
        <v/>
      </c>
      <c r="D67" s="123">
        <f>EOMONTH(C67,0)</f>
        <v/>
      </c>
      <c r="E67" s="124">
        <f>IF($D67="","",IFERROR(SUMIFS(EXPENSES!$D:$D,EXPENSES!$A:$A,"&gt;="&amp;$C67,EXPENSES!$A:$A,"&lt;="&amp;$D67),"na"))</f>
        <v/>
      </c>
      <c r="F67" s="124">
        <f>IF($D67="","",IFERROR(SUMIFS(INCOME!$C:$C,INCOME!$A:$A,"&gt;="&amp;$C67,INCOME!$A:$A,"&lt;="&amp;$D67),"na"))</f>
        <v/>
      </c>
      <c r="G67" s="124">
        <f>F67-E67</f>
        <v/>
      </c>
      <c r="H67" s="125">
        <f>IF(F67=0,"na",E67/F67)</f>
        <v/>
      </c>
      <c r="I67" s="125">
        <f>IF(F67=0,"na",G67/F67)</f>
        <v/>
      </c>
      <c r="J67" s="126">
        <f>IFERROR(SUMPRODUCT(EXPENSES!$D:$D),0)</f>
        <v/>
      </c>
      <c r="K67" s="126">
        <f>IF(F67="","",K$5)</f>
        <v/>
      </c>
      <c r="L67" s="126">
        <f>K67-J67</f>
        <v/>
      </c>
      <c r="M67" s="127" t="n"/>
      <c r="N67" s="11" t="n"/>
      <c r="O67" s="11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84">
      <c r="A68" s="5" t="n"/>
      <c r="B68" s="122">
        <f>ROW()-4</f>
        <v/>
      </c>
      <c r="C68" s="123">
        <f>EDATE(C67,1)</f>
        <v/>
      </c>
      <c r="D68" s="123">
        <f>EOMONTH(C68,0)</f>
        <v/>
      </c>
      <c r="E68" s="124">
        <f>IF($D68="","",IFERROR(SUMIFS(EXPENSES!$D:$D,EXPENSES!$A:$A,"&gt;="&amp;$C68,EXPENSES!$A:$A,"&lt;="&amp;$D68),"na"))</f>
        <v/>
      </c>
      <c r="F68" s="124">
        <f>IF($D68="","",IFERROR(SUMIFS(INCOME!$C:$C,INCOME!$A:$A,"&gt;="&amp;$C68,INCOME!$A:$A,"&lt;="&amp;$D68),"na"))</f>
        <v/>
      </c>
      <c r="G68" s="124">
        <f>F68-E68</f>
        <v/>
      </c>
      <c r="H68" s="125">
        <f>IF(F68=0,"na",E68/F68)</f>
        <v/>
      </c>
      <c r="I68" s="125">
        <f>IF(F68=0,"na",G68/F68)</f>
        <v/>
      </c>
      <c r="J68" s="126">
        <f>IFERROR(SUMPRODUCT(EXPENSES!$D:$D),0)</f>
        <v/>
      </c>
      <c r="K68" s="126">
        <f>IF(F68="","",K$5)</f>
        <v/>
      </c>
      <c r="L68" s="126">
        <f>K68-J68</f>
        <v/>
      </c>
      <c r="M68" s="127" t="n"/>
      <c r="N68" s="11" t="n"/>
      <c r="O68" s="11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84">
      <c r="A69" s="5" t="n"/>
      <c r="B69" s="122">
        <f>ROW()-4</f>
        <v/>
      </c>
      <c r="C69" s="123">
        <f>EDATE(C68,1)</f>
        <v/>
      </c>
      <c r="D69" s="123">
        <f>EOMONTH(C69,0)</f>
        <v/>
      </c>
      <c r="E69" s="124">
        <f>IF($D69="","",IFERROR(SUMIFS(EXPENSES!$D:$D,EXPENSES!$A:$A,"&gt;="&amp;$C69,EXPENSES!$A:$A,"&lt;="&amp;$D69),"na"))</f>
        <v/>
      </c>
      <c r="F69" s="124">
        <f>IF($D69="","",IFERROR(SUMIFS(INCOME!$C:$C,INCOME!$A:$A,"&gt;="&amp;$C69,INCOME!$A:$A,"&lt;="&amp;$D69),"na"))</f>
        <v/>
      </c>
      <c r="G69" s="124">
        <f>F69-E69</f>
        <v/>
      </c>
      <c r="H69" s="125">
        <f>IF(F69=0,"na",E69/F69)</f>
        <v/>
      </c>
      <c r="I69" s="125">
        <f>IF(F69=0,"na",G69/F69)</f>
        <v/>
      </c>
      <c r="J69" s="126">
        <f>IFERROR(SUMPRODUCT(EXPENSES!$D:$D),0)</f>
        <v/>
      </c>
      <c r="K69" s="126">
        <f>IF(F69="","",K$5)</f>
        <v/>
      </c>
      <c r="L69" s="126">
        <f>K69-J69</f>
        <v/>
      </c>
      <c r="M69" s="127" t="n"/>
      <c r="N69" s="11" t="n"/>
      <c r="O69" s="11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84">
      <c r="A70" s="5" t="n"/>
      <c r="B70" s="122">
        <f>ROW()-4</f>
        <v/>
      </c>
      <c r="C70" s="123">
        <f>EDATE(C69,1)</f>
        <v/>
      </c>
      <c r="D70" s="123">
        <f>EOMONTH(C70,0)</f>
        <v/>
      </c>
      <c r="E70" s="124">
        <f>IF($D70="","",IFERROR(SUMIFS(EXPENSES!$D:$D,EXPENSES!$A:$A,"&gt;="&amp;$C70,EXPENSES!$A:$A,"&lt;="&amp;$D70),"na"))</f>
        <v/>
      </c>
      <c r="F70" s="124">
        <f>IF($D70="","",IFERROR(SUMIFS(INCOME!$C:$C,INCOME!$A:$A,"&gt;="&amp;$C70,INCOME!$A:$A,"&lt;="&amp;$D70),"na"))</f>
        <v/>
      </c>
      <c r="G70" s="124">
        <f>F70-E70</f>
        <v/>
      </c>
      <c r="H70" s="125">
        <f>IF(F70=0,"na",E70/F70)</f>
        <v/>
      </c>
      <c r="I70" s="125">
        <f>IF(F70=0,"na",G70/F70)</f>
        <v/>
      </c>
      <c r="J70" s="126">
        <f>IFERROR(SUMPRODUCT(EXPENSES!$D:$D),0)</f>
        <v/>
      </c>
      <c r="K70" s="126">
        <f>IF(F70="","",K$5)</f>
        <v/>
      </c>
      <c r="L70" s="126">
        <f>K70-J70</f>
        <v/>
      </c>
      <c r="M70" s="127" t="n"/>
      <c r="N70" s="11" t="n"/>
      <c r="O70" s="11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84">
      <c r="A71" s="5" t="n"/>
      <c r="B71" s="122">
        <f>ROW()-4</f>
        <v/>
      </c>
      <c r="C71" s="123">
        <f>EDATE(C70,1)</f>
        <v/>
      </c>
      <c r="D71" s="123">
        <f>EOMONTH(C71,0)</f>
        <v/>
      </c>
      <c r="E71" s="124">
        <f>IF($D71="","",IFERROR(SUMIFS(EXPENSES!$D:$D,EXPENSES!$A:$A,"&gt;="&amp;$C71,EXPENSES!$A:$A,"&lt;="&amp;$D71),"na"))</f>
        <v/>
      </c>
      <c r="F71" s="124">
        <f>IF($D71="","",IFERROR(SUMIFS(INCOME!$C:$C,INCOME!$A:$A,"&gt;="&amp;$C71,INCOME!$A:$A,"&lt;="&amp;$D71),"na"))</f>
        <v/>
      </c>
      <c r="G71" s="124">
        <f>F71-E71</f>
        <v/>
      </c>
      <c r="H71" s="125">
        <f>IF(F71=0,"na",E71/F71)</f>
        <v/>
      </c>
      <c r="I71" s="125">
        <f>IF(F71=0,"na",G71/F71)</f>
        <v/>
      </c>
      <c r="J71" s="126">
        <f>IFERROR(SUMPRODUCT(EXPENSES!$D:$D),0)</f>
        <v/>
      </c>
      <c r="K71" s="126">
        <f>IF(F71="","",K$5)</f>
        <v/>
      </c>
      <c r="L71" s="126">
        <f>K71-J71</f>
        <v/>
      </c>
      <c r="M71" s="127" t="n"/>
      <c r="N71" s="11" t="n"/>
      <c r="O71" s="11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84">
      <c r="A72" s="5" t="n"/>
      <c r="B72" s="122">
        <f>ROW()-4</f>
        <v/>
      </c>
      <c r="C72" s="123">
        <f>EDATE(C71,1)</f>
        <v/>
      </c>
      <c r="D72" s="123">
        <f>EOMONTH(C72,0)</f>
        <v/>
      </c>
      <c r="E72" s="124">
        <f>IF($D72="","",IFERROR(SUMIFS(EXPENSES!$D:$D,EXPENSES!$A:$A,"&gt;="&amp;$C72,EXPENSES!$A:$A,"&lt;="&amp;$D72),"na"))</f>
        <v/>
      </c>
      <c r="F72" s="124">
        <f>IF($D72="","",IFERROR(SUMIFS(INCOME!$C:$C,INCOME!$A:$A,"&gt;="&amp;$C72,INCOME!$A:$A,"&lt;="&amp;$D72),"na"))</f>
        <v/>
      </c>
      <c r="G72" s="124">
        <f>F72-E72</f>
        <v/>
      </c>
      <c r="H72" s="125">
        <f>IF(F72=0,"na",E72/F72)</f>
        <v/>
      </c>
      <c r="I72" s="125">
        <f>IF(F72=0,"na",G72/F72)</f>
        <v/>
      </c>
      <c r="J72" s="126">
        <f>IFERROR(SUMPRODUCT(EXPENSES!$D:$D),0)</f>
        <v/>
      </c>
      <c r="K72" s="126">
        <f>IF(F72="","",K$5)</f>
        <v/>
      </c>
      <c r="L72" s="126">
        <f>K72-J72</f>
        <v/>
      </c>
      <c r="M72" s="127" t="n"/>
      <c r="N72" s="11" t="n"/>
      <c r="O72" s="11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84">
      <c r="A73" s="5" t="n"/>
      <c r="B73" s="122">
        <f>ROW()-4</f>
        <v/>
      </c>
      <c r="C73" s="123">
        <f>EDATE(C72,1)</f>
        <v/>
      </c>
      <c r="D73" s="123">
        <f>EOMONTH(C73,0)</f>
        <v/>
      </c>
      <c r="E73" s="124">
        <f>IF($D73="","",IFERROR(SUMIFS(EXPENSES!$D:$D,EXPENSES!$A:$A,"&gt;="&amp;$C73,EXPENSES!$A:$A,"&lt;="&amp;$D73),"na"))</f>
        <v/>
      </c>
      <c r="F73" s="124">
        <f>IF($D73="","",IFERROR(SUMIFS(INCOME!$C:$C,INCOME!$A:$A,"&gt;="&amp;$C73,INCOME!$A:$A,"&lt;="&amp;$D73),"na"))</f>
        <v/>
      </c>
      <c r="G73" s="124">
        <f>F73-E73</f>
        <v/>
      </c>
      <c r="H73" s="125">
        <f>IF(F73=0,"na",E73/F73)</f>
        <v/>
      </c>
      <c r="I73" s="125">
        <f>IF(F73=0,"na",G73/F73)</f>
        <v/>
      </c>
      <c r="J73" s="126">
        <f>IFERROR(SUMPRODUCT(EXPENSES!$D:$D),0)</f>
        <v/>
      </c>
      <c r="K73" s="126">
        <f>IF(F73="","",K$5)</f>
        <v/>
      </c>
      <c r="L73" s="126">
        <f>K73-J73</f>
        <v/>
      </c>
      <c r="M73" s="127" t="n"/>
      <c r="N73" s="11" t="n"/>
      <c r="O73" s="11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84">
      <c r="A74" s="5" t="n"/>
      <c r="B74" s="122">
        <f>ROW()-4</f>
        <v/>
      </c>
      <c r="C74" s="123">
        <f>EDATE(C73,1)</f>
        <v/>
      </c>
      <c r="D74" s="123">
        <f>EOMONTH(C74,0)</f>
        <v/>
      </c>
      <c r="E74" s="124">
        <f>IF($D74="","",IFERROR(SUMIFS(EXPENSES!$D:$D,EXPENSES!$A:$A,"&gt;="&amp;$C74,EXPENSES!$A:$A,"&lt;="&amp;$D74),"na"))</f>
        <v/>
      </c>
      <c r="F74" s="124">
        <f>IF($D74="","",IFERROR(SUMIFS(INCOME!$C:$C,INCOME!$A:$A,"&gt;="&amp;$C74,INCOME!$A:$A,"&lt;="&amp;$D74),"na"))</f>
        <v/>
      </c>
      <c r="G74" s="124">
        <f>F74-E74</f>
        <v/>
      </c>
      <c r="H74" s="125">
        <f>IF(F74=0,"na",E74/F74)</f>
        <v/>
      </c>
      <c r="I74" s="125">
        <f>IF(F74=0,"na",G74/F74)</f>
        <v/>
      </c>
      <c r="J74" s="126">
        <f>IFERROR(SUMPRODUCT(EXPENSES!$D:$D),0)</f>
        <v/>
      </c>
      <c r="K74" s="126">
        <f>IF(F74="","",K$5)</f>
        <v/>
      </c>
      <c r="L74" s="126">
        <f>K74-J74</f>
        <v/>
      </c>
      <c r="M74" s="127" t="n"/>
      <c r="N74" s="11" t="n"/>
      <c r="O74" s="11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84">
      <c r="A75" s="5" t="n"/>
      <c r="B75" s="122">
        <f>ROW()-4</f>
        <v/>
      </c>
      <c r="C75" s="123">
        <f>EDATE(C74,1)</f>
        <v/>
      </c>
      <c r="D75" s="123">
        <f>EOMONTH(C75,0)</f>
        <v/>
      </c>
      <c r="E75" s="124">
        <f>IF($D75="","",IFERROR(SUMIFS(EXPENSES!$D:$D,EXPENSES!$A:$A,"&gt;="&amp;$C75,EXPENSES!$A:$A,"&lt;="&amp;$D75),"na"))</f>
        <v/>
      </c>
      <c r="F75" s="124">
        <f>IF($D75="","",IFERROR(SUMIFS(INCOME!$C:$C,INCOME!$A:$A,"&gt;="&amp;$C75,INCOME!$A:$A,"&lt;="&amp;$D75),"na"))</f>
        <v/>
      </c>
      <c r="G75" s="124">
        <f>F75-E75</f>
        <v/>
      </c>
      <c r="H75" s="125">
        <f>IF(F75=0,"na",E75/F75)</f>
        <v/>
      </c>
      <c r="I75" s="125">
        <f>IF(F75=0,"na",G75/F75)</f>
        <v/>
      </c>
      <c r="J75" s="126">
        <f>IFERROR(SUMPRODUCT(EXPENSES!$D:$D),0)</f>
        <v/>
      </c>
      <c r="K75" s="126">
        <f>IF(F75="","",K$5)</f>
        <v/>
      </c>
      <c r="L75" s="126">
        <f>K75-J75</f>
        <v/>
      </c>
      <c r="M75" s="127" t="n"/>
      <c r="N75" s="11" t="n"/>
      <c r="O75" s="11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84">
      <c r="A76" s="5" t="n"/>
      <c r="B76" s="122">
        <f>ROW()-4</f>
        <v/>
      </c>
      <c r="C76" s="123">
        <f>EDATE(C75,1)</f>
        <v/>
      </c>
      <c r="D76" s="123">
        <f>EOMONTH(C76,0)</f>
        <v/>
      </c>
      <c r="E76" s="124">
        <f>IF($D76="","",IFERROR(SUMIFS(EXPENSES!$D:$D,EXPENSES!$A:$A,"&gt;="&amp;$C76,EXPENSES!$A:$A,"&lt;="&amp;$D76),"na"))</f>
        <v/>
      </c>
      <c r="F76" s="124">
        <f>IF($D76="","",IFERROR(SUMIFS(INCOME!$C:$C,INCOME!$A:$A,"&gt;="&amp;$C76,INCOME!$A:$A,"&lt;="&amp;$D76),"na"))</f>
        <v/>
      </c>
      <c r="G76" s="124">
        <f>F76-E76</f>
        <v/>
      </c>
      <c r="H76" s="125">
        <f>IF(F76=0,"na",E76/F76)</f>
        <v/>
      </c>
      <c r="I76" s="125">
        <f>IF(F76=0,"na",G76/F76)</f>
        <v/>
      </c>
      <c r="J76" s="126">
        <f>IFERROR(SUMPRODUCT(EXPENSES!$D:$D),0)</f>
        <v/>
      </c>
      <c r="K76" s="126">
        <f>IF(F76="","",K$5)</f>
        <v/>
      </c>
      <c r="L76" s="126">
        <f>K76-J76</f>
        <v/>
      </c>
      <c r="M76" s="127" t="n"/>
      <c r="N76" s="11" t="n"/>
      <c r="O76" s="11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84">
      <c r="A77" s="5" t="n"/>
      <c r="B77" s="122">
        <f>ROW()-4</f>
        <v/>
      </c>
      <c r="C77" s="123">
        <f>EDATE(C76,1)</f>
        <v/>
      </c>
      <c r="D77" s="123">
        <f>EOMONTH(C77,0)</f>
        <v/>
      </c>
      <c r="E77" s="124">
        <f>IF($D77="","",IFERROR(SUMIFS(EXPENSES!$D:$D,EXPENSES!$A:$A,"&gt;="&amp;$C77,EXPENSES!$A:$A,"&lt;="&amp;$D77),"na"))</f>
        <v/>
      </c>
      <c r="F77" s="124">
        <f>IF($D77="","",IFERROR(SUMIFS(INCOME!$C:$C,INCOME!$A:$A,"&gt;="&amp;$C77,INCOME!$A:$A,"&lt;="&amp;$D77),"na"))</f>
        <v/>
      </c>
      <c r="G77" s="124">
        <f>F77-E77</f>
        <v/>
      </c>
      <c r="H77" s="125">
        <f>IF(F77=0,"na",E77/F77)</f>
        <v/>
      </c>
      <c r="I77" s="125">
        <f>IF(F77=0,"na",G77/F77)</f>
        <v/>
      </c>
      <c r="J77" s="126">
        <f>IFERROR(SUMPRODUCT(EXPENSES!$D:$D),0)</f>
        <v/>
      </c>
      <c r="K77" s="126">
        <f>IF(F77="","",K$5)</f>
        <v/>
      </c>
      <c r="L77" s="126">
        <f>K77-J77</f>
        <v/>
      </c>
      <c r="M77" s="127" t="n"/>
      <c r="N77" s="11" t="n"/>
      <c r="O77" s="11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84">
      <c r="A78" s="5" t="n"/>
      <c r="B78" s="122">
        <f>ROW()-4</f>
        <v/>
      </c>
      <c r="C78" s="123">
        <f>EDATE(C77,1)</f>
        <v/>
      </c>
      <c r="D78" s="123">
        <f>EOMONTH(C78,0)</f>
        <v/>
      </c>
      <c r="E78" s="124">
        <f>IF($D78="","",IFERROR(SUMIFS(EXPENSES!$D:$D,EXPENSES!$A:$A,"&gt;="&amp;$C78,EXPENSES!$A:$A,"&lt;="&amp;$D78),"na"))</f>
        <v/>
      </c>
      <c r="F78" s="124">
        <f>IF($D78="","",IFERROR(SUMIFS(INCOME!$C:$C,INCOME!$A:$A,"&gt;="&amp;$C78,INCOME!$A:$A,"&lt;="&amp;$D78),"na"))</f>
        <v/>
      </c>
      <c r="G78" s="124">
        <f>F78-E78</f>
        <v/>
      </c>
      <c r="H78" s="125">
        <f>IF(F78=0,"na",E78/F78)</f>
        <v/>
      </c>
      <c r="I78" s="125">
        <f>IF(F78=0,"na",G78/F78)</f>
        <v/>
      </c>
      <c r="J78" s="126">
        <f>IFERROR(SUMPRODUCT(EXPENSES!$D:$D),0)</f>
        <v/>
      </c>
      <c r="K78" s="126">
        <f>IF(F78="","",K$5)</f>
        <v/>
      </c>
      <c r="L78" s="126">
        <f>K78-J78</f>
        <v/>
      </c>
      <c r="M78" s="127" t="n"/>
      <c r="N78" s="11" t="n"/>
      <c r="O78" s="11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84">
      <c r="A79" s="5" t="n"/>
      <c r="B79" s="122">
        <f>ROW()-4</f>
        <v/>
      </c>
      <c r="C79" s="123">
        <f>EDATE(C78,1)</f>
        <v/>
      </c>
      <c r="D79" s="123">
        <f>EOMONTH(C79,0)</f>
        <v/>
      </c>
      <c r="E79" s="124">
        <f>IF($D79="","",IFERROR(SUMIFS(EXPENSES!$D:$D,EXPENSES!$A:$A,"&gt;="&amp;$C79,EXPENSES!$A:$A,"&lt;="&amp;$D79),"na"))</f>
        <v/>
      </c>
      <c r="F79" s="124">
        <f>IF($D79="","",IFERROR(SUMIFS(INCOME!$C:$C,INCOME!$A:$A,"&gt;="&amp;$C79,INCOME!$A:$A,"&lt;="&amp;$D79),"na"))</f>
        <v/>
      </c>
      <c r="G79" s="124">
        <f>F79-E79</f>
        <v/>
      </c>
      <c r="H79" s="125">
        <f>IF(F79=0,"na",E79/F79)</f>
        <v/>
      </c>
      <c r="I79" s="125">
        <f>IF(F79=0,"na",G79/F79)</f>
        <v/>
      </c>
      <c r="J79" s="126">
        <f>IFERROR(SUMPRODUCT(EXPENSES!$D:$D),0)</f>
        <v/>
      </c>
      <c r="K79" s="126">
        <f>IF(F79="","",K$5)</f>
        <v/>
      </c>
      <c r="L79" s="126">
        <f>K79-J79</f>
        <v/>
      </c>
      <c r="M79" s="127" t="n"/>
      <c r="N79" s="11" t="n"/>
      <c r="O79" s="11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84">
      <c r="A80" s="5" t="n"/>
      <c r="B80" s="122">
        <f>ROW()-4</f>
        <v/>
      </c>
      <c r="C80" s="123">
        <f>EDATE(C79,1)</f>
        <v/>
      </c>
      <c r="D80" s="123">
        <f>EOMONTH(C80,0)</f>
        <v/>
      </c>
      <c r="E80" s="124">
        <f>IF($D80="","",IFERROR(SUMIFS(EXPENSES!$D:$D,EXPENSES!$A:$A,"&gt;="&amp;$C80,EXPENSES!$A:$A,"&lt;="&amp;$D80),"na"))</f>
        <v/>
      </c>
      <c r="F80" s="124">
        <f>IF($D80="","",IFERROR(SUMIFS(INCOME!$C:$C,INCOME!$A:$A,"&gt;="&amp;$C80,INCOME!$A:$A,"&lt;="&amp;$D80),"na"))</f>
        <v/>
      </c>
      <c r="G80" s="124">
        <f>F80-E80</f>
        <v/>
      </c>
      <c r="H80" s="125">
        <f>IF(F80=0,"na",E80/F80)</f>
        <v/>
      </c>
      <c r="I80" s="125">
        <f>IF(F80=0,"na",G80/F80)</f>
        <v/>
      </c>
      <c r="J80" s="126">
        <f>IFERROR(SUMPRODUCT(EXPENSES!$D:$D),0)</f>
        <v/>
      </c>
      <c r="K80" s="126">
        <f>IF(F80="","",K$5)</f>
        <v/>
      </c>
      <c r="L80" s="126">
        <f>K80-J80</f>
        <v/>
      </c>
      <c r="M80" s="127" t="n"/>
      <c r="N80" s="11" t="n"/>
      <c r="O80" s="11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84">
      <c r="A81" s="5" t="n"/>
      <c r="B81" s="122">
        <f>ROW()-4</f>
        <v/>
      </c>
      <c r="C81" s="123">
        <f>EDATE(C80,1)</f>
        <v/>
      </c>
      <c r="D81" s="123">
        <f>EOMONTH(C81,0)</f>
        <v/>
      </c>
      <c r="E81" s="124">
        <f>IF($D81="","",IFERROR(SUMIFS(EXPENSES!$D:$D,EXPENSES!$A:$A,"&gt;="&amp;$C81,EXPENSES!$A:$A,"&lt;="&amp;$D81),"na"))</f>
        <v/>
      </c>
      <c r="F81" s="124">
        <f>IF($D81="","",IFERROR(SUMIFS(INCOME!$C:$C,INCOME!$A:$A,"&gt;="&amp;$C81,INCOME!$A:$A,"&lt;="&amp;$D81),"na"))</f>
        <v/>
      </c>
      <c r="G81" s="124">
        <f>F81-E81</f>
        <v/>
      </c>
      <c r="H81" s="125">
        <f>IF(F81=0,"na",E81/F81)</f>
        <v/>
      </c>
      <c r="I81" s="125">
        <f>IF(F81=0,"na",G81/F81)</f>
        <v/>
      </c>
      <c r="J81" s="126">
        <f>IFERROR(SUMPRODUCT(EXPENSES!$D:$D),0)</f>
        <v/>
      </c>
      <c r="K81" s="126">
        <f>IF(F81="","",K$5)</f>
        <v/>
      </c>
      <c r="L81" s="126">
        <f>K81-J81</f>
        <v/>
      </c>
      <c r="M81" s="127" t="n"/>
      <c r="N81" s="11" t="n"/>
      <c r="O81" s="11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84">
      <c r="A82" s="5" t="n"/>
      <c r="B82" s="122">
        <f>ROW()-4</f>
        <v/>
      </c>
      <c r="C82" s="123">
        <f>EDATE(C81,1)</f>
        <v/>
      </c>
      <c r="D82" s="123">
        <f>EOMONTH(C82,0)</f>
        <v/>
      </c>
      <c r="E82" s="124">
        <f>IF($D82="","",IFERROR(SUMIFS(EXPENSES!$D:$D,EXPENSES!$A:$A,"&gt;="&amp;$C82,EXPENSES!$A:$A,"&lt;="&amp;$D82),"na"))</f>
        <v/>
      </c>
      <c r="F82" s="124">
        <f>IF($D82="","",IFERROR(SUMIFS(INCOME!$C:$C,INCOME!$A:$A,"&gt;="&amp;$C82,INCOME!$A:$A,"&lt;="&amp;$D82),"na"))</f>
        <v/>
      </c>
      <c r="G82" s="124">
        <f>F82-E82</f>
        <v/>
      </c>
      <c r="H82" s="125">
        <f>IF(F82=0,"na",E82/F82)</f>
        <v/>
      </c>
      <c r="I82" s="125">
        <f>IF(F82=0,"na",G82/F82)</f>
        <v/>
      </c>
      <c r="J82" s="126">
        <f>IFERROR(SUMPRODUCT(EXPENSES!$D:$D),0)</f>
        <v/>
      </c>
      <c r="K82" s="126">
        <f>IF(F82="","",K$5)</f>
        <v/>
      </c>
      <c r="L82" s="126">
        <f>K82-J82</f>
        <v/>
      </c>
      <c r="M82" s="127" t="n"/>
      <c r="N82" s="11" t="n"/>
      <c r="O82" s="11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84">
      <c r="A83" s="5" t="n"/>
      <c r="B83" s="122">
        <f>ROW()-4</f>
        <v/>
      </c>
      <c r="C83" s="123">
        <f>EDATE(C82,1)</f>
        <v/>
      </c>
      <c r="D83" s="123">
        <f>EOMONTH(C83,0)</f>
        <v/>
      </c>
      <c r="E83" s="124">
        <f>IF($D83="","",IFERROR(SUMIFS(EXPENSES!$D:$D,EXPENSES!$A:$A,"&gt;="&amp;$C83,EXPENSES!$A:$A,"&lt;="&amp;$D83),"na"))</f>
        <v/>
      </c>
      <c r="F83" s="124">
        <f>IF($D83="","",IFERROR(SUMIFS(INCOME!$C:$C,INCOME!$A:$A,"&gt;="&amp;$C83,INCOME!$A:$A,"&lt;="&amp;$D83),"na"))</f>
        <v/>
      </c>
      <c r="G83" s="124">
        <f>F83-E83</f>
        <v/>
      </c>
      <c r="H83" s="125">
        <f>IF(F83=0,"na",E83/F83)</f>
        <v/>
      </c>
      <c r="I83" s="125">
        <f>IF(F83=0,"na",G83/F83)</f>
        <v/>
      </c>
      <c r="J83" s="126">
        <f>IFERROR(SUMPRODUCT(EXPENSES!$D:$D),0)</f>
        <v/>
      </c>
      <c r="K83" s="126">
        <f>IF(F83="","",K$5)</f>
        <v/>
      </c>
      <c r="L83" s="126">
        <f>K83-J83</f>
        <v/>
      </c>
      <c r="M83" s="127" t="n"/>
      <c r="N83" s="11" t="n"/>
      <c r="O83" s="11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84">
      <c r="A84" s="5" t="n"/>
      <c r="B84" s="122">
        <f>ROW()-4</f>
        <v/>
      </c>
      <c r="C84" s="123">
        <f>EDATE(C83,1)</f>
        <v/>
      </c>
      <c r="D84" s="123">
        <f>EOMONTH(C84,0)</f>
        <v/>
      </c>
      <c r="E84" s="124">
        <f>IF($D84="","",IFERROR(SUMIFS(EXPENSES!$D:$D,EXPENSES!$A:$A,"&gt;="&amp;$C84,EXPENSES!$A:$A,"&lt;="&amp;$D84),"na"))</f>
        <v/>
      </c>
      <c r="F84" s="124">
        <f>IF($D84="","",IFERROR(SUMIFS(INCOME!$C:$C,INCOME!$A:$A,"&gt;="&amp;$C84,INCOME!$A:$A,"&lt;="&amp;$D84),"na"))</f>
        <v/>
      </c>
      <c r="G84" s="124">
        <f>F84-E84</f>
        <v/>
      </c>
      <c r="H84" s="125">
        <f>IF(F84=0,"na",E84/F84)</f>
        <v/>
      </c>
      <c r="I84" s="125">
        <f>IF(F84=0,"na",G84/F84)</f>
        <v/>
      </c>
      <c r="J84" s="126">
        <f>IFERROR(SUMPRODUCT(EXPENSES!$D:$D),0)</f>
        <v/>
      </c>
      <c r="K84" s="126">
        <f>IF(F84="","",K$5)</f>
        <v/>
      </c>
      <c r="L84" s="126">
        <f>K84-J84</f>
        <v/>
      </c>
      <c r="M84" s="127" t="n"/>
      <c r="N84" s="11" t="n"/>
      <c r="O84" s="11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84">
      <c r="A85" s="5" t="n"/>
      <c r="B85" s="122">
        <f>ROW()-4</f>
        <v/>
      </c>
      <c r="C85" s="123">
        <f>EDATE(C84,1)</f>
        <v/>
      </c>
      <c r="D85" s="123">
        <f>EOMONTH(C85,0)</f>
        <v/>
      </c>
      <c r="E85" s="124">
        <f>IF($D85="","",IFERROR(SUMIFS(EXPENSES!$D:$D,EXPENSES!$A:$A,"&gt;="&amp;$C85,EXPENSES!$A:$A,"&lt;="&amp;$D85),"na"))</f>
        <v/>
      </c>
      <c r="F85" s="124">
        <f>IF($D85="","",IFERROR(SUMIFS(INCOME!$C:$C,INCOME!$A:$A,"&gt;="&amp;$C85,INCOME!$A:$A,"&lt;="&amp;$D85),"na"))</f>
        <v/>
      </c>
      <c r="G85" s="124">
        <f>F85-E85</f>
        <v/>
      </c>
      <c r="H85" s="125">
        <f>IF(F85=0,"na",E85/F85)</f>
        <v/>
      </c>
      <c r="I85" s="125">
        <f>IF(F85=0,"na",G85/F85)</f>
        <v/>
      </c>
      <c r="J85" s="126">
        <f>IFERROR(SUMPRODUCT(EXPENSES!$D:$D),0)</f>
        <v/>
      </c>
      <c r="K85" s="126">
        <f>IF(F85="","",K$5)</f>
        <v/>
      </c>
      <c r="L85" s="126">
        <f>K85-J85</f>
        <v/>
      </c>
      <c r="M85" s="127" t="n"/>
      <c r="N85" s="11" t="n"/>
      <c r="O85" s="11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84">
      <c r="A86" s="5" t="n"/>
      <c r="B86" s="122">
        <f>ROW()-4</f>
        <v/>
      </c>
      <c r="C86" s="123">
        <f>EDATE(C85,1)</f>
        <v/>
      </c>
      <c r="D86" s="123">
        <f>EOMONTH(C86,0)</f>
        <v/>
      </c>
      <c r="E86" s="124">
        <f>IF($D86="","",IFERROR(SUMIFS(EXPENSES!$D:$D,EXPENSES!$A:$A,"&gt;="&amp;$C86,EXPENSES!$A:$A,"&lt;="&amp;$D86),"na"))</f>
        <v/>
      </c>
      <c r="F86" s="124">
        <f>IF($D86="","",IFERROR(SUMIFS(INCOME!$C:$C,INCOME!$A:$A,"&gt;="&amp;$C86,INCOME!$A:$A,"&lt;="&amp;$D86),"na"))</f>
        <v/>
      </c>
      <c r="G86" s="124">
        <f>F86-E86</f>
        <v/>
      </c>
      <c r="H86" s="125">
        <f>IF(F86=0,"na",E86/F86)</f>
        <v/>
      </c>
      <c r="I86" s="125">
        <f>IF(F86=0,"na",G86/F86)</f>
        <v/>
      </c>
      <c r="J86" s="126">
        <f>IFERROR(SUMPRODUCT(EXPENSES!$D:$D),0)</f>
        <v/>
      </c>
      <c r="K86" s="126">
        <f>IF(F86="","",K$5)</f>
        <v/>
      </c>
      <c r="L86" s="126">
        <f>K86-J86</f>
        <v/>
      </c>
      <c r="M86" s="127" t="n"/>
      <c r="N86" s="11" t="n"/>
      <c r="O86" s="11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84">
      <c r="A87" s="5" t="n"/>
      <c r="B87" s="122">
        <f>ROW()-4</f>
        <v/>
      </c>
      <c r="C87" s="123">
        <f>EDATE(C86,1)</f>
        <v/>
      </c>
      <c r="D87" s="123">
        <f>EOMONTH(C87,0)</f>
        <v/>
      </c>
      <c r="E87" s="124">
        <f>IF($D87="","",IFERROR(SUMIFS(EXPENSES!$D:$D,EXPENSES!$A:$A,"&gt;="&amp;$C87,EXPENSES!$A:$A,"&lt;="&amp;$D87),"na"))</f>
        <v/>
      </c>
      <c r="F87" s="124">
        <f>IF($D87="","",IFERROR(SUMIFS(INCOME!$C:$C,INCOME!$A:$A,"&gt;="&amp;$C87,INCOME!$A:$A,"&lt;="&amp;$D87),"na"))</f>
        <v/>
      </c>
      <c r="G87" s="124">
        <f>F87-E87</f>
        <v/>
      </c>
      <c r="H87" s="125">
        <f>IF(F87=0,"na",E87/F87)</f>
        <v/>
      </c>
      <c r="I87" s="125">
        <f>IF(F87=0,"na",G87/F87)</f>
        <v/>
      </c>
      <c r="J87" s="126">
        <f>IFERROR(SUMPRODUCT(EXPENSES!$D:$D),0)</f>
        <v/>
      </c>
      <c r="K87" s="126">
        <f>IF(F87="","",K$5)</f>
        <v/>
      </c>
      <c r="L87" s="126">
        <f>K87-J87</f>
        <v/>
      </c>
      <c r="M87" s="127" t="n"/>
      <c r="N87" s="11" t="n"/>
      <c r="O87" s="11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84">
      <c r="A88" s="5" t="n"/>
      <c r="B88" s="122">
        <f>ROW()-4</f>
        <v/>
      </c>
      <c r="C88" s="123">
        <f>EDATE(C87,1)</f>
        <v/>
      </c>
      <c r="D88" s="123">
        <f>EOMONTH(C88,0)</f>
        <v/>
      </c>
      <c r="E88" s="124">
        <f>IF($D88="","",IFERROR(SUMIFS(EXPENSES!$D:$D,EXPENSES!$A:$A,"&gt;="&amp;$C88,EXPENSES!$A:$A,"&lt;="&amp;$D88),"na"))</f>
        <v/>
      </c>
      <c r="F88" s="124">
        <f>IF($D88="","",IFERROR(SUMIFS(INCOME!$C:$C,INCOME!$A:$A,"&gt;="&amp;$C88,INCOME!$A:$A,"&lt;="&amp;$D88),"na"))</f>
        <v/>
      </c>
      <c r="G88" s="124">
        <f>F88-E88</f>
        <v/>
      </c>
      <c r="H88" s="125">
        <f>IF(F88=0,"na",E88/F88)</f>
        <v/>
      </c>
      <c r="I88" s="125">
        <f>IF(F88=0,"na",G88/F88)</f>
        <v/>
      </c>
      <c r="J88" s="126">
        <f>IFERROR(SUMPRODUCT(EXPENSES!$D:$D),0)</f>
        <v/>
      </c>
      <c r="K88" s="126">
        <f>IF(F88="","",K$5)</f>
        <v/>
      </c>
      <c r="L88" s="126">
        <f>K88-J88</f>
        <v/>
      </c>
      <c r="M88" s="127" t="n"/>
      <c r="N88" s="11" t="n"/>
      <c r="O88" s="11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84">
      <c r="A89" s="5" t="n"/>
      <c r="B89" s="122">
        <f>ROW()-4</f>
        <v/>
      </c>
      <c r="C89" s="123">
        <f>EDATE(C88,1)</f>
        <v/>
      </c>
      <c r="D89" s="123">
        <f>EOMONTH(C89,0)</f>
        <v/>
      </c>
      <c r="E89" s="124">
        <f>IF($D89="","",IFERROR(SUMIFS(EXPENSES!$D:$D,EXPENSES!$A:$A,"&gt;="&amp;$C89,EXPENSES!$A:$A,"&lt;="&amp;$D89),"na"))</f>
        <v/>
      </c>
      <c r="F89" s="124">
        <f>IF($D89="","",IFERROR(SUMIFS(INCOME!$C:$C,INCOME!$A:$A,"&gt;="&amp;$C89,INCOME!$A:$A,"&lt;="&amp;$D89),"na"))</f>
        <v/>
      </c>
      <c r="G89" s="124">
        <f>F89-E89</f>
        <v/>
      </c>
      <c r="H89" s="125">
        <f>IF(F89=0,"na",E89/F89)</f>
        <v/>
      </c>
      <c r="I89" s="125">
        <f>IF(F89=0,"na",G89/F89)</f>
        <v/>
      </c>
      <c r="J89" s="126">
        <f>IFERROR(SUMPRODUCT(EXPENSES!$D:$D),0)</f>
        <v/>
      </c>
      <c r="K89" s="126">
        <f>IF(F89="","",K$5)</f>
        <v/>
      </c>
      <c r="L89" s="126">
        <f>K89-J89</f>
        <v/>
      </c>
      <c r="M89" s="127" t="n"/>
      <c r="N89" s="11" t="n"/>
      <c r="O89" s="11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84">
      <c r="A90" s="5" t="n"/>
      <c r="B90" s="122">
        <f>ROW()-4</f>
        <v/>
      </c>
      <c r="C90" s="123">
        <f>EDATE(C89,1)</f>
        <v/>
      </c>
      <c r="D90" s="123">
        <f>EOMONTH(C90,0)</f>
        <v/>
      </c>
      <c r="E90" s="124">
        <f>IF($D90="","",IFERROR(SUMIFS(EXPENSES!$D:$D,EXPENSES!$A:$A,"&gt;="&amp;$C90,EXPENSES!$A:$A,"&lt;="&amp;$D90),"na"))</f>
        <v/>
      </c>
      <c r="F90" s="124">
        <f>IF($D90="","",IFERROR(SUMIFS(INCOME!$C:$C,INCOME!$A:$A,"&gt;="&amp;$C90,INCOME!$A:$A,"&lt;="&amp;$D90),"na"))</f>
        <v/>
      </c>
      <c r="G90" s="124">
        <f>F90-E90</f>
        <v/>
      </c>
      <c r="H90" s="125">
        <f>IF(F90=0,"na",E90/F90)</f>
        <v/>
      </c>
      <c r="I90" s="125">
        <f>IF(F90=0,"na",G90/F90)</f>
        <v/>
      </c>
      <c r="J90" s="126">
        <f>IFERROR(SUMPRODUCT(EXPENSES!$D:$D),0)</f>
        <v/>
      </c>
      <c r="K90" s="126">
        <f>IF(F90="","",K$5)</f>
        <v/>
      </c>
      <c r="L90" s="126">
        <f>K90-J90</f>
        <v/>
      </c>
      <c r="M90" s="127" t="n"/>
      <c r="N90" s="11" t="n"/>
      <c r="O90" s="11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84">
      <c r="A91" s="5" t="n"/>
      <c r="B91" s="122">
        <f>ROW()-4</f>
        <v/>
      </c>
      <c r="C91" s="123">
        <f>EDATE(C90,1)</f>
        <v/>
      </c>
      <c r="D91" s="123">
        <f>EOMONTH(C91,0)</f>
        <v/>
      </c>
      <c r="E91" s="124">
        <f>IF($D91="","",IFERROR(SUMIFS(EXPENSES!$D:$D,EXPENSES!$A:$A,"&gt;="&amp;$C91,EXPENSES!$A:$A,"&lt;="&amp;$D91),"na"))</f>
        <v/>
      </c>
      <c r="F91" s="124">
        <f>IF($D91="","",IFERROR(SUMIFS(INCOME!$C:$C,INCOME!$A:$A,"&gt;="&amp;$C91,INCOME!$A:$A,"&lt;="&amp;$D91),"na"))</f>
        <v/>
      </c>
      <c r="G91" s="124">
        <f>F91-E91</f>
        <v/>
      </c>
      <c r="H91" s="125">
        <f>IF(F91=0,"na",E91/F91)</f>
        <v/>
      </c>
      <c r="I91" s="125">
        <f>IF(F91=0,"na",G91/F91)</f>
        <v/>
      </c>
      <c r="J91" s="126">
        <f>IFERROR(SUMPRODUCT(EXPENSES!$D:$D),0)</f>
        <v/>
      </c>
      <c r="K91" s="126">
        <f>IF(F91="","",K$5)</f>
        <v/>
      </c>
      <c r="L91" s="126">
        <f>K91-J91</f>
        <v/>
      </c>
      <c r="M91" s="127" t="n"/>
      <c r="N91" s="11" t="n"/>
      <c r="O91" s="11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84">
      <c r="A92" s="5" t="n"/>
      <c r="B92" s="122">
        <f>ROW()-4</f>
        <v/>
      </c>
      <c r="C92" s="123">
        <f>EDATE(C91,1)</f>
        <v/>
      </c>
      <c r="D92" s="123">
        <f>EOMONTH(C92,0)</f>
        <v/>
      </c>
      <c r="E92" s="124">
        <f>IF($D92="","",IFERROR(SUMIFS(EXPENSES!$D:$D,EXPENSES!$A:$A,"&gt;="&amp;$C92,EXPENSES!$A:$A,"&lt;="&amp;$D92),"na"))</f>
        <v/>
      </c>
      <c r="F92" s="124">
        <f>IF($D92="","",IFERROR(SUMIFS(INCOME!$C:$C,INCOME!$A:$A,"&gt;="&amp;$C92,INCOME!$A:$A,"&lt;="&amp;$D92),"na"))</f>
        <v/>
      </c>
      <c r="G92" s="124">
        <f>F92-E92</f>
        <v/>
      </c>
      <c r="H92" s="125">
        <f>IF(F92=0,"na",E92/F92)</f>
        <v/>
      </c>
      <c r="I92" s="125">
        <f>IF(F92=0,"na",G92/F92)</f>
        <v/>
      </c>
      <c r="J92" s="126">
        <f>IFERROR(SUMPRODUCT(EXPENSES!$D:$D),0)</f>
        <v/>
      </c>
      <c r="K92" s="126">
        <f>IF(F92="","",K$5)</f>
        <v/>
      </c>
      <c r="L92" s="126">
        <f>K92-J92</f>
        <v/>
      </c>
      <c r="M92" s="127" t="n"/>
      <c r="N92" s="11" t="n"/>
      <c r="O92" s="11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84">
      <c r="A93" s="5" t="n"/>
      <c r="B93" s="122">
        <f>ROW()-4</f>
        <v/>
      </c>
      <c r="C93" s="123">
        <f>EDATE(C92,1)</f>
        <v/>
      </c>
      <c r="D93" s="123">
        <f>EOMONTH(C93,0)</f>
        <v/>
      </c>
      <c r="E93" s="124">
        <f>IF($D93="","",IFERROR(SUMIFS(EXPENSES!$D:$D,EXPENSES!$A:$A,"&gt;="&amp;$C93,EXPENSES!$A:$A,"&lt;="&amp;$D93),"na"))</f>
        <v/>
      </c>
      <c r="F93" s="124">
        <f>IF($D93="","",IFERROR(SUMIFS(INCOME!$C:$C,INCOME!$A:$A,"&gt;="&amp;$C93,INCOME!$A:$A,"&lt;="&amp;$D93),"na"))</f>
        <v/>
      </c>
      <c r="G93" s="124">
        <f>F93-E93</f>
        <v/>
      </c>
      <c r="H93" s="125">
        <f>IF(F93=0,"na",E93/F93)</f>
        <v/>
      </c>
      <c r="I93" s="125">
        <f>IF(F93=0,"na",G93/F93)</f>
        <v/>
      </c>
      <c r="J93" s="126">
        <f>IFERROR(SUMPRODUCT(EXPENSES!$D:$D),0)</f>
        <v/>
      </c>
      <c r="K93" s="126">
        <f>IF(F93="","",K$5)</f>
        <v/>
      </c>
      <c r="L93" s="126">
        <f>K93-J93</f>
        <v/>
      </c>
      <c r="M93" s="127" t="n"/>
      <c r="N93" s="11" t="n"/>
      <c r="O93" s="11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84">
      <c r="A94" s="5" t="n"/>
      <c r="B94" s="122">
        <f>ROW()-4</f>
        <v/>
      </c>
      <c r="C94" s="123">
        <f>EDATE(C93,1)</f>
        <v/>
      </c>
      <c r="D94" s="123">
        <f>EOMONTH(C94,0)</f>
        <v/>
      </c>
      <c r="E94" s="124">
        <f>IF($D94="","",IFERROR(SUMIFS(EXPENSES!$D:$D,EXPENSES!$A:$A,"&gt;="&amp;$C94,EXPENSES!$A:$A,"&lt;="&amp;$D94),"na"))</f>
        <v/>
      </c>
      <c r="F94" s="124">
        <f>IF($D94="","",IFERROR(SUMIFS(INCOME!$C:$C,INCOME!$A:$A,"&gt;="&amp;$C94,INCOME!$A:$A,"&lt;="&amp;$D94),"na"))</f>
        <v/>
      </c>
      <c r="G94" s="124">
        <f>F94-E94</f>
        <v/>
      </c>
      <c r="H94" s="125">
        <f>IF(F94=0,"na",E94/F94)</f>
        <v/>
      </c>
      <c r="I94" s="125">
        <f>IF(F94=0,"na",G94/F94)</f>
        <v/>
      </c>
      <c r="J94" s="126">
        <f>IFERROR(SUMPRODUCT(EXPENSES!$D:$D),0)</f>
        <v/>
      </c>
      <c r="K94" s="126">
        <f>IF(F94="","",K$5)</f>
        <v/>
      </c>
      <c r="L94" s="126">
        <f>K94-J94</f>
        <v/>
      </c>
      <c r="M94" s="127" t="n"/>
      <c r="N94" s="11" t="n"/>
      <c r="O94" s="11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84">
      <c r="A95" s="5" t="n"/>
      <c r="B95" s="122">
        <f>ROW()-4</f>
        <v/>
      </c>
      <c r="C95" s="123">
        <f>EDATE(C94,1)</f>
        <v/>
      </c>
      <c r="D95" s="123">
        <f>EOMONTH(C95,0)</f>
        <v/>
      </c>
      <c r="E95" s="124">
        <f>IF($D95="","",IFERROR(SUMIFS(EXPENSES!$D:$D,EXPENSES!$A:$A,"&gt;="&amp;$C95,EXPENSES!$A:$A,"&lt;="&amp;$D95),"na"))</f>
        <v/>
      </c>
      <c r="F95" s="124">
        <f>IF($D95="","",IFERROR(SUMIFS(INCOME!$C:$C,INCOME!$A:$A,"&gt;="&amp;$C95,INCOME!$A:$A,"&lt;="&amp;$D95),"na"))</f>
        <v/>
      </c>
      <c r="G95" s="124">
        <f>F95-E95</f>
        <v/>
      </c>
      <c r="H95" s="125">
        <f>IF(F95=0,"na",E95/F95)</f>
        <v/>
      </c>
      <c r="I95" s="125">
        <f>IF(F95=0,"na",G95/F95)</f>
        <v/>
      </c>
      <c r="J95" s="126">
        <f>IFERROR(SUMPRODUCT(EXPENSES!$D:$D),0)</f>
        <v/>
      </c>
      <c r="K95" s="126">
        <f>IF(F95="","",K$5)</f>
        <v/>
      </c>
      <c r="L95" s="126">
        <f>K95-J95</f>
        <v/>
      </c>
      <c r="M95" s="127" t="n"/>
      <c r="N95" s="11" t="n"/>
      <c r="O95" s="11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84">
      <c r="A96" s="5" t="n"/>
      <c r="B96" s="122">
        <f>ROW()-4</f>
        <v/>
      </c>
      <c r="C96" s="123">
        <f>EDATE(C95,1)</f>
        <v/>
      </c>
      <c r="D96" s="123">
        <f>EOMONTH(C96,0)</f>
        <v/>
      </c>
      <c r="E96" s="124">
        <f>IF($D96="","",IFERROR(SUMIFS(EXPENSES!$D:$D,EXPENSES!$A:$A,"&gt;="&amp;$C96,EXPENSES!$A:$A,"&lt;="&amp;$D96),"na"))</f>
        <v/>
      </c>
      <c r="F96" s="124">
        <f>IF($D96="","",IFERROR(SUMIFS(INCOME!$C:$C,INCOME!$A:$A,"&gt;="&amp;$C96,INCOME!$A:$A,"&lt;="&amp;$D96),"na"))</f>
        <v/>
      </c>
      <c r="G96" s="124">
        <f>F96-E96</f>
        <v/>
      </c>
      <c r="H96" s="125">
        <f>IF(F96=0,"na",E96/F96)</f>
        <v/>
      </c>
      <c r="I96" s="125">
        <f>IF(F96=0,"na",G96/F96)</f>
        <v/>
      </c>
      <c r="J96" s="126">
        <f>IFERROR(SUMPRODUCT(EXPENSES!$D:$D),0)</f>
        <v/>
      </c>
      <c r="K96" s="126">
        <f>IF(F96="","",K$5)</f>
        <v/>
      </c>
      <c r="L96" s="126">
        <f>K96-J96</f>
        <v/>
      </c>
      <c r="M96" s="127" t="n"/>
      <c r="N96" s="11" t="n"/>
      <c r="O96" s="11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84">
      <c r="A97" s="5" t="n"/>
      <c r="B97" s="122">
        <f>ROW()-4</f>
        <v/>
      </c>
      <c r="C97" s="123">
        <f>EDATE(C96,1)</f>
        <v/>
      </c>
      <c r="D97" s="123">
        <f>EOMONTH(C97,0)</f>
        <v/>
      </c>
      <c r="E97" s="124">
        <f>IF($D97="","",IFERROR(SUMIFS(EXPENSES!$D:$D,EXPENSES!$A:$A,"&gt;="&amp;$C97,EXPENSES!$A:$A,"&lt;="&amp;$D97),"na"))</f>
        <v/>
      </c>
      <c r="F97" s="124">
        <f>IF($D97="","",IFERROR(SUMIFS(INCOME!$C:$C,INCOME!$A:$A,"&gt;="&amp;$C97,INCOME!$A:$A,"&lt;="&amp;$D97),"na"))</f>
        <v/>
      </c>
      <c r="G97" s="124">
        <f>F97-E97</f>
        <v/>
      </c>
      <c r="H97" s="125">
        <f>IF(F97=0,"na",E97/F97)</f>
        <v/>
      </c>
      <c r="I97" s="125">
        <f>IF(F97=0,"na",G97/F97)</f>
        <v/>
      </c>
      <c r="J97" s="126">
        <f>IFERROR(SUMPRODUCT(EXPENSES!$D:$D),0)</f>
        <v/>
      </c>
      <c r="K97" s="126">
        <f>IF(F97="","",K$5)</f>
        <v/>
      </c>
      <c r="L97" s="126">
        <f>K97-J97</f>
        <v/>
      </c>
      <c r="M97" s="127" t="n"/>
      <c r="N97" s="11" t="n"/>
      <c r="O97" s="11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84">
      <c r="A98" s="5" t="n"/>
      <c r="B98" s="122">
        <f>ROW()-4</f>
        <v/>
      </c>
      <c r="C98" s="123">
        <f>EDATE(C97,1)</f>
        <v/>
      </c>
      <c r="D98" s="123">
        <f>EOMONTH(C98,0)</f>
        <v/>
      </c>
      <c r="E98" s="124">
        <f>IF($D98="","",IFERROR(SUMIFS(EXPENSES!$D:$D,EXPENSES!$A:$A,"&gt;="&amp;$C98,EXPENSES!$A:$A,"&lt;="&amp;$D98),"na"))</f>
        <v/>
      </c>
      <c r="F98" s="124">
        <f>IF($D98="","",IFERROR(SUMIFS(INCOME!$C:$C,INCOME!$A:$A,"&gt;="&amp;$C98,INCOME!$A:$A,"&lt;="&amp;$D98),"na"))</f>
        <v/>
      </c>
      <c r="G98" s="124">
        <f>F98-E98</f>
        <v/>
      </c>
      <c r="H98" s="125">
        <f>IF(F98=0,"na",E98/F98)</f>
        <v/>
      </c>
      <c r="I98" s="125">
        <f>IF(F98=0,"na",G98/F98)</f>
        <v/>
      </c>
      <c r="J98" s="126">
        <f>IFERROR(SUMPRODUCT(EXPENSES!$D:$D),0)</f>
        <v/>
      </c>
      <c r="K98" s="126">
        <f>IF(F98="","",K$5)</f>
        <v/>
      </c>
      <c r="L98" s="126">
        <f>K98-J98</f>
        <v/>
      </c>
      <c r="M98" s="127" t="n"/>
      <c r="N98" s="11" t="n"/>
      <c r="O98" s="11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84">
      <c r="A99" s="5" t="n"/>
      <c r="B99" s="122">
        <f>ROW()-4</f>
        <v/>
      </c>
      <c r="C99" s="123">
        <f>EDATE(C98,1)</f>
        <v/>
      </c>
      <c r="D99" s="123">
        <f>EOMONTH(C99,0)</f>
        <v/>
      </c>
      <c r="E99" s="124">
        <f>IF($D99="","",IFERROR(SUMIFS(EXPENSES!$D:$D,EXPENSES!$A:$A,"&gt;="&amp;$C99,EXPENSES!$A:$A,"&lt;="&amp;$D99),"na"))</f>
        <v/>
      </c>
      <c r="F99" s="124">
        <f>IF($D99="","",IFERROR(SUMIFS(INCOME!$C:$C,INCOME!$A:$A,"&gt;="&amp;$C99,INCOME!$A:$A,"&lt;="&amp;$D99),"na"))</f>
        <v/>
      </c>
      <c r="G99" s="124">
        <f>F99-E99</f>
        <v/>
      </c>
      <c r="H99" s="125">
        <f>IF(F99=0,"na",E99/F99)</f>
        <v/>
      </c>
      <c r="I99" s="125">
        <f>IF(F99=0,"na",G99/F99)</f>
        <v/>
      </c>
      <c r="J99" s="126">
        <f>IFERROR(SUMPRODUCT(EXPENSES!$D:$D),0)</f>
        <v/>
      </c>
      <c r="K99" s="126">
        <f>IF(F99="","",K$5)</f>
        <v/>
      </c>
      <c r="L99" s="126">
        <f>K99-J99</f>
        <v/>
      </c>
      <c r="M99" s="127" t="n"/>
      <c r="N99" s="11" t="n"/>
      <c r="O99" s="11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84">
      <c r="A100" s="5" t="n"/>
      <c r="B100" s="122">
        <f>ROW()-4</f>
        <v/>
      </c>
      <c r="C100" s="123">
        <f>EDATE(C99,1)</f>
        <v/>
      </c>
      <c r="D100" s="123">
        <f>EOMONTH(C100,0)</f>
        <v/>
      </c>
      <c r="E100" s="124">
        <f>IF($D100="","",IFERROR(SUMIFS(EXPENSES!$D:$D,EXPENSES!$A:$A,"&gt;="&amp;$C100,EXPENSES!$A:$A,"&lt;="&amp;$D100),"na"))</f>
        <v/>
      </c>
      <c r="F100" s="124">
        <f>IF($D100="","",IFERROR(SUMIFS(INCOME!$C:$C,INCOME!$A:$A,"&gt;="&amp;$C100,INCOME!$A:$A,"&lt;="&amp;$D100),"na"))</f>
        <v/>
      </c>
      <c r="G100" s="124">
        <f>F100-E100</f>
        <v/>
      </c>
      <c r="H100" s="125">
        <f>IF(F100=0,"na",E100/F100)</f>
        <v/>
      </c>
      <c r="I100" s="125">
        <f>IF(F100=0,"na",G100/F100)</f>
        <v/>
      </c>
      <c r="J100" s="126">
        <f>IFERROR(SUMPRODUCT(EXPENSES!$D:$D),0)</f>
        <v/>
      </c>
      <c r="K100" s="126">
        <f>IF(F100="","",K$5)</f>
        <v/>
      </c>
      <c r="L100" s="126">
        <f>K100-J100</f>
        <v/>
      </c>
      <c r="M100" s="127" t="n"/>
      <c r="N100" s="11" t="n"/>
      <c r="O100" s="11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84">
      <c r="A101" s="5" t="n"/>
      <c r="B101" s="122">
        <f>ROW()-4</f>
        <v/>
      </c>
      <c r="C101" s="123">
        <f>EDATE(C100,1)</f>
        <v/>
      </c>
      <c r="D101" s="123">
        <f>EOMONTH(C101,0)</f>
        <v/>
      </c>
      <c r="E101" s="124">
        <f>IF($D101="","",IFERROR(SUMIFS(EXPENSES!$D:$D,EXPENSES!$A:$A,"&gt;="&amp;$C101,EXPENSES!$A:$A,"&lt;="&amp;$D101),"na"))</f>
        <v/>
      </c>
      <c r="F101" s="124">
        <f>IF($D101="","",IFERROR(SUMIFS(INCOME!$C:$C,INCOME!$A:$A,"&gt;="&amp;$C101,INCOME!$A:$A,"&lt;="&amp;$D101),"na"))</f>
        <v/>
      </c>
      <c r="G101" s="124">
        <f>F101-E101</f>
        <v/>
      </c>
      <c r="H101" s="125">
        <f>IF(F101=0,"na",E101/F101)</f>
        <v/>
      </c>
      <c r="I101" s="125">
        <f>IF(F101=0,"na",G101/F101)</f>
        <v/>
      </c>
      <c r="J101" s="126">
        <f>IFERROR(SUMPRODUCT(EXPENSES!$D:$D),0)</f>
        <v/>
      </c>
      <c r="K101" s="126">
        <f>IF(F101="","",K$5)</f>
        <v/>
      </c>
      <c r="L101" s="126">
        <f>K101-J101</f>
        <v/>
      </c>
      <c r="M101" s="127" t="n"/>
      <c r="N101" s="11" t="n"/>
      <c r="O101" s="11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84">
      <c r="A102" s="5" t="n"/>
      <c r="B102" s="122">
        <f>ROW()-4</f>
        <v/>
      </c>
      <c r="C102" s="123">
        <f>EDATE(C101,1)</f>
        <v/>
      </c>
      <c r="D102" s="123">
        <f>EOMONTH(C102,0)</f>
        <v/>
      </c>
      <c r="E102" s="124">
        <f>IF($D102="","",IFERROR(SUMIFS(EXPENSES!$D:$D,EXPENSES!$A:$A,"&gt;="&amp;$C102,EXPENSES!$A:$A,"&lt;="&amp;$D102),"na"))</f>
        <v/>
      </c>
      <c r="F102" s="124">
        <f>IF($D102="","",IFERROR(SUMIFS(INCOME!$C:$C,INCOME!$A:$A,"&gt;="&amp;$C102,INCOME!$A:$A,"&lt;="&amp;$D102),"na"))</f>
        <v/>
      </c>
      <c r="G102" s="124">
        <f>F102-E102</f>
        <v/>
      </c>
      <c r="H102" s="125">
        <f>IF(F102=0,"na",E102/F102)</f>
        <v/>
      </c>
      <c r="I102" s="125">
        <f>IF(F102=0,"na",G102/F102)</f>
        <v/>
      </c>
      <c r="J102" s="126">
        <f>IFERROR(SUMPRODUCT(EXPENSES!$D:$D),0)</f>
        <v/>
      </c>
      <c r="K102" s="126">
        <f>IF(F102="","",K$5)</f>
        <v/>
      </c>
      <c r="L102" s="126">
        <f>K102-J102</f>
        <v/>
      </c>
      <c r="M102" s="127" t="n"/>
      <c r="N102" s="11" t="n"/>
      <c r="O102" s="11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84">
      <c r="A103" s="5" t="n"/>
      <c r="B103" s="122">
        <f>ROW()-4</f>
        <v/>
      </c>
      <c r="C103" s="123">
        <f>EDATE(C102,1)</f>
        <v/>
      </c>
      <c r="D103" s="123">
        <f>EOMONTH(C103,0)</f>
        <v/>
      </c>
      <c r="E103" s="124">
        <f>IF($D103="","",IFERROR(SUMIFS(EXPENSES!$D:$D,EXPENSES!$A:$A,"&gt;="&amp;$C103,EXPENSES!$A:$A,"&lt;="&amp;$D103),"na"))</f>
        <v/>
      </c>
      <c r="F103" s="124">
        <f>IF($D103="","",IFERROR(SUMIFS(INCOME!$C:$C,INCOME!$A:$A,"&gt;="&amp;$C103,INCOME!$A:$A,"&lt;="&amp;$D103),"na"))</f>
        <v/>
      </c>
      <c r="G103" s="124">
        <f>F103-E103</f>
        <v/>
      </c>
      <c r="H103" s="125">
        <f>IF(F103=0,"na",E103/F103)</f>
        <v/>
      </c>
      <c r="I103" s="125">
        <f>IF(F103=0,"na",G103/F103)</f>
        <v/>
      </c>
      <c r="J103" s="126">
        <f>IFERROR(SUMPRODUCT(EXPENSES!$D:$D),0)</f>
        <v/>
      </c>
      <c r="K103" s="126">
        <f>IF(F103="","",K$5)</f>
        <v/>
      </c>
      <c r="L103" s="126">
        <f>K103-J103</f>
        <v/>
      </c>
      <c r="M103" s="127" t="n"/>
      <c r="N103" s="11" t="n"/>
      <c r="O103" s="11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84">
      <c r="A104" s="5" t="n"/>
      <c r="B104" s="122">
        <f>ROW()-4</f>
        <v/>
      </c>
      <c r="C104" s="123">
        <f>EDATE(C103,1)</f>
        <v/>
      </c>
      <c r="D104" s="123">
        <f>EOMONTH(C104,0)</f>
        <v/>
      </c>
      <c r="E104" s="124">
        <f>IF($D104="","",IFERROR(SUMIFS(EXPENSES!$D:$D,EXPENSES!$A:$A,"&gt;="&amp;$C104,EXPENSES!$A:$A,"&lt;="&amp;$D104),"na"))</f>
        <v/>
      </c>
      <c r="F104" s="124">
        <f>IF($D104="","",IFERROR(SUMIFS(INCOME!$C:$C,INCOME!$A:$A,"&gt;="&amp;$C104,INCOME!$A:$A,"&lt;="&amp;$D104),"na"))</f>
        <v/>
      </c>
      <c r="G104" s="124">
        <f>F104-E104</f>
        <v/>
      </c>
      <c r="H104" s="125">
        <f>IF(F104=0,"na",E104/F104)</f>
        <v/>
      </c>
      <c r="I104" s="125">
        <f>IF(F104=0,"na",G104/F104)</f>
        <v/>
      </c>
      <c r="J104" s="126">
        <f>IFERROR(SUMPRODUCT(EXPENSES!$D:$D),0)</f>
        <v/>
      </c>
      <c r="K104" s="126">
        <f>IF(F104="","",K$5)</f>
        <v/>
      </c>
      <c r="L104" s="126">
        <f>K104-J104</f>
        <v/>
      </c>
      <c r="M104" s="127" t="n"/>
      <c r="N104" s="11" t="n"/>
      <c r="O104" s="11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84">
      <c r="A105" s="5" t="n"/>
      <c r="B105" s="122">
        <f>ROW()-4</f>
        <v/>
      </c>
      <c r="C105" s="123">
        <f>EDATE(C104,1)</f>
        <v/>
      </c>
      <c r="D105" s="123">
        <f>EOMONTH(C105,0)</f>
        <v/>
      </c>
      <c r="E105" s="124">
        <f>IF($D105="","",IFERROR(SUMIFS(EXPENSES!$D:$D,EXPENSES!$A:$A,"&gt;="&amp;$C105,EXPENSES!$A:$A,"&lt;="&amp;$D105),"na"))</f>
        <v/>
      </c>
      <c r="F105" s="124">
        <f>IF($D105="","",IFERROR(SUMIFS(INCOME!$C:$C,INCOME!$A:$A,"&gt;="&amp;$C105,INCOME!$A:$A,"&lt;="&amp;$D105),"na"))</f>
        <v/>
      </c>
      <c r="G105" s="124">
        <f>F105-E105</f>
        <v/>
      </c>
      <c r="H105" s="125">
        <f>IF(F105=0,"na",E105/F105)</f>
        <v/>
      </c>
      <c r="I105" s="125">
        <f>IF(F105=0,"na",G105/F105)</f>
        <v/>
      </c>
      <c r="J105" s="126">
        <f>IFERROR(SUMPRODUCT(EXPENSES!$D:$D),0)</f>
        <v/>
      </c>
      <c r="K105" s="126">
        <f>IF(F105="","",K$5)</f>
        <v/>
      </c>
      <c r="L105" s="126">
        <f>K105-J105</f>
        <v/>
      </c>
      <c r="M105" s="127" t="n"/>
      <c r="N105" s="11" t="n"/>
      <c r="O105" s="11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84">
      <c r="A106" s="5" t="n"/>
      <c r="B106" s="122">
        <f>ROW()-4</f>
        <v/>
      </c>
      <c r="C106" s="123">
        <f>EDATE(C105,1)</f>
        <v/>
      </c>
      <c r="D106" s="123">
        <f>EOMONTH(C106,0)</f>
        <v/>
      </c>
      <c r="E106" s="124">
        <f>IF($D106="","",IFERROR(SUMIFS(EXPENSES!$D:$D,EXPENSES!$A:$A,"&gt;="&amp;$C106,EXPENSES!$A:$A,"&lt;="&amp;$D106),"na"))</f>
        <v/>
      </c>
      <c r="F106" s="124">
        <f>IF($D106="","",IFERROR(SUMIFS(INCOME!$C:$C,INCOME!$A:$A,"&gt;="&amp;$C106,INCOME!$A:$A,"&lt;="&amp;$D106),"na"))</f>
        <v/>
      </c>
      <c r="G106" s="124">
        <f>F106-E106</f>
        <v/>
      </c>
      <c r="H106" s="125">
        <f>IF(F106=0,"na",E106/F106)</f>
        <v/>
      </c>
      <c r="I106" s="125">
        <f>IF(F106=0,"na",G106/F106)</f>
        <v/>
      </c>
      <c r="J106" s="126">
        <f>IFERROR(SUMPRODUCT(EXPENSES!$D:$D),0)</f>
        <v/>
      </c>
      <c r="K106" s="126">
        <f>IF(F106="","",K$5)</f>
        <v/>
      </c>
      <c r="L106" s="126">
        <f>K106-J106</f>
        <v/>
      </c>
      <c r="M106" s="127" t="n"/>
      <c r="N106" s="11" t="n"/>
      <c r="O106" s="11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84">
      <c r="A107" s="5" t="n"/>
      <c r="B107" s="122">
        <f>ROW()-4</f>
        <v/>
      </c>
      <c r="C107" s="123">
        <f>EDATE(C106,1)</f>
        <v/>
      </c>
      <c r="D107" s="123">
        <f>EOMONTH(C107,0)</f>
        <v/>
      </c>
      <c r="E107" s="124">
        <f>IF($D107="","",IFERROR(SUMIFS(EXPENSES!$D:$D,EXPENSES!$A:$A,"&gt;="&amp;$C107,EXPENSES!$A:$A,"&lt;="&amp;$D107),"na"))</f>
        <v/>
      </c>
      <c r="F107" s="124">
        <f>IF($D107="","",IFERROR(SUMIFS(INCOME!$C:$C,INCOME!$A:$A,"&gt;="&amp;$C107,INCOME!$A:$A,"&lt;="&amp;$D107),"na"))</f>
        <v/>
      </c>
      <c r="G107" s="124">
        <f>F107-E107</f>
        <v/>
      </c>
      <c r="H107" s="125">
        <f>IF(F107=0,"na",E107/F107)</f>
        <v/>
      </c>
      <c r="I107" s="125">
        <f>IF(F107=0,"na",G107/F107)</f>
        <v/>
      </c>
      <c r="J107" s="126">
        <f>IFERROR(SUMPRODUCT(EXPENSES!$D:$D),0)</f>
        <v/>
      </c>
      <c r="K107" s="126">
        <f>IF(F107="","",K$5)</f>
        <v/>
      </c>
      <c r="L107" s="126">
        <f>K107-J107</f>
        <v/>
      </c>
      <c r="M107" s="127" t="n"/>
      <c r="N107" s="11" t="n"/>
      <c r="O107" s="11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84">
      <c r="A108" s="5" t="n"/>
      <c r="B108" s="122">
        <f>ROW()-4</f>
        <v/>
      </c>
      <c r="C108" s="123">
        <f>EDATE(C107,1)</f>
        <v/>
      </c>
      <c r="D108" s="123">
        <f>EOMONTH(C108,0)</f>
        <v/>
      </c>
      <c r="E108" s="124">
        <f>IF($D108="","",IFERROR(SUMIFS(EXPENSES!$D:$D,EXPENSES!$A:$A,"&gt;="&amp;$C108,EXPENSES!$A:$A,"&lt;="&amp;$D108),"na"))</f>
        <v/>
      </c>
      <c r="F108" s="124">
        <f>IF($D108="","",IFERROR(SUMIFS(INCOME!$C:$C,INCOME!$A:$A,"&gt;="&amp;$C108,INCOME!$A:$A,"&lt;="&amp;$D108),"na"))</f>
        <v/>
      </c>
      <c r="G108" s="124">
        <f>F108-E108</f>
        <v/>
      </c>
      <c r="H108" s="125">
        <f>IF(F108=0,"na",E108/F108)</f>
        <v/>
      </c>
      <c r="I108" s="125">
        <f>IF(F108=0,"na",G108/F108)</f>
        <v/>
      </c>
      <c r="J108" s="126">
        <f>IFERROR(SUMPRODUCT(EXPENSES!$D:$D),0)</f>
        <v/>
      </c>
      <c r="K108" s="126">
        <f>IF(F108="","",K$5)</f>
        <v/>
      </c>
      <c r="L108" s="126">
        <f>K108-J108</f>
        <v/>
      </c>
      <c r="M108" s="127" t="n"/>
      <c r="N108" s="11" t="n"/>
      <c r="O108" s="11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84">
      <c r="A109" s="5" t="n"/>
      <c r="B109" s="122">
        <f>ROW()-4</f>
        <v/>
      </c>
      <c r="C109" s="123">
        <f>EDATE(C108,1)</f>
        <v/>
      </c>
      <c r="D109" s="123">
        <f>EOMONTH(C109,0)</f>
        <v/>
      </c>
      <c r="E109" s="124">
        <f>IF($D109="","",IFERROR(SUMIFS(EXPENSES!$D:$D,EXPENSES!$A:$A,"&gt;="&amp;$C109,EXPENSES!$A:$A,"&lt;="&amp;$D109),"na"))</f>
        <v/>
      </c>
      <c r="F109" s="124">
        <f>IF($D109="","",IFERROR(SUMIFS(INCOME!$C:$C,INCOME!$A:$A,"&gt;="&amp;$C109,INCOME!$A:$A,"&lt;="&amp;$D109),"na"))</f>
        <v/>
      </c>
      <c r="G109" s="124">
        <f>F109-E109</f>
        <v/>
      </c>
      <c r="H109" s="125">
        <f>IF(F109=0,"na",E109/F109)</f>
        <v/>
      </c>
      <c r="I109" s="125">
        <f>IF(F109=0,"na",G109/F109)</f>
        <v/>
      </c>
      <c r="J109" s="126">
        <f>IFERROR(SUMPRODUCT(EXPENSES!$D:$D),0)</f>
        <v/>
      </c>
      <c r="K109" s="126">
        <f>IF(F109="","",K$5)</f>
        <v/>
      </c>
      <c r="L109" s="126">
        <f>K109-J109</f>
        <v/>
      </c>
      <c r="M109" s="127" t="n"/>
      <c r="N109" s="11" t="n"/>
      <c r="O109" s="11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84">
      <c r="A110" s="5" t="n"/>
      <c r="B110" s="122">
        <f>ROW()-4</f>
        <v/>
      </c>
      <c r="C110" s="123">
        <f>EDATE(C109,1)</f>
        <v/>
      </c>
      <c r="D110" s="123">
        <f>EOMONTH(C110,0)</f>
        <v/>
      </c>
      <c r="E110" s="124">
        <f>IF($D110="","",IFERROR(SUMIFS(EXPENSES!$D:$D,EXPENSES!$A:$A,"&gt;="&amp;$C110,EXPENSES!$A:$A,"&lt;="&amp;$D110),"na"))</f>
        <v/>
      </c>
      <c r="F110" s="124">
        <f>IF($D110="","",IFERROR(SUMIFS(INCOME!$C:$C,INCOME!$A:$A,"&gt;="&amp;$C110,INCOME!$A:$A,"&lt;="&amp;$D110),"na"))</f>
        <v/>
      </c>
      <c r="G110" s="124">
        <f>F110-E110</f>
        <v/>
      </c>
      <c r="H110" s="125">
        <f>IF(F110=0,"na",E110/F110)</f>
        <v/>
      </c>
      <c r="I110" s="125">
        <f>IF(F110=0,"na",G110/F110)</f>
        <v/>
      </c>
      <c r="J110" s="126">
        <f>IFERROR(SUMPRODUCT(EXPENSES!$D:$D),0)</f>
        <v/>
      </c>
      <c r="K110" s="126">
        <f>IF(F110="","",K$5)</f>
        <v/>
      </c>
      <c r="L110" s="126">
        <f>K110-J110</f>
        <v/>
      </c>
      <c r="M110" s="127" t="n"/>
      <c r="N110" s="11" t="n"/>
      <c r="O110" s="11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84">
      <c r="A111" s="5" t="n"/>
      <c r="B111" s="122">
        <f>ROW()-4</f>
        <v/>
      </c>
      <c r="C111" s="123">
        <f>EDATE(C110,1)</f>
        <v/>
      </c>
      <c r="D111" s="123">
        <f>EOMONTH(C111,0)</f>
        <v/>
      </c>
      <c r="E111" s="124">
        <f>IF($D111="","",IFERROR(SUMIFS(EXPENSES!$D:$D,EXPENSES!$A:$A,"&gt;="&amp;$C111,EXPENSES!$A:$A,"&lt;="&amp;$D111),"na"))</f>
        <v/>
      </c>
      <c r="F111" s="124">
        <f>IF($D111="","",IFERROR(SUMIFS(INCOME!$C:$C,INCOME!$A:$A,"&gt;="&amp;$C111,INCOME!$A:$A,"&lt;="&amp;$D111),"na"))</f>
        <v/>
      </c>
      <c r="G111" s="124">
        <f>F111-E111</f>
        <v/>
      </c>
      <c r="H111" s="125">
        <f>IF(F111=0,"na",E111/F111)</f>
        <v/>
      </c>
      <c r="I111" s="125">
        <f>IF(F111=0,"na",G111/F111)</f>
        <v/>
      </c>
      <c r="J111" s="126">
        <f>IFERROR(SUMPRODUCT(EXPENSES!$D:$D),0)</f>
        <v/>
      </c>
      <c r="K111" s="126">
        <f>IF(F111="","",K$5)</f>
        <v/>
      </c>
      <c r="L111" s="126">
        <f>K111-J111</f>
        <v/>
      </c>
      <c r="M111" s="127" t="n"/>
      <c r="N111" s="11" t="n"/>
      <c r="O111" s="11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84">
      <c r="A112" s="5" t="n"/>
      <c r="B112" s="122">
        <f>ROW()-4</f>
        <v/>
      </c>
      <c r="C112" s="123">
        <f>EDATE(C111,1)</f>
        <v/>
      </c>
      <c r="D112" s="123">
        <f>EOMONTH(C112,0)</f>
        <v/>
      </c>
      <c r="E112" s="124">
        <f>IF($D112="","",IFERROR(SUMIFS(EXPENSES!$D:$D,EXPENSES!$A:$A,"&gt;="&amp;$C112,EXPENSES!$A:$A,"&lt;="&amp;$D112),"na"))</f>
        <v/>
      </c>
      <c r="F112" s="124">
        <f>IF($D112="","",IFERROR(SUMIFS(INCOME!$C:$C,INCOME!$A:$A,"&gt;="&amp;$C112,INCOME!$A:$A,"&lt;="&amp;$D112),"na"))</f>
        <v/>
      </c>
      <c r="G112" s="124">
        <f>F112-E112</f>
        <v/>
      </c>
      <c r="H112" s="125">
        <f>IF(F112=0,"na",E112/F112)</f>
        <v/>
      </c>
      <c r="I112" s="125">
        <f>IF(F112=0,"na",G112/F112)</f>
        <v/>
      </c>
      <c r="J112" s="126">
        <f>IFERROR(SUMPRODUCT(EXPENSES!$D:$D),0)</f>
        <v/>
      </c>
      <c r="K112" s="126">
        <f>IF(F112="","",K$5)</f>
        <v/>
      </c>
      <c r="L112" s="126">
        <f>K112-J112</f>
        <v/>
      </c>
      <c r="M112" s="127" t="n"/>
      <c r="N112" s="11" t="n"/>
      <c r="O112" s="11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84">
      <c r="A113" s="5" t="n"/>
      <c r="B113" s="122">
        <f>ROW()-4</f>
        <v/>
      </c>
      <c r="C113" s="123">
        <f>EDATE(C112,1)</f>
        <v/>
      </c>
      <c r="D113" s="123">
        <f>EOMONTH(C113,0)</f>
        <v/>
      </c>
      <c r="E113" s="124">
        <f>IF($D113="","",IFERROR(SUMIFS(EXPENSES!$D:$D,EXPENSES!$A:$A,"&gt;="&amp;$C113,EXPENSES!$A:$A,"&lt;="&amp;$D113),"na"))</f>
        <v/>
      </c>
      <c r="F113" s="124">
        <f>IF($D113="","",IFERROR(SUMIFS(INCOME!$C:$C,INCOME!$A:$A,"&gt;="&amp;$C113,INCOME!$A:$A,"&lt;="&amp;$D113),"na"))</f>
        <v/>
      </c>
      <c r="G113" s="124">
        <f>F113-E113</f>
        <v/>
      </c>
      <c r="H113" s="125">
        <f>IF(F113=0,"na",E113/F113)</f>
        <v/>
      </c>
      <c r="I113" s="125">
        <f>IF(F113=0,"na",G113/F113)</f>
        <v/>
      </c>
      <c r="J113" s="126">
        <f>IFERROR(SUMPRODUCT(EXPENSES!$D:$D),0)</f>
        <v/>
      </c>
      <c r="K113" s="126">
        <f>IF(F113="","",K$5)</f>
        <v/>
      </c>
      <c r="L113" s="126">
        <f>K113-J113</f>
        <v/>
      </c>
      <c r="M113" s="127" t="n"/>
      <c r="N113" s="11" t="n"/>
      <c r="O113" s="11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84">
      <c r="A114" s="5" t="n"/>
      <c r="B114" s="122">
        <f>ROW()-4</f>
        <v/>
      </c>
      <c r="C114" s="123">
        <f>EDATE(C113,1)</f>
        <v/>
      </c>
      <c r="D114" s="123">
        <f>EOMONTH(C114,0)</f>
        <v/>
      </c>
      <c r="E114" s="124">
        <f>IF($D114="","",IFERROR(SUMIFS(EXPENSES!$D:$D,EXPENSES!$A:$A,"&gt;="&amp;$C114,EXPENSES!$A:$A,"&lt;="&amp;$D114),"na"))</f>
        <v/>
      </c>
      <c r="F114" s="124">
        <f>IF($D114="","",IFERROR(SUMIFS(INCOME!$C:$C,INCOME!$A:$A,"&gt;="&amp;$C114,INCOME!$A:$A,"&lt;="&amp;$D114),"na"))</f>
        <v/>
      </c>
      <c r="G114" s="124">
        <f>F114-E114</f>
        <v/>
      </c>
      <c r="H114" s="125">
        <f>IF(F114=0,"na",E114/F114)</f>
        <v/>
      </c>
      <c r="I114" s="125">
        <f>IF(F114=0,"na",G114/F114)</f>
        <v/>
      </c>
      <c r="J114" s="126">
        <f>IFERROR(SUMPRODUCT(EXPENSES!$D:$D),0)</f>
        <v/>
      </c>
      <c r="K114" s="126">
        <f>IF(F114="","",K$5)</f>
        <v/>
      </c>
      <c r="L114" s="126">
        <f>K114-J114</f>
        <v/>
      </c>
      <c r="M114" s="127" t="n"/>
      <c r="N114" s="11" t="n"/>
      <c r="O114" s="11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84">
      <c r="A115" s="5" t="n"/>
      <c r="B115" s="122">
        <f>ROW()-4</f>
        <v/>
      </c>
      <c r="C115" s="123">
        <f>EDATE(C114,1)</f>
        <v/>
      </c>
      <c r="D115" s="123">
        <f>EOMONTH(C115,0)</f>
        <v/>
      </c>
      <c r="E115" s="124">
        <f>IF($D115="","",IFERROR(SUMIFS(EXPENSES!$D:$D,EXPENSES!$A:$A,"&gt;="&amp;$C115,EXPENSES!$A:$A,"&lt;="&amp;$D115),"na"))</f>
        <v/>
      </c>
      <c r="F115" s="124">
        <f>IF($D115="","",IFERROR(SUMIFS(INCOME!$C:$C,INCOME!$A:$A,"&gt;="&amp;$C115,INCOME!$A:$A,"&lt;="&amp;$D115),"na"))</f>
        <v/>
      </c>
      <c r="G115" s="124">
        <f>F115-E115</f>
        <v/>
      </c>
      <c r="H115" s="125">
        <f>IF(F115=0,"na",E115/F115)</f>
        <v/>
      </c>
      <c r="I115" s="125">
        <f>IF(F115=0,"na",G115/F115)</f>
        <v/>
      </c>
      <c r="J115" s="126">
        <f>IFERROR(SUMPRODUCT(EXPENSES!$D:$D),0)</f>
        <v/>
      </c>
      <c r="K115" s="126">
        <f>IF(F115="","",K$5)</f>
        <v/>
      </c>
      <c r="L115" s="126">
        <f>K115-J115</f>
        <v/>
      </c>
      <c r="M115" s="127" t="n"/>
      <c r="N115" s="11" t="n"/>
      <c r="O115" s="11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84">
      <c r="A116" s="5" t="n"/>
      <c r="B116" s="122">
        <f>ROW()-4</f>
        <v/>
      </c>
      <c r="C116" s="123">
        <f>EDATE(C115,1)</f>
        <v/>
      </c>
      <c r="D116" s="123">
        <f>EOMONTH(C116,0)</f>
        <v/>
      </c>
      <c r="E116" s="124">
        <f>IF($D116="","",IFERROR(SUMIFS(EXPENSES!$D:$D,EXPENSES!$A:$A,"&gt;="&amp;$C116,EXPENSES!$A:$A,"&lt;="&amp;$D116),"na"))</f>
        <v/>
      </c>
      <c r="F116" s="124">
        <f>IF($D116="","",IFERROR(SUMIFS(INCOME!$C:$C,INCOME!$A:$A,"&gt;="&amp;$C116,INCOME!$A:$A,"&lt;="&amp;$D116),"na"))</f>
        <v/>
      </c>
      <c r="G116" s="124">
        <f>F116-E116</f>
        <v/>
      </c>
      <c r="H116" s="125">
        <f>IF(F116=0,"na",E116/F116)</f>
        <v/>
      </c>
      <c r="I116" s="125">
        <f>IF(F116=0,"na",G116/F116)</f>
        <v/>
      </c>
      <c r="J116" s="126">
        <f>IFERROR(SUMPRODUCT(EXPENSES!$D:$D),0)</f>
        <v/>
      </c>
      <c r="K116" s="126">
        <f>IF(F116="","",K$5)</f>
        <v/>
      </c>
      <c r="L116" s="126">
        <f>K116-J116</f>
        <v/>
      </c>
      <c r="M116" s="127" t="n"/>
      <c r="N116" s="11" t="n"/>
      <c r="O116" s="11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84">
      <c r="A117" s="5" t="n"/>
      <c r="B117" s="122">
        <f>ROW()-4</f>
        <v/>
      </c>
      <c r="C117" s="123">
        <f>EDATE(C116,1)</f>
        <v/>
      </c>
      <c r="D117" s="123">
        <f>EOMONTH(C117,0)</f>
        <v/>
      </c>
      <c r="E117" s="124">
        <f>IF($D117="","",IFERROR(SUMIFS(EXPENSES!$D:$D,EXPENSES!$A:$A,"&gt;="&amp;$C117,EXPENSES!$A:$A,"&lt;="&amp;$D117),"na"))</f>
        <v/>
      </c>
      <c r="F117" s="124">
        <f>IF($D117="","",IFERROR(SUMIFS(INCOME!$C:$C,INCOME!$A:$A,"&gt;="&amp;$C117,INCOME!$A:$A,"&lt;="&amp;$D117),"na"))</f>
        <v/>
      </c>
      <c r="G117" s="124">
        <f>F117-E117</f>
        <v/>
      </c>
      <c r="H117" s="125">
        <f>IF(F117=0,"na",E117/F117)</f>
        <v/>
      </c>
      <c r="I117" s="125">
        <f>IF(F117=0,"na",G117/F117)</f>
        <v/>
      </c>
      <c r="J117" s="126">
        <f>IFERROR(SUMPRODUCT(EXPENSES!$D:$D),0)</f>
        <v/>
      </c>
      <c r="K117" s="126">
        <f>IF(F117="","",K$5)</f>
        <v/>
      </c>
      <c r="L117" s="126">
        <f>K117-J117</f>
        <v/>
      </c>
      <c r="M117" s="127" t="n"/>
      <c r="N117" s="11" t="n"/>
      <c r="O117" s="11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84">
      <c r="A118" s="5" t="n"/>
      <c r="B118" s="122">
        <f>ROW()-4</f>
        <v/>
      </c>
      <c r="C118" s="123">
        <f>EDATE(C117,1)</f>
        <v/>
      </c>
      <c r="D118" s="123">
        <f>EOMONTH(C118,0)</f>
        <v/>
      </c>
      <c r="E118" s="124">
        <f>IF($D118="","",IFERROR(SUMIFS(EXPENSES!$D:$D,EXPENSES!$A:$A,"&gt;="&amp;$C118,EXPENSES!$A:$A,"&lt;="&amp;$D118),"na"))</f>
        <v/>
      </c>
      <c r="F118" s="124">
        <f>IF($D118="","",IFERROR(SUMIFS(INCOME!$C:$C,INCOME!$A:$A,"&gt;="&amp;$C118,INCOME!$A:$A,"&lt;="&amp;$D118),"na"))</f>
        <v/>
      </c>
      <c r="G118" s="124">
        <f>F118-E118</f>
        <v/>
      </c>
      <c r="H118" s="125">
        <f>IF(F118=0,"na",E118/F118)</f>
        <v/>
      </c>
      <c r="I118" s="125">
        <f>IF(F118=0,"na",G118/F118)</f>
        <v/>
      </c>
      <c r="J118" s="126">
        <f>IFERROR(SUMPRODUCT(EXPENSES!$D:$D),0)</f>
        <v/>
      </c>
      <c r="K118" s="126">
        <f>IF(F118="","",K$5)</f>
        <v/>
      </c>
      <c r="L118" s="126">
        <f>K118-J118</f>
        <v/>
      </c>
      <c r="M118" s="127" t="n"/>
      <c r="N118" s="11" t="n"/>
      <c r="O118" s="11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84">
      <c r="A119" s="5" t="n"/>
      <c r="B119" s="122">
        <f>ROW()-4</f>
        <v/>
      </c>
      <c r="C119" s="123">
        <f>EDATE(C118,1)</f>
        <v/>
      </c>
      <c r="D119" s="123">
        <f>EOMONTH(C119,0)</f>
        <v/>
      </c>
      <c r="E119" s="124">
        <f>IF($D119="","",IFERROR(SUMIFS(EXPENSES!$D:$D,EXPENSES!$A:$A,"&gt;="&amp;$C119,EXPENSES!$A:$A,"&lt;="&amp;$D119),"na"))</f>
        <v/>
      </c>
      <c r="F119" s="124">
        <f>IF($D119="","",IFERROR(SUMIFS(INCOME!$C:$C,INCOME!$A:$A,"&gt;="&amp;$C119,INCOME!$A:$A,"&lt;="&amp;$D119),"na"))</f>
        <v/>
      </c>
      <c r="G119" s="124">
        <f>F119-E119</f>
        <v/>
      </c>
      <c r="H119" s="125">
        <f>IF(F119=0,"na",E119/F119)</f>
        <v/>
      </c>
      <c r="I119" s="125">
        <f>IF(F119=0,"na",G119/F119)</f>
        <v/>
      </c>
      <c r="J119" s="126">
        <f>IFERROR(SUMPRODUCT(EXPENSES!$D:$D),0)</f>
        <v/>
      </c>
      <c r="K119" s="126">
        <f>IF(F119="","",K$5)</f>
        <v/>
      </c>
      <c r="L119" s="126">
        <f>K119-J119</f>
        <v/>
      </c>
      <c r="M119" s="127" t="n"/>
      <c r="N119" s="11" t="n"/>
      <c r="O119" s="11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84">
      <c r="A120" s="5" t="n"/>
      <c r="B120" s="122">
        <f>ROW()-4</f>
        <v/>
      </c>
      <c r="C120" s="123">
        <f>EDATE(C119,1)</f>
        <v/>
      </c>
      <c r="D120" s="123">
        <f>EOMONTH(C120,0)</f>
        <v/>
      </c>
      <c r="E120" s="124">
        <f>IF($D120="","",IFERROR(SUMIFS(EXPENSES!$D:$D,EXPENSES!$A:$A,"&gt;="&amp;$C120,EXPENSES!$A:$A,"&lt;="&amp;$D120),"na"))</f>
        <v/>
      </c>
      <c r="F120" s="124">
        <f>IF($D120="","",IFERROR(SUMIFS(INCOME!$C:$C,INCOME!$A:$A,"&gt;="&amp;$C120,INCOME!$A:$A,"&lt;="&amp;$D120),"na"))</f>
        <v/>
      </c>
      <c r="G120" s="124">
        <f>F120-E120</f>
        <v/>
      </c>
      <c r="H120" s="125">
        <f>IF(F120=0,"na",E120/F120)</f>
        <v/>
      </c>
      <c r="I120" s="125">
        <f>IF(F120=0,"na",G120/F120)</f>
        <v/>
      </c>
      <c r="J120" s="126">
        <f>IFERROR(SUMPRODUCT(EXPENSES!$D:$D),0)</f>
        <v/>
      </c>
      <c r="K120" s="126">
        <f>IF(F120="","",K$5)</f>
        <v/>
      </c>
      <c r="L120" s="126">
        <f>K120-J120</f>
        <v/>
      </c>
      <c r="M120" s="127" t="n"/>
      <c r="N120" s="11" t="n"/>
      <c r="O120" s="11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84">
      <c r="A121" s="5" t="n"/>
      <c r="B121" s="122">
        <f>ROW()-4</f>
        <v/>
      </c>
      <c r="C121" s="123">
        <f>EDATE(C120,1)</f>
        <v/>
      </c>
      <c r="D121" s="123">
        <f>EOMONTH(C121,0)</f>
        <v/>
      </c>
      <c r="E121" s="124">
        <f>IF($D121="","",IFERROR(SUMIFS(EXPENSES!$D:$D,EXPENSES!$A:$A,"&gt;="&amp;$C121,EXPENSES!$A:$A,"&lt;="&amp;$D121),"na"))</f>
        <v/>
      </c>
      <c r="F121" s="124">
        <f>IF($D121="","",IFERROR(SUMIFS(INCOME!$C:$C,INCOME!$A:$A,"&gt;="&amp;$C121,INCOME!$A:$A,"&lt;="&amp;$D121),"na"))</f>
        <v/>
      </c>
      <c r="G121" s="124">
        <f>F121-E121</f>
        <v/>
      </c>
      <c r="H121" s="125">
        <f>IF(F121=0,"na",E121/F121)</f>
        <v/>
      </c>
      <c r="I121" s="125">
        <f>IF(F121=0,"na",G121/F121)</f>
        <v/>
      </c>
      <c r="J121" s="126">
        <f>IFERROR(SUMPRODUCT(EXPENSES!$D:$D),0)</f>
        <v/>
      </c>
      <c r="K121" s="126">
        <f>IF(F121="","",K$5)</f>
        <v/>
      </c>
      <c r="L121" s="126">
        <f>K121-J121</f>
        <v/>
      </c>
      <c r="M121" s="127" t="n"/>
      <c r="N121" s="11" t="n"/>
      <c r="O121" s="11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84">
      <c r="A122" s="5" t="n"/>
      <c r="B122" s="122">
        <f>ROW()-4</f>
        <v/>
      </c>
      <c r="C122" s="123">
        <f>EDATE(C121,1)</f>
        <v/>
      </c>
      <c r="D122" s="123">
        <f>EOMONTH(C122,0)</f>
        <v/>
      </c>
      <c r="E122" s="124">
        <f>IF($D122="","",IFERROR(SUMIFS(EXPENSES!$D:$D,EXPENSES!$A:$A,"&gt;="&amp;$C122,EXPENSES!$A:$A,"&lt;="&amp;$D122),"na"))</f>
        <v/>
      </c>
      <c r="F122" s="124">
        <f>IF($D122="","",IFERROR(SUMIFS(INCOME!$C:$C,INCOME!$A:$A,"&gt;="&amp;$C122,INCOME!$A:$A,"&lt;="&amp;$D122),"na"))</f>
        <v/>
      </c>
      <c r="G122" s="124">
        <f>F122-E122</f>
        <v/>
      </c>
      <c r="H122" s="125">
        <f>IF(F122=0,"na",E122/F122)</f>
        <v/>
      </c>
      <c r="I122" s="125">
        <f>IF(F122=0,"na",G122/F122)</f>
        <v/>
      </c>
      <c r="J122" s="126">
        <f>IFERROR(SUMPRODUCT(EXPENSES!$D:$D),0)</f>
        <v/>
      </c>
      <c r="K122" s="126">
        <f>IF(F122="","",K$5)</f>
        <v/>
      </c>
      <c r="L122" s="126">
        <f>K122-J122</f>
        <v/>
      </c>
      <c r="M122" s="127" t="n"/>
      <c r="N122" s="11" t="n"/>
      <c r="O122" s="11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84">
      <c r="A123" s="5" t="n"/>
      <c r="B123" s="122">
        <f>ROW()-4</f>
        <v/>
      </c>
      <c r="C123" s="123">
        <f>EDATE(C122,1)</f>
        <v/>
      </c>
      <c r="D123" s="123">
        <f>EOMONTH(C123,0)</f>
        <v/>
      </c>
      <c r="E123" s="124">
        <f>IF($D123="","",IFERROR(SUMIFS(EXPENSES!$D:$D,EXPENSES!$A:$A,"&gt;="&amp;$C123,EXPENSES!$A:$A,"&lt;="&amp;$D123),"na"))</f>
        <v/>
      </c>
      <c r="F123" s="124">
        <f>IF($D123="","",IFERROR(SUMIFS(INCOME!$C:$C,INCOME!$A:$A,"&gt;="&amp;$C123,INCOME!$A:$A,"&lt;="&amp;$D123),"na"))</f>
        <v/>
      </c>
      <c r="G123" s="124">
        <f>F123-E123</f>
        <v/>
      </c>
      <c r="H123" s="125">
        <f>IF(F123=0,"na",E123/F123)</f>
        <v/>
      </c>
      <c r="I123" s="125">
        <f>IF(F123=0,"na",G123/F123)</f>
        <v/>
      </c>
      <c r="J123" s="126">
        <f>IFERROR(SUMPRODUCT(EXPENSES!$D:$D),0)</f>
        <v/>
      </c>
      <c r="K123" s="126">
        <f>IF(F123="","",K$5)</f>
        <v/>
      </c>
      <c r="L123" s="126">
        <f>K123-J123</f>
        <v/>
      </c>
      <c r="M123" s="127" t="n"/>
      <c r="N123" s="11" t="n"/>
      <c r="O123" s="11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84">
      <c r="A124" s="5" t="n"/>
      <c r="B124" s="122">
        <f>ROW()-4</f>
        <v/>
      </c>
      <c r="C124" s="123">
        <f>EDATE(C123,1)</f>
        <v/>
      </c>
      <c r="D124" s="123">
        <f>EOMONTH(C124,0)</f>
        <v/>
      </c>
      <c r="E124" s="124">
        <f>IF($D124="","",IFERROR(SUMIFS(EXPENSES!$D:$D,EXPENSES!$A:$A,"&gt;="&amp;$C124,EXPENSES!$A:$A,"&lt;="&amp;$D124),"na"))</f>
        <v/>
      </c>
      <c r="F124" s="124">
        <f>IF($D124="","",IFERROR(SUMIFS(INCOME!$C:$C,INCOME!$A:$A,"&gt;="&amp;$C124,INCOME!$A:$A,"&lt;="&amp;$D124),"na"))</f>
        <v/>
      </c>
      <c r="G124" s="124">
        <f>F124-E124</f>
        <v/>
      </c>
      <c r="H124" s="125">
        <f>IF(F124=0,"na",E124/F124)</f>
        <v/>
      </c>
      <c r="I124" s="125">
        <f>IF(F124=0,"na",G124/F124)</f>
        <v/>
      </c>
      <c r="J124" s="126">
        <f>IFERROR(SUMPRODUCT(EXPENSES!$D:$D),0)</f>
        <v/>
      </c>
      <c r="K124" s="126">
        <f>IF(F124="","",K$5)</f>
        <v/>
      </c>
      <c r="L124" s="126">
        <f>K124-J124</f>
        <v/>
      </c>
      <c r="M124" s="127" t="n"/>
      <c r="N124" s="11" t="n"/>
      <c r="O124" s="11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84">
      <c r="A125" s="5" t="n"/>
      <c r="B125" s="122">
        <f>ROW()-4</f>
        <v/>
      </c>
      <c r="C125" s="123">
        <f>EDATE(C124,1)</f>
        <v/>
      </c>
      <c r="D125" s="123">
        <f>EOMONTH(C125,0)</f>
        <v/>
      </c>
      <c r="E125" s="124">
        <f>IF($D125="","",IFERROR(SUMIFS(EXPENSES!$D:$D,EXPENSES!$A:$A,"&gt;="&amp;$C125,EXPENSES!$A:$A,"&lt;="&amp;$D125),"na"))</f>
        <v/>
      </c>
      <c r="F125" s="124">
        <f>IF($D125="","",IFERROR(SUMIFS(INCOME!$C:$C,INCOME!$A:$A,"&gt;="&amp;$C125,INCOME!$A:$A,"&lt;="&amp;$D125),"na"))</f>
        <v/>
      </c>
      <c r="G125" s="124">
        <f>F125-E125</f>
        <v/>
      </c>
      <c r="H125" s="125">
        <f>IF(F125=0,"na",E125/F125)</f>
        <v/>
      </c>
      <c r="I125" s="125">
        <f>IF(F125=0,"na",G125/F125)</f>
        <v/>
      </c>
      <c r="J125" s="126">
        <f>IFERROR(SUMPRODUCT(EXPENSES!$D:$D),0)</f>
        <v/>
      </c>
      <c r="K125" s="126">
        <f>IF(F125="","",K$5)</f>
        <v/>
      </c>
      <c r="L125" s="126">
        <f>K125-J125</f>
        <v/>
      </c>
      <c r="M125" s="127" t="n"/>
      <c r="N125" s="11" t="n"/>
      <c r="O125" s="11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84">
      <c r="A126" s="5" t="n"/>
      <c r="B126" s="122">
        <f>ROW()-4</f>
        <v/>
      </c>
      <c r="C126" s="123">
        <f>EDATE(C125,1)</f>
        <v/>
      </c>
      <c r="D126" s="123">
        <f>EOMONTH(C126,0)</f>
        <v/>
      </c>
      <c r="E126" s="124">
        <f>IF($D126="","",IFERROR(SUMIFS(EXPENSES!$D:$D,EXPENSES!$A:$A,"&gt;="&amp;$C126,EXPENSES!$A:$A,"&lt;="&amp;$D126),"na"))</f>
        <v/>
      </c>
      <c r="F126" s="124">
        <f>IF($D126="","",IFERROR(SUMIFS(INCOME!$C:$C,INCOME!$A:$A,"&gt;="&amp;$C126,INCOME!$A:$A,"&lt;="&amp;$D126),"na"))</f>
        <v/>
      </c>
      <c r="G126" s="124">
        <f>F126-E126</f>
        <v/>
      </c>
      <c r="H126" s="125">
        <f>IF(F126=0,"na",E126/F126)</f>
        <v/>
      </c>
      <c r="I126" s="125">
        <f>IF(F126=0,"na",G126/F126)</f>
        <v/>
      </c>
      <c r="J126" s="126">
        <f>IFERROR(SUMPRODUCT(EXPENSES!$D:$D),0)</f>
        <v/>
      </c>
      <c r="K126" s="126">
        <f>IF(F126="","",K$5)</f>
        <v/>
      </c>
      <c r="L126" s="126">
        <f>K126-J126</f>
        <v/>
      </c>
      <c r="M126" s="127" t="n"/>
      <c r="N126" s="11" t="n"/>
      <c r="O126" s="11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84">
      <c r="A127" s="5" t="n"/>
      <c r="B127" s="122">
        <f>ROW()-4</f>
        <v/>
      </c>
      <c r="C127" s="123">
        <f>EDATE(C126,1)</f>
        <v/>
      </c>
      <c r="D127" s="123">
        <f>EOMONTH(C127,0)</f>
        <v/>
      </c>
      <c r="E127" s="124">
        <f>IF($D127="","",IFERROR(SUMIFS(EXPENSES!$D:$D,EXPENSES!$A:$A,"&gt;="&amp;$C127,EXPENSES!$A:$A,"&lt;="&amp;$D127),"na"))</f>
        <v/>
      </c>
      <c r="F127" s="124">
        <f>IF($D127="","",IFERROR(SUMIFS(INCOME!$C:$C,INCOME!$A:$A,"&gt;="&amp;$C127,INCOME!$A:$A,"&lt;="&amp;$D127),"na"))</f>
        <v/>
      </c>
      <c r="G127" s="124">
        <f>F127-E127</f>
        <v/>
      </c>
      <c r="H127" s="125">
        <f>IF(F127=0,"na",E127/F127)</f>
        <v/>
      </c>
      <c r="I127" s="125">
        <f>IF(F127=0,"na",G127/F127)</f>
        <v/>
      </c>
      <c r="J127" s="126">
        <f>IFERROR(SUMPRODUCT(EXPENSES!$D:$D),0)</f>
        <v/>
      </c>
      <c r="K127" s="126">
        <f>IF(F127="","",K$5)</f>
        <v/>
      </c>
      <c r="L127" s="126">
        <f>K127-J127</f>
        <v/>
      </c>
      <c r="M127" s="127" t="n"/>
      <c r="N127" s="11" t="n"/>
      <c r="O127" s="11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84">
      <c r="A128" s="5" t="n"/>
      <c r="B128" s="122">
        <f>ROW()-4</f>
        <v/>
      </c>
      <c r="C128" s="123">
        <f>EDATE(C127,1)</f>
        <v/>
      </c>
      <c r="D128" s="123">
        <f>EOMONTH(C128,0)</f>
        <v/>
      </c>
      <c r="E128" s="124">
        <f>IF($D128="","",IFERROR(SUMIFS(EXPENSES!$D:$D,EXPENSES!$A:$A,"&gt;="&amp;$C128,EXPENSES!$A:$A,"&lt;="&amp;$D128),"na"))</f>
        <v/>
      </c>
      <c r="F128" s="124">
        <f>IF($D128="","",IFERROR(SUMIFS(INCOME!$C:$C,INCOME!$A:$A,"&gt;="&amp;$C128,INCOME!$A:$A,"&lt;="&amp;$D128),"na"))</f>
        <v/>
      </c>
      <c r="G128" s="124">
        <f>F128-E128</f>
        <v/>
      </c>
      <c r="H128" s="125">
        <f>IF(F128=0,"na",E128/F128)</f>
        <v/>
      </c>
      <c r="I128" s="125">
        <f>IF(F128=0,"na",G128/F128)</f>
        <v/>
      </c>
      <c r="J128" s="126">
        <f>IFERROR(SUMPRODUCT(EXPENSES!$D:$D),0)</f>
        <v/>
      </c>
      <c r="K128" s="126">
        <f>IF(F128="","",K$5)</f>
        <v/>
      </c>
      <c r="L128" s="126">
        <f>K128-J128</f>
        <v/>
      </c>
      <c r="M128" s="127" t="n"/>
      <c r="N128" s="11" t="n"/>
      <c r="O128" s="11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84">
      <c r="A129" s="5" t="n"/>
      <c r="B129" s="122">
        <f>ROW()-4</f>
        <v/>
      </c>
      <c r="C129" s="123">
        <f>EDATE(C128,1)</f>
        <v/>
      </c>
      <c r="D129" s="123">
        <f>EOMONTH(C129,0)</f>
        <v/>
      </c>
      <c r="E129" s="124">
        <f>IF($D129="","",IFERROR(SUMIFS(EXPENSES!$D:$D,EXPENSES!$A:$A,"&gt;="&amp;$C129,EXPENSES!$A:$A,"&lt;="&amp;$D129),"na"))</f>
        <v/>
      </c>
      <c r="F129" s="124">
        <f>IF($D129="","",IFERROR(SUMIFS(INCOME!$C:$C,INCOME!$A:$A,"&gt;="&amp;$C129,INCOME!$A:$A,"&lt;="&amp;$D129),"na"))</f>
        <v/>
      </c>
      <c r="G129" s="124">
        <f>F129-E129</f>
        <v/>
      </c>
      <c r="H129" s="125">
        <f>IF(F129=0,"na",E129/F129)</f>
        <v/>
      </c>
      <c r="I129" s="125">
        <f>IF(F129=0,"na",G129/F129)</f>
        <v/>
      </c>
      <c r="J129" s="126">
        <f>IFERROR(SUMPRODUCT(EXPENSES!$D:$D),0)</f>
        <v/>
      </c>
      <c r="K129" s="126">
        <f>IF(F129="","",K$5)</f>
        <v/>
      </c>
      <c r="L129" s="126">
        <f>K129-J129</f>
        <v/>
      </c>
      <c r="M129" s="127" t="n"/>
      <c r="N129" s="11" t="n"/>
      <c r="O129" s="11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84">
      <c r="A130" s="5" t="n"/>
      <c r="B130" s="122">
        <f>ROW()-4</f>
        <v/>
      </c>
      <c r="C130" s="123">
        <f>EDATE(C129,1)</f>
        <v/>
      </c>
      <c r="D130" s="123">
        <f>EOMONTH(C130,0)</f>
        <v/>
      </c>
      <c r="E130" s="124">
        <f>IF($D130="","",IFERROR(SUMIFS(EXPENSES!$D:$D,EXPENSES!$A:$A,"&gt;="&amp;$C130,EXPENSES!$A:$A,"&lt;="&amp;$D130),"na"))</f>
        <v/>
      </c>
      <c r="F130" s="124">
        <f>IF($D130="","",IFERROR(SUMIFS(INCOME!$C:$C,INCOME!$A:$A,"&gt;="&amp;$C130,INCOME!$A:$A,"&lt;="&amp;$D130),"na"))</f>
        <v/>
      </c>
      <c r="G130" s="124">
        <f>F130-E130</f>
        <v/>
      </c>
      <c r="H130" s="125">
        <f>IF(F130=0,"na",E130/F130)</f>
        <v/>
      </c>
      <c r="I130" s="125">
        <f>IF(F130=0,"na",G130/F130)</f>
        <v/>
      </c>
      <c r="J130" s="126">
        <f>IFERROR(SUMPRODUCT(EXPENSES!$D:$D),0)</f>
        <v/>
      </c>
      <c r="K130" s="126">
        <f>IF(F130="","",K$5)</f>
        <v/>
      </c>
      <c r="L130" s="126">
        <f>K130-J130</f>
        <v/>
      </c>
      <c r="M130" s="127" t="n"/>
      <c r="N130" s="11" t="n"/>
      <c r="O130" s="11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84">
      <c r="A131" s="5" t="n"/>
      <c r="B131" s="122">
        <f>ROW()-4</f>
        <v/>
      </c>
      <c r="C131" s="123">
        <f>EDATE(C130,1)</f>
        <v/>
      </c>
      <c r="D131" s="123">
        <f>EOMONTH(C131,0)</f>
        <v/>
      </c>
      <c r="E131" s="124">
        <f>IF($D131="","",IFERROR(SUMIFS(EXPENSES!$D:$D,EXPENSES!$A:$A,"&gt;="&amp;$C131,EXPENSES!$A:$A,"&lt;="&amp;$D131),"na"))</f>
        <v/>
      </c>
      <c r="F131" s="124">
        <f>IF($D131="","",IFERROR(SUMIFS(INCOME!$C:$C,INCOME!$A:$A,"&gt;="&amp;$C131,INCOME!$A:$A,"&lt;="&amp;$D131),"na"))</f>
        <v/>
      </c>
      <c r="G131" s="124">
        <f>F131-E131</f>
        <v/>
      </c>
      <c r="H131" s="125">
        <f>IF(F131=0,"na",E131/F131)</f>
        <v/>
      </c>
      <c r="I131" s="125">
        <f>IF(F131=0,"na",G131/F131)</f>
        <v/>
      </c>
      <c r="J131" s="126">
        <f>IFERROR(SUMPRODUCT(EXPENSES!$D:$D),0)</f>
        <v/>
      </c>
      <c r="K131" s="126">
        <f>IF(F131="","",K$5)</f>
        <v/>
      </c>
      <c r="L131" s="126">
        <f>K131-J131</f>
        <v/>
      </c>
      <c r="M131" s="127" t="n"/>
      <c r="N131" s="11" t="n"/>
      <c r="O131" s="11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84">
      <c r="A132" s="5" t="n"/>
      <c r="B132" s="122">
        <f>ROW()-4</f>
        <v/>
      </c>
      <c r="C132" s="123">
        <f>EDATE(C131,1)</f>
        <v/>
      </c>
      <c r="D132" s="123">
        <f>EOMONTH(C132,0)</f>
        <v/>
      </c>
      <c r="E132" s="124">
        <f>IF($D132="","",IFERROR(SUMIFS(EXPENSES!$D:$D,EXPENSES!$A:$A,"&gt;="&amp;$C132,EXPENSES!$A:$A,"&lt;="&amp;$D132),"na"))</f>
        <v/>
      </c>
      <c r="F132" s="124">
        <f>IF($D132="","",IFERROR(SUMIFS(INCOME!$C:$C,INCOME!$A:$A,"&gt;="&amp;$C132,INCOME!$A:$A,"&lt;="&amp;$D132),"na"))</f>
        <v/>
      </c>
      <c r="G132" s="124">
        <f>F132-E132</f>
        <v/>
      </c>
      <c r="H132" s="125">
        <f>IF(F132=0,"na",E132/F132)</f>
        <v/>
      </c>
      <c r="I132" s="125">
        <f>IF(F132=0,"na",G132/F132)</f>
        <v/>
      </c>
      <c r="J132" s="126">
        <f>IFERROR(SUMPRODUCT(EXPENSES!$D:$D),0)</f>
        <v/>
      </c>
      <c r="K132" s="126">
        <f>IF(F132="","",K$5)</f>
        <v/>
      </c>
      <c r="L132" s="126">
        <f>K132-J132</f>
        <v/>
      </c>
      <c r="M132" s="127" t="n"/>
      <c r="N132" s="11" t="n"/>
      <c r="O132" s="11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84">
      <c r="A133" s="5" t="n"/>
      <c r="B133" s="122">
        <f>ROW()-4</f>
        <v/>
      </c>
      <c r="C133" s="123">
        <f>EDATE(C132,1)</f>
        <v/>
      </c>
      <c r="D133" s="123">
        <f>EOMONTH(C133,0)</f>
        <v/>
      </c>
      <c r="E133" s="124">
        <f>IF($D133="","",IFERROR(SUMIFS(EXPENSES!$D:$D,EXPENSES!$A:$A,"&gt;="&amp;$C133,EXPENSES!$A:$A,"&lt;="&amp;$D133),"na"))</f>
        <v/>
      </c>
      <c r="F133" s="124">
        <f>IF($D133="","",IFERROR(SUMIFS(INCOME!$C:$C,INCOME!$A:$A,"&gt;="&amp;$C133,INCOME!$A:$A,"&lt;="&amp;$D133),"na"))</f>
        <v/>
      </c>
      <c r="G133" s="124">
        <f>F133-E133</f>
        <v/>
      </c>
      <c r="H133" s="125">
        <f>IF(F133=0,"na",E133/F133)</f>
        <v/>
      </c>
      <c r="I133" s="125">
        <f>IF(F133=0,"na",G133/F133)</f>
        <v/>
      </c>
      <c r="J133" s="126">
        <f>IFERROR(SUMPRODUCT(EXPENSES!$D:$D),0)</f>
        <v/>
      </c>
      <c r="K133" s="126">
        <f>IF(F133="","",K$5)</f>
        <v/>
      </c>
      <c r="L133" s="126">
        <f>K133-J133</f>
        <v/>
      </c>
      <c r="M133" s="127" t="n"/>
      <c r="N133" s="11" t="n"/>
      <c r="O133" s="11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84">
      <c r="A134" s="5" t="n"/>
      <c r="B134" s="122">
        <f>ROW()-4</f>
        <v/>
      </c>
      <c r="C134" s="123">
        <f>EDATE(C133,1)</f>
        <v/>
      </c>
      <c r="D134" s="123">
        <f>EOMONTH(C134,0)</f>
        <v/>
      </c>
      <c r="E134" s="124">
        <f>IF($D134="","",IFERROR(SUMIFS(EXPENSES!$D:$D,EXPENSES!$A:$A,"&gt;="&amp;$C134,EXPENSES!$A:$A,"&lt;="&amp;$D134),"na"))</f>
        <v/>
      </c>
      <c r="F134" s="124">
        <f>IF($D134="","",IFERROR(SUMIFS(INCOME!$C:$C,INCOME!$A:$A,"&gt;="&amp;$C134,INCOME!$A:$A,"&lt;="&amp;$D134),"na"))</f>
        <v/>
      </c>
      <c r="G134" s="124">
        <f>F134-E134</f>
        <v/>
      </c>
      <c r="H134" s="125">
        <f>IF(F134=0,"na",E134/F134)</f>
        <v/>
      </c>
      <c r="I134" s="125">
        <f>IF(F134=0,"na",G134/F134)</f>
        <v/>
      </c>
      <c r="J134" s="126">
        <f>IFERROR(SUMPRODUCT(EXPENSES!$D:$D),0)</f>
        <v/>
      </c>
      <c r="K134" s="126">
        <f>IF(F134="","",K$5)</f>
        <v/>
      </c>
      <c r="L134" s="126">
        <f>K134-J134</f>
        <v/>
      </c>
      <c r="M134" s="127" t="n"/>
      <c r="N134" s="11" t="n"/>
      <c r="O134" s="11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84">
      <c r="A135" s="5" t="n"/>
      <c r="B135" s="122">
        <f>ROW()-4</f>
        <v/>
      </c>
      <c r="C135" s="123">
        <f>EDATE(C134,1)</f>
        <v/>
      </c>
      <c r="D135" s="123">
        <f>EOMONTH(C135,0)</f>
        <v/>
      </c>
      <c r="E135" s="124">
        <f>IF($D135="","",IFERROR(SUMIFS(EXPENSES!$D:$D,EXPENSES!$A:$A,"&gt;="&amp;$C135,EXPENSES!$A:$A,"&lt;="&amp;$D135),"na"))</f>
        <v/>
      </c>
      <c r="F135" s="124">
        <f>IF($D135="","",IFERROR(SUMIFS(INCOME!$C:$C,INCOME!$A:$A,"&gt;="&amp;$C135,INCOME!$A:$A,"&lt;="&amp;$D135),"na"))</f>
        <v/>
      </c>
      <c r="G135" s="124">
        <f>F135-E135</f>
        <v/>
      </c>
      <c r="H135" s="125">
        <f>IF(F135=0,"na",E135/F135)</f>
        <v/>
      </c>
      <c r="I135" s="125">
        <f>IF(F135=0,"na",G135/F135)</f>
        <v/>
      </c>
      <c r="J135" s="126">
        <f>IFERROR(SUMPRODUCT(EXPENSES!$D:$D),0)</f>
        <v/>
      </c>
      <c r="K135" s="126">
        <f>IF(F135="","",K$5)</f>
        <v/>
      </c>
      <c r="L135" s="126">
        <f>K135-J135</f>
        <v/>
      </c>
      <c r="M135" s="127" t="n"/>
      <c r="N135" s="11" t="n"/>
      <c r="O135" s="11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84">
      <c r="A136" s="5" t="n"/>
      <c r="B136" s="122">
        <f>ROW()-4</f>
        <v/>
      </c>
      <c r="C136" s="123">
        <f>EDATE(C135,1)</f>
        <v/>
      </c>
      <c r="D136" s="123">
        <f>EOMONTH(C136,0)</f>
        <v/>
      </c>
      <c r="E136" s="124">
        <f>IF($D136="","",IFERROR(SUMIFS(EXPENSES!$D:$D,EXPENSES!$A:$A,"&gt;="&amp;$C136,EXPENSES!$A:$A,"&lt;="&amp;$D136),"na"))</f>
        <v/>
      </c>
      <c r="F136" s="124">
        <f>IF($D136="","",IFERROR(SUMIFS(INCOME!$C:$C,INCOME!$A:$A,"&gt;="&amp;$C136,INCOME!$A:$A,"&lt;="&amp;$D136),"na"))</f>
        <v/>
      </c>
      <c r="G136" s="124">
        <f>F136-E136</f>
        <v/>
      </c>
      <c r="H136" s="125">
        <f>IF(F136=0,"na",E136/F136)</f>
        <v/>
      </c>
      <c r="I136" s="125">
        <f>IF(F136=0,"na",G136/F136)</f>
        <v/>
      </c>
      <c r="J136" s="126">
        <f>IFERROR(SUMPRODUCT(EXPENSES!$D:$D),0)</f>
        <v/>
      </c>
      <c r="K136" s="126">
        <f>IF(F136="","",K$5)</f>
        <v/>
      </c>
      <c r="L136" s="126">
        <f>K136-J136</f>
        <v/>
      </c>
      <c r="M136" s="127" t="n"/>
      <c r="N136" s="11" t="n"/>
      <c r="O136" s="11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84">
      <c r="A137" s="5" t="n"/>
      <c r="B137" s="122">
        <f>ROW()-4</f>
        <v/>
      </c>
      <c r="C137" s="123">
        <f>EDATE(C136,1)</f>
        <v/>
      </c>
      <c r="D137" s="123">
        <f>EOMONTH(C137,0)</f>
        <v/>
      </c>
      <c r="E137" s="124">
        <f>IF($D137="","",IFERROR(SUMIFS(EXPENSES!$D:$D,EXPENSES!$A:$A,"&gt;="&amp;$C137,EXPENSES!$A:$A,"&lt;="&amp;$D137),"na"))</f>
        <v/>
      </c>
      <c r="F137" s="124">
        <f>IF($D137="","",IFERROR(SUMIFS(INCOME!$C:$C,INCOME!$A:$A,"&gt;="&amp;$C137,INCOME!$A:$A,"&lt;="&amp;$D137),"na"))</f>
        <v/>
      </c>
      <c r="G137" s="124">
        <f>F137-E137</f>
        <v/>
      </c>
      <c r="H137" s="125">
        <f>IF(F137=0,"na",E137/F137)</f>
        <v/>
      </c>
      <c r="I137" s="125">
        <f>IF(F137=0,"na",G137/F137)</f>
        <v/>
      </c>
      <c r="J137" s="126">
        <f>IFERROR(SUMPRODUCT(EXPENSES!$D:$D),0)</f>
        <v/>
      </c>
      <c r="K137" s="126">
        <f>IF(F137="","",K$5)</f>
        <v/>
      </c>
      <c r="L137" s="126">
        <f>K137-J137</f>
        <v/>
      </c>
      <c r="M137" s="127" t="n"/>
      <c r="N137" s="11" t="n"/>
      <c r="O137" s="11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84">
      <c r="A138" s="5" t="n"/>
      <c r="B138" s="122">
        <f>ROW()-4</f>
        <v/>
      </c>
      <c r="C138" s="123">
        <f>EDATE(C137,1)</f>
        <v/>
      </c>
      <c r="D138" s="123">
        <f>EOMONTH(C138,0)</f>
        <v/>
      </c>
      <c r="E138" s="124">
        <f>IF($D138="","",IFERROR(SUMIFS(EXPENSES!$D:$D,EXPENSES!$A:$A,"&gt;="&amp;$C138,EXPENSES!$A:$A,"&lt;="&amp;$D138),"na"))</f>
        <v/>
      </c>
      <c r="F138" s="124">
        <f>IF($D138="","",IFERROR(SUMIFS(INCOME!$C:$C,INCOME!$A:$A,"&gt;="&amp;$C138,INCOME!$A:$A,"&lt;="&amp;$D138),"na"))</f>
        <v/>
      </c>
      <c r="G138" s="124">
        <f>F138-E138</f>
        <v/>
      </c>
      <c r="H138" s="125">
        <f>IF(F138=0,"na",E138/F138)</f>
        <v/>
      </c>
      <c r="I138" s="125">
        <f>IF(F138=0,"na",G138/F138)</f>
        <v/>
      </c>
      <c r="J138" s="126">
        <f>IFERROR(SUMPRODUCT(EXPENSES!$D:$D),0)</f>
        <v/>
      </c>
      <c r="K138" s="126">
        <f>IF(F138="","",K$5)</f>
        <v/>
      </c>
      <c r="L138" s="126">
        <f>K138-J138</f>
        <v/>
      </c>
      <c r="M138" s="127" t="n"/>
      <c r="N138" s="11" t="n"/>
      <c r="O138" s="11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84">
      <c r="A139" s="5" t="n"/>
      <c r="B139" s="122">
        <f>ROW()-4</f>
        <v/>
      </c>
      <c r="C139" s="123">
        <f>EDATE(C138,1)</f>
        <v/>
      </c>
      <c r="D139" s="123">
        <f>EOMONTH(C139,0)</f>
        <v/>
      </c>
      <c r="E139" s="124">
        <f>IF($D139="","",IFERROR(SUMIFS(EXPENSES!$D:$D,EXPENSES!$A:$A,"&gt;="&amp;$C139,EXPENSES!$A:$A,"&lt;="&amp;$D139),"na"))</f>
        <v/>
      </c>
      <c r="F139" s="124">
        <f>IF($D139="","",IFERROR(SUMIFS(INCOME!$C:$C,INCOME!$A:$A,"&gt;="&amp;$C139,INCOME!$A:$A,"&lt;="&amp;$D139),"na"))</f>
        <v/>
      </c>
      <c r="G139" s="124">
        <f>F139-E139</f>
        <v/>
      </c>
      <c r="H139" s="125">
        <f>IF(F139=0,"na",E139/F139)</f>
        <v/>
      </c>
      <c r="I139" s="125">
        <f>IF(F139=0,"na",G139/F139)</f>
        <v/>
      </c>
      <c r="J139" s="126">
        <f>IFERROR(SUMPRODUCT(EXPENSES!$D:$D),0)</f>
        <v/>
      </c>
      <c r="K139" s="126">
        <f>IF(F139="","",K$5)</f>
        <v/>
      </c>
      <c r="L139" s="126">
        <f>K139-J139</f>
        <v/>
      </c>
      <c r="M139" s="127" t="n"/>
      <c r="N139" s="11" t="n"/>
      <c r="O139" s="11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84">
      <c r="A140" s="5" t="n"/>
      <c r="B140" s="122">
        <f>ROW()-4</f>
        <v/>
      </c>
      <c r="C140" s="123">
        <f>EDATE(C139,1)</f>
        <v/>
      </c>
      <c r="D140" s="123">
        <f>EOMONTH(C140,0)</f>
        <v/>
      </c>
      <c r="E140" s="124">
        <f>IF($D140="","",IFERROR(SUMIFS(EXPENSES!$D:$D,EXPENSES!$A:$A,"&gt;="&amp;$C140,EXPENSES!$A:$A,"&lt;="&amp;$D140),"na"))</f>
        <v/>
      </c>
      <c r="F140" s="124">
        <f>IF($D140="","",IFERROR(SUMIFS(INCOME!$C:$C,INCOME!$A:$A,"&gt;="&amp;$C140,INCOME!$A:$A,"&lt;="&amp;$D140),"na"))</f>
        <v/>
      </c>
      <c r="G140" s="124">
        <f>F140-E140</f>
        <v/>
      </c>
      <c r="H140" s="125">
        <f>IF(F140=0,"na",E140/F140)</f>
        <v/>
      </c>
      <c r="I140" s="125">
        <f>IF(F140=0,"na",G140/F140)</f>
        <v/>
      </c>
      <c r="J140" s="126">
        <f>IFERROR(SUMPRODUCT(EXPENSES!$D:$D),0)</f>
        <v/>
      </c>
      <c r="K140" s="126">
        <f>IF(F140="","",K$5)</f>
        <v/>
      </c>
      <c r="L140" s="126">
        <f>K140-J140</f>
        <v/>
      </c>
      <c r="M140" s="127" t="n"/>
      <c r="N140" s="11" t="n"/>
      <c r="O140" s="11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84">
      <c r="A141" s="5" t="n"/>
      <c r="B141" s="122">
        <f>ROW()-4</f>
        <v/>
      </c>
      <c r="C141" s="123">
        <f>EDATE(C140,1)</f>
        <v/>
      </c>
      <c r="D141" s="123">
        <f>EOMONTH(C141,0)</f>
        <v/>
      </c>
      <c r="E141" s="124">
        <f>IF($D141="","",IFERROR(SUMIFS(EXPENSES!$D:$D,EXPENSES!$A:$A,"&gt;="&amp;$C141,EXPENSES!$A:$A,"&lt;="&amp;$D141),"na"))</f>
        <v/>
      </c>
      <c r="F141" s="124">
        <f>IF($D141="","",IFERROR(SUMIFS(INCOME!$C:$C,INCOME!$A:$A,"&gt;="&amp;$C141,INCOME!$A:$A,"&lt;="&amp;$D141),"na"))</f>
        <v/>
      </c>
      <c r="G141" s="124">
        <f>F141-E141</f>
        <v/>
      </c>
      <c r="H141" s="125">
        <f>IF(F141=0,"na",E141/F141)</f>
        <v/>
      </c>
      <c r="I141" s="125">
        <f>IF(F141=0,"na",G141/F141)</f>
        <v/>
      </c>
      <c r="J141" s="126">
        <f>IFERROR(SUMPRODUCT(EXPENSES!$D:$D),0)</f>
        <v/>
      </c>
      <c r="K141" s="126">
        <f>IF(F141="","",K$5)</f>
        <v/>
      </c>
      <c r="L141" s="126">
        <f>K141-J141</f>
        <v/>
      </c>
      <c r="M141" s="127" t="n"/>
      <c r="N141" s="11" t="n"/>
      <c r="O141" s="11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84">
      <c r="A142" s="5" t="n"/>
      <c r="B142" s="122">
        <f>ROW()-4</f>
        <v/>
      </c>
      <c r="C142" s="123">
        <f>EDATE(C141,1)</f>
        <v/>
      </c>
      <c r="D142" s="123">
        <f>EOMONTH(C142,0)</f>
        <v/>
      </c>
      <c r="E142" s="124">
        <f>IF($D142="","",IFERROR(SUMIFS(EXPENSES!$D:$D,EXPENSES!$A:$A,"&gt;="&amp;$C142,EXPENSES!$A:$A,"&lt;="&amp;$D142),"na"))</f>
        <v/>
      </c>
      <c r="F142" s="124">
        <f>IF($D142="","",IFERROR(SUMIFS(INCOME!$C:$C,INCOME!$A:$A,"&gt;="&amp;$C142,INCOME!$A:$A,"&lt;="&amp;$D142),"na"))</f>
        <v/>
      </c>
      <c r="G142" s="124">
        <f>F142-E142</f>
        <v/>
      </c>
      <c r="H142" s="125">
        <f>IF(F142=0,"na",E142/F142)</f>
        <v/>
      </c>
      <c r="I142" s="125">
        <f>IF(F142=0,"na",G142/F142)</f>
        <v/>
      </c>
      <c r="J142" s="126">
        <f>IFERROR(SUMPRODUCT(EXPENSES!$D:$D),0)</f>
        <v/>
      </c>
      <c r="K142" s="126">
        <f>IF(F142="","",K$5)</f>
        <v/>
      </c>
      <c r="L142" s="126">
        <f>K142-J142</f>
        <v/>
      </c>
      <c r="M142" s="127" t="n"/>
      <c r="N142" s="11" t="n"/>
      <c r="O142" s="11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84">
      <c r="A143" s="5" t="n"/>
      <c r="B143" s="122">
        <f>ROW()-4</f>
        <v/>
      </c>
      <c r="C143" s="123">
        <f>EDATE(C142,1)</f>
        <v/>
      </c>
      <c r="D143" s="123">
        <f>EOMONTH(C143,0)</f>
        <v/>
      </c>
      <c r="E143" s="124">
        <f>IF($D143="","",IFERROR(SUMIFS(EXPENSES!$D:$D,EXPENSES!$A:$A,"&gt;="&amp;$C143,EXPENSES!$A:$A,"&lt;="&amp;$D143),"na"))</f>
        <v/>
      </c>
      <c r="F143" s="124">
        <f>IF($D143="","",IFERROR(SUMIFS(INCOME!$C:$C,INCOME!$A:$A,"&gt;="&amp;$C143,INCOME!$A:$A,"&lt;="&amp;$D143),"na"))</f>
        <v/>
      </c>
      <c r="G143" s="124">
        <f>F143-E143</f>
        <v/>
      </c>
      <c r="H143" s="125">
        <f>IF(F143=0,"na",E143/F143)</f>
        <v/>
      </c>
      <c r="I143" s="125">
        <f>IF(F143=0,"na",G143/F143)</f>
        <v/>
      </c>
      <c r="J143" s="126">
        <f>IFERROR(SUMPRODUCT(EXPENSES!$D:$D),0)</f>
        <v/>
      </c>
      <c r="K143" s="126">
        <f>IF(F143="","",K$5)</f>
        <v/>
      </c>
      <c r="L143" s="126">
        <f>K143-J143</f>
        <v/>
      </c>
      <c r="M143" s="127" t="n"/>
      <c r="N143" s="11" t="n"/>
      <c r="O143" s="11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84">
      <c r="A144" s="5" t="n"/>
      <c r="B144" s="122">
        <f>ROW()-4</f>
        <v/>
      </c>
      <c r="C144" s="123">
        <f>EDATE(C143,1)</f>
        <v/>
      </c>
      <c r="D144" s="123">
        <f>EOMONTH(C144,0)</f>
        <v/>
      </c>
      <c r="E144" s="124">
        <f>IF($D144="","",IFERROR(SUMIFS(EXPENSES!$D:$D,EXPENSES!$A:$A,"&gt;="&amp;$C144,EXPENSES!$A:$A,"&lt;="&amp;$D144),"na"))</f>
        <v/>
      </c>
      <c r="F144" s="124">
        <f>IF($D144="","",IFERROR(SUMIFS(INCOME!$C:$C,INCOME!$A:$A,"&gt;="&amp;$C144,INCOME!$A:$A,"&lt;="&amp;$D144),"na"))</f>
        <v/>
      </c>
      <c r="G144" s="124">
        <f>F144-E144</f>
        <v/>
      </c>
      <c r="H144" s="125">
        <f>IF(F144=0,"na",E144/F144)</f>
        <v/>
      </c>
      <c r="I144" s="125">
        <f>IF(F144=0,"na",G144/F144)</f>
        <v/>
      </c>
      <c r="J144" s="126">
        <f>IFERROR(SUMPRODUCT(EXPENSES!$D:$D),0)</f>
        <v/>
      </c>
      <c r="K144" s="126">
        <f>IF(F144="","",K$5)</f>
        <v/>
      </c>
      <c r="L144" s="126">
        <f>K144-J144</f>
        <v/>
      </c>
      <c r="M144" s="127" t="n"/>
      <c r="N144" s="11" t="n"/>
      <c r="O144" s="11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84">
      <c r="A145" s="5" t="n"/>
      <c r="B145" s="122" t="n"/>
      <c r="C145" s="123" t="n"/>
      <c r="D145" s="123" t="n"/>
      <c r="E145" s="124" t="n"/>
      <c r="F145" s="124" t="n"/>
      <c r="G145" s="124" t="n"/>
      <c r="H145" s="125" t="n"/>
      <c r="I145" s="125" t="n"/>
      <c r="J145" s="126" t="n"/>
      <c r="K145" s="126" t="n"/>
      <c r="L145" s="126" t="n"/>
      <c r="M145" s="117" t="n"/>
      <c r="N145" s="11" t="n"/>
      <c r="O145" s="11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84">
      <c r="A146" s="5" t="n"/>
      <c r="B146" s="122" t="n"/>
      <c r="C146" s="123" t="n"/>
      <c r="D146" s="123" t="n"/>
      <c r="E146" s="124" t="n"/>
      <c r="F146" s="124" t="n"/>
      <c r="G146" s="124" t="n"/>
      <c r="H146" s="125" t="n"/>
      <c r="I146" s="125" t="n"/>
      <c r="J146" s="126" t="n"/>
      <c r="K146" s="126" t="n"/>
      <c r="L146" s="126" t="n"/>
      <c r="M146" s="117" t="n"/>
      <c r="N146" s="11" t="n"/>
      <c r="O146" s="11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84">
      <c r="A147" s="5" t="n"/>
      <c r="B147" s="122" t="n"/>
      <c r="C147" s="123" t="n"/>
      <c r="D147" s="123" t="n"/>
      <c r="E147" s="124" t="n"/>
      <c r="F147" s="124" t="n"/>
      <c r="G147" s="124" t="n"/>
      <c r="H147" s="125" t="n"/>
      <c r="I147" s="125" t="n"/>
      <c r="J147" s="126" t="n"/>
      <c r="K147" s="126" t="n"/>
      <c r="L147" s="126" t="n"/>
      <c r="M147" s="117" t="n"/>
      <c r="N147" s="11" t="n"/>
      <c r="O147" s="11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84">
      <c r="A148" s="5" t="n"/>
      <c r="B148" s="122" t="n"/>
      <c r="C148" s="123" t="n"/>
      <c r="D148" s="123" t="n"/>
      <c r="E148" s="124" t="n"/>
      <c r="F148" s="124" t="n"/>
      <c r="G148" s="124" t="n"/>
      <c r="H148" s="125" t="n"/>
      <c r="I148" s="125" t="n"/>
      <c r="J148" s="126" t="n"/>
      <c r="K148" s="126" t="n"/>
      <c r="L148" s="126" t="n"/>
      <c r="M148" s="117" t="n"/>
      <c r="N148" s="11" t="n"/>
      <c r="O148" s="11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84">
      <c r="A149" s="5" t="n"/>
      <c r="B149" s="122" t="n"/>
      <c r="C149" s="123" t="n"/>
      <c r="D149" s="123" t="n"/>
      <c r="E149" s="124" t="n"/>
      <c r="F149" s="124" t="n"/>
      <c r="G149" s="124" t="n"/>
      <c r="H149" s="125" t="n"/>
      <c r="I149" s="125" t="n"/>
      <c r="J149" s="126" t="n"/>
      <c r="K149" s="126" t="n"/>
      <c r="L149" s="126" t="n"/>
      <c r="M149" s="117" t="n"/>
      <c r="N149" s="11" t="n"/>
      <c r="O149" s="11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84">
      <c r="A150" s="5" t="n"/>
      <c r="B150" s="122" t="n"/>
      <c r="C150" s="123" t="n"/>
      <c r="D150" s="123" t="n"/>
      <c r="E150" s="124" t="n"/>
      <c r="F150" s="124" t="n"/>
      <c r="G150" s="124" t="n"/>
      <c r="H150" s="125" t="n"/>
      <c r="I150" s="125" t="n"/>
      <c r="J150" s="126" t="n"/>
      <c r="K150" s="126" t="n"/>
      <c r="L150" s="126" t="n"/>
      <c r="M150" s="117" t="n"/>
      <c r="N150" s="11" t="n"/>
      <c r="O150" s="11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84">
      <c r="A151" s="5" t="n"/>
      <c r="B151" s="122" t="n"/>
      <c r="C151" s="123" t="n"/>
      <c r="D151" s="123" t="n"/>
      <c r="E151" s="124" t="n"/>
      <c r="F151" s="124" t="n"/>
      <c r="G151" s="124" t="n"/>
      <c r="H151" s="125" t="n"/>
      <c r="I151" s="125" t="n"/>
      <c r="J151" s="126" t="n"/>
      <c r="K151" s="126" t="n"/>
      <c r="L151" s="126" t="n"/>
      <c r="M151" s="117" t="n"/>
      <c r="N151" s="11" t="n"/>
      <c r="O151" s="11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84">
      <c r="A152" s="5" t="n"/>
      <c r="B152" s="122" t="n"/>
      <c r="C152" s="123" t="n"/>
      <c r="D152" s="123" t="n"/>
      <c r="E152" s="124" t="n"/>
      <c r="F152" s="124" t="n"/>
      <c r="G152" s="124" t="n"/>
      <c r="H152" s="125" t="n"/>
      <c r="I152" s="125" t="n"/>
      <c r="J152" s="126" t="n"/>
      <c r="K152" s="126" t="n"/>
      <c r="L152" s="126" t="n"/>
      <c r="M152" s="117" t="n"/>
      <c r="N152" s="11" t="n"/>
      <c r="O152" s="11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84">
      <c r="A153" s="5" t="n"/>
      <c r="B153" s="122" t="n"/>
      <c r="C153" s="123" t="n"/>
      <c r="D153" s="123" t="n"/>
      <c r="E153" s="124" t="n"/>
      <c r="F153" s="124" t="n"/>
      <c r="G153" s="124" t="n"/>
      <c r="H153" s="125" t="n"/>
      <c r="I153" s="125" t="n"/>
      <c r="J153" s="126" t="n"/>
      <c r="K153" s="126" t="n"/>
      <c r="L153" s="126" t="n"/>
      <c r="M153" s="117" t="n"/>
      <c r="N153" s="11" t="n"/>
      <c r="O153" s="11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84">
      <c r="A154" s="5" t="n"/>
      <c r="B154" s="122" t="n"/>
      <c r="C154" s="123" t="n"/>
      <c r="D154" s="123" t="n"/>
      <c r="E154" s="124" t="n"/>
      <c r="F154" s="124" t="n"/>
      <c r="G154" s="124" t="n"/>
      <c r="H154" s="125" t="n"/>
      <c r="I154" s="125" t="n"/>
      <c r="J154" s="126" t="n"/>
      <c r="K154" s="126" t="n"/>
      <c r="L154" s="126" t="n"/>
      <c r="M154" s="117" t="n"/>
      <c r="N154" s="11" t="n"/>
      <c r="O154" s="11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84">
      <c r="A155" s="5" t="n"/>
      <c r="B155" s="122" t="n"/>
      <c r="C155" s="123" t="n"/>
      <c r="D155" s="123" t="n"/>
      <c r="E155" s="124" t="n"/>
      <c r="F155" s="124" t="n"/>
      <c r="G155" s="124" t="n"/>
      <c r="H155" s="125" t="n"/>
      <c r="I155" s="125" t="n"/>
      <c r="J155" s="126" t="n"/>
      <c r="K155" s="126" t="n"/>
      <c r="L155" s="126" t="n"/>
      <c r="M155" s="117" t="n"/>
      <c r="N155" s="11" t="n"/>
      <c r="O155" s="11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84">
      <c r="A156" s="5" t="n"/>
      <c r="B156" s="122" t="n"/>
      <c r="C156" s="123" t="n"/>
      <c r="D156" s="123" t="n"/>
      <c r="E156" s="124" t="n"/>
      <c r="F156" s="124" t="n"/>
      <c r="G156" s="124" t="n"/>
      <c r="H156" s="125" t="n"/>
      <c r="I156" s="125" t="n"/>
      <c r="J156" s="126" t="n"/>
      <c r="K156" s="126" t="n"/>
      <c r="L156" s="126" t="n"/>
      <c r="M156" s="117" t="n"/>
      <c r="N156" s="11" t="n"/>
      <c r="O156" s="11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84">
      <c r="A157" s="5" t="n"/>
      <c r="B157" s="122" t="n"/>
      <c r="C157" s="123" t="n"/>
      <c r="D157" s="123" t="n"/>
      <c r="E157" s="124" t="n"/>
      <c r="F157" s="124" t="n"/>
      <c r="G157" s="124" t="n"/>
      <c r="H157" s="125" t="n"/>
      <c r="I157" s="125" t="n"/>
      <c r="J157" s="126" t="n"/>
      <c r="K157" s="126" t="n"/>
      <c r="L157" s="126" t="n"/>
      <c r="M157" s="117" t="n"/>
      <c r="N157" s="11" t="n"/>
      <c r="O157" s="11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84">
      <c r="A158" s="5" t="n"/>
      <c r="B158" s="122" t="n"/>
      <c r="C158" s="123" t="n"/>
      <c r="D158" s="123" t="n"/>
      <c r="E158" s="124" t="n"/>
      <c r="F158" s="124" t="n"/>
      <c r="G158" s="124" t="n"/>
      <c r="H158" s="125" t="n"/>
      <c r="I158" s="125" t="n"/>
      <c r="J158" s="126" t="n"/>
      <c r="K158" s="126" t="n"/>
      <c r="L158" s="126" t="n"/>
      <c r="M158" s="117" t="n"/>
      <c r="N158" s="11" t="n"/>
      <c r="O158" s="11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84">
      <c r="A159" s="5" t="n"/>
      <c r="B159" s="122" t="n"/>
      <c r="C159" s="123" t="n"/>
      <c r="D159" s="123" t="n"/>
      <c r="E159" s="124" t="n"/>
      <c r="F159" s="124" t="n"/>
      <c r="G159" s="124" t="n"/>
      <c r="H159" s="125" t="n"/>
      <c r="I159" s="125" t="n"/>
      <c r="J159" s="126" t="n"/>
      <c r="K159" s="126" t="n"/>
      <c r="L159" s="126" t="n"/>
      <c r="M159" s="117" t="n"/>
      <c r="N159" s="11" t="n"/>
      <c r="O159" s="11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84">
      <c r="A160" s="5" t="n"/>
      <c r="B160" s="122" t="n"/>
      <c r="C160" s="123" t="n"/>
      <c r="D160" s="123" t="n"/>
      <c r="E160" s="124" t="n"/>
      <c r="F160" s="124" t="n"/>
      <c r="G160" s="124" t="n"/>
      <c r="H160" s="125" t="n"/>
      <c r="I160" s="125" t="n"/>
      <c r="J160" s="126" t="n"/>
      <c r="K160" s="126" t="n"/>
      <c r="L160" s="126" t="n"/>
      <c r="M160" s="117" t="n"/>
      <c r="N160" s="11" t="n"/>
      <c r="O160" s="11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84">
      <c r="A161" s="5" t="n"/>
      <c r="B161" s="122" t="n"/>
      <c r="C161" s="123" t="n"/>
      <c r="D161" s="123" t="n"/>
      <c r="E161" s="124" t="n"/>
      <c r="F161" s="124" t="n"/>
      <c r="G161" s="124" t="n"/>
      <c r="H161" s="125" t="n"/>
      <c r="I161" s="125" t="n"/>
      <c r="J161" s="126" t="n"/>
      <c r="K161" s="126" t="n"/>
      <c r="L161" s="126" t="n"/>
      <c r="M161" s="117" t="n"/>
      <c r="N161" s="11" t="n"/>
      <c r="O161" s="11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84">
      <c r="A162" s="5" t="n"/>
      <c r="B162" s="122" t="n"/>
      <c r="C162" s="123" t="n"/>
      <c r="D162" s="123" t="n"/>
      <c r="E162" s="124" t="n"/>
      <c r="F162" s="124" t="n"/>
      <c r="G162" s="124" t="n"/>
      <c r="H162" s="125" t="n"/>
      <c r="I162" s="125" t="n"/>
      <c r="J162" s="126" t="n"/>
      <c r="K162" s="126" t="n"/>
      <c r="L162" s="126" t="n"/>
      <c r="M162" s="117" t="n"/>
      <c r="N162" s="11" t="n"/>
      <c r="O162" s="11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84">
      <c r="A163" s="5" t="n"/>
      <c r="B163" s="122" t="n"/>
      <c r="C163" s="123" t="n"/>
      <c r="D163" s="123" t="n"/>
      <c r="E163" s="124" t="n"/>
      <c r="F163" s="124" t="n"/>
      <c r="G163" s="124" t="n"/>
      <c r="H163" s="125" t="n"/>
      <c r="I163" s="125" t="n"/>
      <c r="J163" s="126" t="n"/>
      <c r="K163" s="126" t="n"/>
      <c r="L163" s="126" t="n"/>
      <c r="M163" s="117" t="n"/>
      <c r="N163" s="11" t="n"/>
      <c r="O163" s="11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84">
      <c r="A164" s="5" t="n"/>
      <c r="B164" s="122" t="n"/>
      <c r="C164" s="123" t="n"/>
      <c r="D164" s="123" t="n"/>
      <c r="E164" s="124" t="n"/>
      <c r="F164" s="124" t="n"/>
      <c r="G164" s="124" t="n"/>
      <c r="H164" s="125" t="n"/>
      <c r="I164" s="125" t="n"/>
      <c r="J164" s="126" t="n"/>
      <c r="K164" s="126" t="n"/>
      <c r="L164" s="126" t="n"/>
      <c r="M164" s="117" t="n"/>
      <c r="N164" s="11" t="n"/>
      <c r="O164" s="11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84">
      <c r="A165" s="5" t="n"/>
      <c r="B165" s="122" t="n"/>
      <c r="C165" s="123" t="n"/>
      <c r="D165" s="123" t="n"/>
      <c r="E165" s="124" t="n"/>
      <c r="F165" s="124" t="n"/>
      <c r="G165" s="124" t="n"/>
      <c r="H165" s="125" t="n"/>
      <c r="I165" s="125" t="n"/>
      <c r="J165" s="126" t="n"/>
      <c r="K165" s="126" t="n"/>
      <c r="L165" s="126" t="n"/>
      <c r="M165" s="117" t="n"/>
      <c r="N165" s="11" t="n"/>
      <c r="O165" s="11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84">
      <c r="A166" s="5" t="n"/>
      <c r="B166" s="122" t="n"/>
      <c r="C166" s="123" t="n"/>
      <c r="D166" s="123" t="n"/>
      <c r="E166" s="124" t="n"/>
      <c r="F166" s="124" t="n"/>
      <c r="G166" s="124" t="n"/>
      <c r="H166" s="125" t="n"/>
      <c r="I166" s="125" t="n"/>
      <c r="J166" s="126" t="n"/>
      <c r="K166" s="126" t="n"/>
      <c r="L166" s="126" t="n"/>
      <c r="M166" s="117" t="n"/>
      <c r="N166" s="11" t="n"/>
      <c r="O166" s="11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84">
      <c r="A167" s="5" t="n"/>
      <c r="B167" s="122" t="n"/>
      <c r="C167" s="123" t="n"/>
      <c r="D167" s="123" t="n"/>
      <c r="E167" s="124" t="n"/>
      <c r="F167" s="124" t="n"/>
      <c r="G167" s="124" t="n"/>
      <c r="H167" s="125" t="n"/>
      <c r="I167" s="125" t="n"/>
      <c r="J167" s="126" t="n"/>
      <c r="K167" s="126" t="n"/>
      <c r="L167" s="126" t="n"/>
      <c r="M167" s="117" t="n"/>
      <c r="N167" s="11" t="n"/>
      <c r="O167" s="11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84">
      <c r="A168" s="5" t="n"/>
      <c r="B168" s="122" t="n"/>
      <c r="C168" s="123" t="n"/>
      <c r="D168" s="123" t="n"/>
      <c r="E168" s="124" t="n"/>
      <c r="F168" s="124" t="n"/>
      <c r="G168" s="124" t="n"/>
      <c r="H168" s="125" t="n"/>
      <c r="I168" s="125" t="n"/>
      <c r="J168" s="126" t="n"/>
      <c r="K168" s="126" t="n"/>
      <c r="L168" s="126" t="n"/>
      <c r="M168" s="117" t="n"/>
      <c r="N168" s="11" t="n"/>
      <c r="O168" s="11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84">
      <c r="A169" s="5" t="n"/>
      <c r="B169" s="122" t="n"/>
      <c r="C169" s="123" t="n"/>
      <c r="D169" s="123" t="n"/>
      <c r="E169" s="124" t="n"/>
      <c r="F169" s="124" t="n"/>
      <c r="G169" s="124" t="n"/>
      <c r="H169" s="125" t="n"/>
      <c r="I169" s="125" t="n"/>
      <c r="J169" s="126" t="n"/>
      <c r="K169" s="126" t="n"/>
      <c r="L169" s="126" t="n"/>
      <c r="M169" s="117" t="n"/>
      <c r="N169" s="11" t="n"/>
      <c r="O169" s="11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84">
      <c r="A170" s="5" t="n"/>
      <c r="B170" s="122" t="n"/>
      <c r="C170" s="123" t="n"/>
      <c r="D170" s="123" t="n"/>
      <c r="E170" s="124" t="n"/>
      <c r="F170" s="124" t="n"/>
      <c r="G170" s="124" t="n"/>
      <c r="H170" s="125" t="n"/>
      <c r="I170" s="125" t="n"/>
      <c r="J170" s="126" t="n"/>
      <c r="K170" s="126" t="n"/>
      <c r="L170" s="126" t="n"/>
      <c r="M170" s="117" t="n"/>
      <c r="N170" s="11" t="n"/>
      <c r="O170" s="11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84">
      <c r="A171" s="5" t="n"/>
      <c r="B171" s="122" t="n"/>
      <c r="C171" s="123" t="n"/>
      <c r="D171" s="123" t="n"/>
      <c r="E171" s="124" t="n"/>
      <c r="F171" s="124" t="n"/>
      <c r="G171" s="124" t="n"/>
      <c r="H171" s="125" t="n"/>
      <c r="I171" s="125" t="n"/>
      <c r="J171" s="126" t="n"/>
      <c r="K171" s="126" t="n"/>
      <c r="L171" s="126" t="n"/>
      <c r="M171" s="117" t="n"/>
      <c r="N171" s="11" t="n"/>
      <c r="O171" s="11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84">
      <c r="A172" s="5" t="n"/>
      <c r="B172" s="122" t="n"/>
      <c r="C172" s="123" t="n"/>
      <c r="D172" s="123" t="n"/>
      <c r="E172" s="124" t="n"/>
      <c r="F172" s="124" t="n"/>
      <c r="G172" s="124" t="n"/>
      <c r="H172" s="125" t="n"/>
      <c r="I172" s="125" t="n"/>
      <c r="J172" s="126" t="n"/>
      <c r="K172" s="126" t="n"/>
      <c r="L172" s="126" t="n"/>
      <c r="M172" s="117" t="n"/>
      <c r="N172" s="11" t="n"/>
      <c r="O172" s="11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84">
      <c r="A173" s="5" t="n"/>
      <c r="B173" s="122" t="n"/>
      <c r="C173" s="123" t="n"/>
      <c r="D173" s="123" t="n"/>
      <c r="E173" s="124" t="n"/>
      <c r="F173" s="124" t="n"/>
      <c r="G173" s="124" t="n"/>
      <c r="H173" s="125" t="n"/>
      <c r="I173" s="125" t="n"/>
      <c r="J173" s="126" t="n"/>
      <c r="K173" s="126" t="n"/>
      <c r="L173" s="126" t="n"/>
      <c r="M173" s="117" t="n"/>
      <c r="N173" s="11" t="n"/>
      <c r="O173" s="11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84">
      <c r="A174" s="5" t="n"/>
      <c r="B174" s="122" t="n"/>
      <c r="C174" s="123" t="n"/>
      <c r="D174" s="123" t="n"/>
      <c r="E174" s="124" t="n"/>
      <c r="F174" s="124" t="n"/>
      <c r="G174" s="124" t="n"/>
      <c r="H174" s="125" t="n"/>
      <c r="I174" s="125" t="n"/>
      <c r="J174" s="126" t="n"/>
      <c r="K174" s="126" t="n"/>
      <c r="L174" s="126" t="n"/>
      <c r="M174" s="117" t="n"/>
      <c r="N174" s="11" t="n"/>
      <c r="O174" s="11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84">
      <c r="A175" s="5" t="n"/>
      <c r="B175" s="122" t="n"/>
      <c r="C175" s="123" t="n"/>
      <c r="D175" s="123" t="n"/>
      <c r="E175" s="124" t="n"/>
      <c r="F175" s="124" t="n"/>
      <c r="G175" s="124" t="n"/>
      <c r="H175" s="125" t="n"/>
      <c r="I175" s="125" t="n"/>
      <c r="J175" s="126" t="n"/>
      <c r="K175" s="126" t="n"/>
      <c r="L175" s="126" t="n"/>
      <c r="M175" s="117" t="n"/>
      <c r="N175" s="11" t="n"/>
      <c r="O175" s="11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84">
      <c r="A176" s="5" t="n"/>
      <c r="B176" s="122" t="n"/>
      <c r="C176" s="123" t="n"/>
      <c r="D176" s="123" t="n"/>
      <c r="E176" s="124" t="n"/>
      <c r="F176" s="124" t="n"/>
      <c r="G176" s="124" t="n"/>
      <c r="H176" s="125" t="n"/>
      <c r="I176" s="125" t="n"/>
      <c r="J176" s="126" t="n"/>
      <c r="K176" s="126" t="n"/>
      <c r="L176" s="126" t="n"/>
      <c r="M176" s="117" t="n"/>
      <c r="N176" s="11" t="n"/>
      <c r="O176" s="11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84">
      <c r="A177" s="5" t="n"/>
      <c r="B177" s="122" t="n"/>
      <c r="C177" s="123" t="n"/>
      <c r="D177" s="123" t="n"/>
      <c r="E177" s="124" t="n"/>
      <c r="F177" s="124" t="n"/>
      <c r="G177" s="124" t="n"/>
      <c r="H177" s="125" t="n"/>
      <c r="I177" s="125" t="n"/>
      <c r="J177" s="126" t="n"/>
      <c r="K177" s="126" t="n"/>
      <c r="L177" s="126" t="n"/>
      <c r="M177" s="117" t="n"/>
      <c r="N177" s="11" t="n"/>
      <c r="O177" s="11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84">
      <c r="A178" s="5" t="n"/>
      <c r="B178" s="122" t="n"/>
      <c r="C178" s="123" t="n"/>
      <c r="D178" s="123" t="n"/>
      <c r="E178" s="124" t="n"/>
      <c r="F178" s="124" t="n"/>
      <c r="G178" s="124" t="n"/>
      <c r="H178" s="125" t="n"/>
      <c r="I178" s="125" t="n"/>
      <c r="J178" s="126" t="n"/>
      <c r="K178" s="126" t="n"/>
      <c r="L178" s="126" t="n"/>
      <c r="M178" s="117" t="n"/>
      <c r="N178" s="11" t="n"/>
      <c r="O178" s="11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84">
      <c r="A179" s="5" t="n"/>
      <c r="B179" s="122" t="n"/>
      <c r="C179" s="123" t="n"/>
      <c r="D179" s="123" t="n"/>
      <c r="E179" s="124" t="n"/>
      <c r="F179" s="124" t="n"/>
      <c r="G179" s="124" t="n"/>
      <c r="H179" s="125" t="n"/>
      <c r="I179" s="125" t="n"/>
      <c r="J179" s="126" t="n"/>
      <c r="K179" s="126" t="n"/>
      <c r="L179" s="126" t="n"/>
      <c r="M179" s="117" t="n"/>
      <c r="N179" s="11" t="n"/>
      <c r="O179" s="11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84">
      <c r="A180" s="5" t="n"/>
      <c r="B180" s="122" t="n"/>
      <c r="C180" s="123" t="n"/>
      <c r="D180" s="123" t="n"/>
      <c r="E180" s="124" t="n"/>
      <c r="F180" s="124" t="n"/>
      <c r="G180" s="124" t="n"/>
      <c r="H180" s="125" t="n"/>
      <c r="I180" s="125" t="n"/>
      <c r="J180" s="126" t="n"/>
      <c r="K180" s="126" t="n"/>
      <c r="L180" s="126" t="n"/>
      <c r="M180" s="117" t="n"/>
      <c r="N180" s="11" t="n"/>
      <c r="O180" s="11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84">
      <c r="A181" s="5" t="n"/>
      <c r="B181" s="122" t="n"/>
      <c r="C181" s="123" t="n"/>
      <c r="D181" s="123" t="n"/>
      <c r="E181" s="124" t="n"/>
      <c r="F181" s="124" t="n"/>
      <c r="G181" s="124" t="n"/>
      <c r="H181" s="125" t="n"/>
      <c r="I181" s="125" t="n"/>
      <c r="J181" s="126" t="n"/>
      <c r="K181" s="126" t="n"/>
      <c r="L181" s="126" t="n"/>
      <c r="M181" s="117" t="n"/>
      <c r="N181" s="11" t="n"/>
      <c r="O181" s="11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84">
      <c r="A182" s="5" t="n"/>
      <c r="B182" s="122" t="n"/>
      <c r="C182" s="123" t="n"/>
      <c r="D182" s="123" t="n"/>
      <c r="E182" s="124" t="n"/>
      <c r="F182" s="124" t="n"/>
      <c r="G182" s="124" t="n"/>
      <c r="H182" s="125" t="n"/>
      <c r="I182" s="125" t="n"/>
      <c r="J182" s="126" t="n"/>
      <c r="K182" s="126" t="n"/>
      <c r="L182" s="126" t="n"/>
      <c r="M182" s="117" t="n"/>
      <c r="N182" s="11" t="n"/>
      <c r="O182" s="11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84">
      <c r="A183" s="5" t="n"/>
      <c r="B183" s="122" t="n"/>
      <c r="C183" s="123" t="n"/>
      <c r="D183" s="123" t="n"/>
      <c r="E183" s="124" t="n"/>
      <c r="F183" s="124" t="n"/>
      <c r="G183" s="124" t="n"/>
      <c r="H183" s="125" t="n"/>
      <c r="I183" s="125" t="n"/>
      <c r="J183" s="126" t="n"/>
      <c r="K183" s="126" t="n"/>
      <c r="L183" s="126" t="n"/>
      <c r="M183" s="117" t="n"/>
      <c r="N183" s="11" t="n"/>
      <c r="O183" s="11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84">
      <c r="A184" s="5" t="n"/>
      <c r="B184" s="122" t="n"/>
      <c r="C184" s="123" t="n"/>
      <c r="D184" s="123" t="n"/>
      <c r="E184" s="124" t="n"/>
      <c r="F184" s="124" t="n"/>
      <c r="G184" s="124" t="n"/>
      <c r="H184" s="125" t="n"/>
      <c r="I184" s="125" t="n"/>
      <c r="J184" s="126" t="n"/>
      <c r="K184" s="126" t="n"/>
      <c r="L184" s="126" t="n"/>
      <c r="M184" s="117" t="n"/>
      <c r="N184" s="11" t="n"/>
      <c r="O184" s="11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84">
      <c r="A185" s="5" t="n"/>
      <c r="B185" s="122" t="n"/>
      <c r="C185" s="123" t="n"/>
      <c r="D185" s="123" t="n"/>
      <c r="E185" s="124" t="n"/>
      <c r="F185" s="124" t="n"/>
      <c r="G185" s="124" t="n"/>
      <c r="H185" s="125" t="n"/>
      <c r="I185" s="125" t="n"/>
      <c r="J185" s="126" t="n"/>
      <c r="K185" s="126" t="n"/>
      <c r="L185" s="126" t="n"/>
      <c r="M185" s="117" t="n"/>
      <c r="N185" s="11" t="n"/>
      <c r="O185" s="11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84">
      <c r="A186" s="5" t="n"/>
      <c r="B186" s="122" t="n"/>
      <c r="C186" s="123" t="n"/>
      <c r="D186" s="123" t="n"/>
      <c r="E186" s="124" t="n"/>
      <c r="F186" s="124" t="n"/>
      <c r="G186" s="124" t="n"/>
      <c r="H186" s="125" t="n"/>
      <c r="I186" s="125" t="n"/>
      <c r="J186" s="126" t="n"/>
      <c r="K186" s="126" t="n"/>
      <c r="L186" s="126" t="n"/>
      <c r="M186" s="117" t="n"/>
      <c r="N186" s="11" t="n"/>
      <c r="O186" s="11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84">
      <c r="A187" s="5" t="n"/>
      <c r="B187" s="122" t="n"/>
      <c r="C187" s="123" t="n"/>
      <c r="D187" s="123" t="n"/>
      <c r="E187" s="124" t="n"/>
      <c r="F187" s="124" t="n"/>
      <c r="G187" s="124" t="n"/>
      <c r="H187" s="125" t="n"/>
      <c r="I187" s="125" t="n"/>
      <c r="J187" s="126" t="n"/>
      <c r="K187" s="126" t="n"/>
      <c r="L187" s="126" t="n"/>
      <c r="M187" s="117" t="n"/>
      <c r="N187" s="11" t="n"/>
      <c r="O187" s="11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84">
      <c r="A188" s="5" t="n"/>
      <c r="B188" s="122" t="n"/>
      <c r="C188" s="123" t="n"/>
      <c r="D188" s="123" t="n"/>
      <c r="E188" s="124" t="n"/>
      <c r="F188" s="124" t="n"/>
      <c r="G188" s="124" t="n"/>
      <c r="H188" s="125" t="n"/>
      <c r="I188" s="125" t="n"/>
      <c r="J188" s="126" t="n"/>
      <c r="K188" s="126" t="n"/>
      <c r="L188" s="126" t="n"/>
      <c r="M188" s="117" t="n"/>
      <c r="N188" s="11" t="n"/>
      <c r="O188" s="11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84">
      <c r="A189" s="5" t="n"/>
      <c r="B189" s="122" t="n"/>
      <c r="C189" s="123" t="n"/>
      <c r="D189" s="123" t="n"/>
      <c r="E189" s="124" t="n"/>
      <c r="F189" s="124" t="n"/>
      <c r="G189" s="124" t="n"/>
      <c r="H189" s="125" t="n"/>
      <c r="I189" s="125" t="n"/>
      <c r="J189" s="126" t="n"/>
      <c r="K189" s="126" t="n"/>
      <c r="L189" s="126" t="n"/>
      <c r="M189" s="117" t="n"/>
      <c r="N189" s="11" t="n"/>
      <c r="O189" s="11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84">
      <c r="A190" s="5" t="n"/>
      <c r="B190" s="122" t="n"/>
      <c r="C190" s="123" t="n"/>
      <c r="D190" s="123" t="n"/>
      <c r="E190" s="124" t="n"/>
      <c r="F190" s="124" t="n"/>
      <c r="G190" s="124" t="n"/>
      <c r="H190" s="125" t="n"/>
      <c r="I190" s="125" t="n"/>
      <c r="J190" s="126" t="n"/>
      <c r="K190" s="126" t="n"/>
      <c r="L190" s="126" t="n"/>
      <c r="M190" s="117" t="n"/>
      <c r="N190" s="11" t="n"/>
      <c r="O190" s="11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84">
      <c r="A191" s="5" t="n"/>
      <c r="B191" s="122" t="n"/>
      <c r="C191" s="123" t="n"/>
      <c r="D191" s="123" t="n"/>
      <c r="E191" s="124" t="n"/>
      <c r="F191" s="124" t="n"/>
      <c r="G191" s="124" t="n"/>
      <c r="H191" s="125" t="n"/>
      <c r="I191" s="125" t="n"/>
      <c r="J191" s="126" t="n"/>
      <c r="K191" s="126" t="n"/>
      <c r="L191" s="126" t="n"/>
      <c r="M191" s="117" t="n"/>
      <c r="N191" s="11" t="n"/>
      <c r="O191" s="11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84">
      <c r="A192" s="5" t="n"/>
      <c r="B192" s="122" t="n"/>
      <c r="C192" s="123" t="n"/>
      <c r="D192" s="123" t="n"/>
      <c r="E192" s="124" t="n"/>
      <c r="F192" s="124" t="n"/>
      <c r="G192" s="124" t="n"/>
      <c r="H192" s="125" t="n"/>
      <c r="I192" s="125" t="n"/>
      <c r="J192" s="126" t="n"/>
      <c r="K192" s="126" t="n"/>
      <c r="L192" s="126" t="n"/>
      <c r="M192" s="117" t="n"/>
      <c r="N192" s="11" t="n"/>
      <c r="O192" s="11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84">
      <c r="A193" s="5" t="n"/>
      <c r="B193" s="122" t="n"/>
      <c r="C193" s="123" t="n"/>
      <c r="D193" s="123" t="n"/>
      <c r="E193" s="124" t="n"/>
      <c r="F193" s="124" t="n"/>
      <c r="G193" s="124" t="n"/>
      <c r="H193" s="125" t="n"/>
      <c r="I193" s="125" t="n"/>
      <c r="J193" s="126" t="n"/>
      <c r="K193" s="126" t="n"/>
      <c r="L193" s="126" t="n"/>
      <c r="M193" s="117" t="n"/>
      <c r="N193" s="11" t="n"/>
      <c r="O193" s="11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84">
      <c r="A194" s="5" t="n"/>
      <c r="B194" s="122" t="n"/>
      <c r="C194" s="123" t="n"/>
      <c r="D194" s="123" t="n"/>
      <c r="E194" s="124" t="n"/>
      <c r="F194" s="124" t="n"/>
      <c r="G194" s="124" t="n"/>
      <c r="H194" s="125" t="n"/>
      <c r="I194" s="125" t="n"/>
      <c r="J194" s="126" t="n"/>
      <c r="K194" s="126" t="n"/>
      <c r="L194" s="126" t="n"/>
      <c r="M194" s="117" t="n"/>
      <c r="N194" s="11" t="n"/>
      <c r="O194" s="11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84">
      <c r="A195" s="5" t="n"/>
      <c r="B195" s="122" t="n"/>
      <c r="C195" s="123" t="n"/>
      <c r="D195" s="123" t="n"/>
      <c r="E195" s="124" t="n"/>
      <c r="F195" s="124" t="n"/>
      <c r="G195" s="124" t="n"/>
      <c r="H195" s="125" t="n"/>
      <c r="I195" s="125" t="n"/>
      <c r="J195" s="126" t="n"/>
      <c r="K195" s="126" t="n"/>
      <c r="L195" s="126" t="n"/>
      <c r="M195" s="117" t="n"/>
      <c r="N195" s="11" t="n"/>
      <c r="O195" s="11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84">
      <c r="A196" s="5" t="n"/>
      <c r="B196" s="122" t="n"/>
      <c r="C196" s="123" t="n"/>
      <c r="D196" s="123" t="n"/>
      <c r="E196" s="124" t="n"/>
      <c r="F196" s="124" t="n"/>
      <c r="G196" s="124" t="n"/>
      <c r="H196" s="125" t="n"/>
      <c r="I196" s="125" t="n"/>
      <c r="J196" s="126" t="n"/>
      <c r="K196" s="126" t="n"/>
      <c r="L196" s="126" t="n"/>
      <c r="M196" s="117" t="n"/>
      <c r="N196" s="11" t="n"/>
      <c r="O196" s="11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84">
      <c r="A197" s="5" t="n"/>
      <c r="B197" s="122" t="n"/>
      <c r="C197" s="123" t="n"/>
      <c r="D197" s="123" t="n"/>
      <c r="E197" s="124" t="n"/>
      <c r="F197" s="124" t="n"/>
      <c r="G197" s="124" t="n"/>
      <c r="H197" s="125" t="n"/>
      <c r="I197" s="125" t="n"/>
      <c r="J197" s="126" t="n"/>
      <c r="K197" s="126" t="n"/>
      <c r="L197" s="126" t="n"/>
      <c r="M197" s="117" t="n"/>
      <c r="N197" s="11" t="n"/>
      <c r="O197" s="11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84">
      <c r="A198" s="5" t="n"/>
      <c r="B198" s="122" t="n"/>
      <c r="C198" s="123" t="n"/>
      <c r="D198" s="123" t="n"/>
      <c r="E198" s="124" t="n"/>
      <c r="F198" s="124" t="n"/>
      <c r="G198" s="124" t="n"/>
      <c r="H198" s="125" t="n"/>
      <c r="I198" s="125" t="n"/>
      <c r="J198" s="126" t="n"/>
      <c r="K198" s="126" t="n"/>
      <c r="L198" s="126" t="n"/>
      <c r="M198" s="117" t="n"/>
      <c r="N198" s="11" t="n"/>
      <c r="O198" s="11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84">
      <c r="A199" s="5" t="n"/>
      <c r="B199" s="122" t="n"/>
      <c r="C199" s="123" t="n"/>
      <c r="D199" s="123" t="n"/>
      <c r="E199" s="124" t="n"/>
      <c r="F199" s="124" t="n"/>
      <c r="G199" s="124" t="n"/>
      <c r="H199" s="125" t="n"/>
      <c r="I199" s="125" t="n"/>
      <c r="J199" s="126" t="n"/>
      <c r="K199" s="126" t="n"/>
      <c r="L199" s="126" t="n"/>
      <c r="M199" s="117" t="n"/>
      <c r="N199" s="11" t="n"/>
      <c r="O199" s="11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84">
      <c r="A200" s="5" t="n"/>
      <c r="B200" s="122" t="n"/>
      <c r="C200" s="123" t="n"/>
      <c r="D200" s="123" t="n"/>
      <c r="E200" s="124" t="n"/>
      <c r="F200" s="124" t="n"/>
      <c r="G200" s="124" t="n"/>
      <c r="H200" s="125" t="n"/>
      <c r="I200" s="125" t="n"/>
      <c r="J200" s="126" t="n"/>
      <c r="K200" s="126" t="n"/>
      <c r="L200" s="126" t="n"/>
      <c r="M200" s="117" t="n"/>
      <c r="N200" s="11" t="n"/>
      <c r="O200" s="11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84">
      <c r="A201" s="5" t="n"/>
      <c r="B201" s="122" t="n"/>
      <c r="C201" s="123" t="n"/>
      <c r="D201" s="123" t="n"/>
      <c r="E201" s="124" t="n"/>
      <c r="F201" s="124" t="n"/>
      <c r="G201" s="124" t="n"/>
      <c r="H201" s="125" t="n"/>
      <c r="I201" s="125" t="n"/>
      <c r="J201" s="126" t="n"/>
      <c r="K201" s="126" t="n"/>
      <c r="L201" s="126" t="n"/>
      <c r="M201" s="117" t="n"/>
      <c r="N201" s="11" t="n"/>
      <c r="O201" s="11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84">
      <c r="A202" s="5" t="n"/>
      <c r="B202" s="122" t="n"/>
      <c r="C202" s="123" t="n"/>
      <c r="D202" s="123" t="n"/>
      <c r="E202" s="124" t="n"/>
      <c r="F202" s="124" t="n"/>
      <c r="G202" s="124" t="n"/>
      <c r="H202" s="125" t="n"/>
      <c r="I202" s="125" t="n"/>
      <c r="J202" s="126" t="n"/>
      <c r="K202" s="126" t="n"/>
      <c r="L202" s="126" t="n"/>
      <c r="M202" s="117" t="n"/>
      <c r="N202" s="11" t="n"/>
      <c r="O202" s="11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84">
      <c r="A203" s="5" t="n"/>
      <c r="B203" s="122" t="n"/>
      <c r="C203" s="123" t="n"/>
      <c r="D203" s="123" t="n"/>
      <c r="E203" s="124" t="n"/>
      <c r="F203" s="124" t="n"/>
      <c r="G203" s="124" t="n"/>
      <c r="H203" s="125" t="n"/>
      <c r="I203" s="125" t="n"/>
      <c r="J203" s="126" t="n"/>
      <c r="K203" s="126" t="n"/>
      <c r="L203" s="126" t="n"/>
      <c r="M203" s="117" t="n"/>
      <c r="N203" s="11" t="n"/>
      <c r="O203" s="11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84">
      <c r="A204" s="5" t="n"/>
      <c r="B204" s="122" t="n"/>
      <c r="C204" s="123" t="n"/>
      <c r="D204" s="123" t="n"/>
      <c r="E204" s="124" t="n"/>
      <c r="F204" s="124" t="n"/>
      <c r="G204" s="124" t="n"/>
      <c r="H204" s="125" t="n"/>
      <c r="I204" s="125" t="n"/>
      <c r="J204" s="126" t="n"/>
      <c r="K204" s="126" t="n"/>
      <c r="L204" s="126" t="n"/>
      <c r="M204" s="117" t="n"/>
      <c r="N204" s="11" t="n"/>
      <c r="O204" s="11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84">
      <c r="A205" s="5" t="n"/>
      <c r="B205" s="122" t="n"/>
      <c r="C205" s="123" t="n"/>
      <c r="D205" s="123" t="n"/>
      <c r="E205" s="124" t="n"/>
      <c r="F205" s="124" t="n"/>
      <c r="G205" s="124" t="n"/>
      <c r="H205" s="125" t="n"/>
      <c r="I205" s="125" t="n"/>
      <c r="J205" s="126" t="n"/>
      <c r="K205" s="126" t="n"/>
      <c r="L205" s="126" t="n"/>
      <c r="M205" s="117" t="n"/>
      <c r="N205" s="11" t="n"/>
      <c r="O205" s="11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84">
      <c r="A206" s="5" t="n"/>
      <c r="B206" s="122" t="n"/>
      <c r="C206" s="123" t="n"/>
      <c r="D206" s="123" t="n"/>
      <c r="E206" s="124" t="n"/>
      <c r="F206" s="124" t="n"/>
      <c r="G206" s="124" t="n"/>
      <c r="H206" s="125" t="n"/>
      <c r="I206" s="125" t="n"/>
      <c r="J206" s="126" t="n"/>
      <c r="K206" s="126" t="n"/>
      <c r="L206" s="126" t="n"/>
      <c r="M206" s="117" t="n"/>
      <c r="N206" s="11" t="n"/>
      <c r="O206" s="11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84">
      <c r="A207" s="5" t="n"/>
      <c r="B207" s="122" t="n"/>
      <c r="C207" s="123" t="n"/>
      <c r="D207" s="123" t="n"/>
      <c r="E207" s="124" t="n"/>
      <c r="F207" s="124" t="n"/>
      <c r="G207" s="124" t="n"/>
      <c r="H207" s="125" t="n"/>
      <c r="I207" s="125" t="n"/>
      <c r="J207" s="126" t="n"/>
      <c r="K207" s="126" t="n"/>
      <c r="L207" s="126" t="n"/>
      <c r="M207" s="117" t="n"/>
      <c r="N207" s="11" t="n"/>
      <c r="O207" s="11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84">
      <c r="A208" s="5" t="n"/>
      <c r="B208" s="122" t="n"/>
      <c r="C208" s="123" t="n"/>
      <c r="D208" s="123" t="n"/>
      <c r="E208" s="124" t="n"/>
      <c r="F208" s="124" t="n"/>
      <c r="G208" s="124" t="n"/>
      <c r="H208" s="125" t="n"/>
      <c r="I208" s="125" t="n"/>
      <c r="J208" s="126" t="n"/>
      <c r="K208" s="126" t="n"/>
      <c r="L208" s="126" t="n"/>
      <c r="M208" s="117" t="n"/>
      <c r="N208" s="11" t="n"/>
      <c r="O208" s="11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84">
      <c r="A209" s="5" t="n"/>
      <c r="B209" s="122" t="n"/>
      <c r="C209" s="123" t="n"/>
      <c r="D209" s="123" t="n"/>
      <c r="E209" s="124" t="n"/>
      <c r="F209" s="124" t="n"/>
      <c r="G209" s="124" t="n"/>
      <c r="H209" s="125" t="n"/>
      <c r="I209" s="125" t="n"/>
      <c r="J209" s="126" t="n"/>
      <c r="K209" s="126" t="n"/>
      <c r="L209" s="126" t="n"/>
      <c r="M209" s="117" t="n"/>
      <c r="N209" s="11" t="n"/>
      <c r="O209" s="11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84">
      <c r="A210" s="5" t="n"/>
      <c r="B210" s="122" t="n"/>
      <c r="C210" s="123" t="n"/>
      <c r="D210" s="123" t="n"/>
      <c r="E210" s="124" t="n"/>
      <c r="F210" s="124" t="n"/>
      <c r="G210" s="124" t="n"/>
      <c r="H210" s="125" t="n"/>
      <c r="I210" s="125" t="n"/>
      <c r="J210" s="126" t="n"/>
      <c r="K210" s="126" t="n"/>
      <c r="L210" s="126" t="n"/>
      <c r="M210" s="117" t="n"/>
      <c r="N210" s="11" t="n"/>
      <c r="O210" s="11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84">
      <c r="A211" s="5" t="n"/>
      <c r="B211" s="122" t="n"/>
      <c r="C211" s="123" t="n"/>
      <c r="D211" s="123" t="n"/>
      <c r="E211" s="124" t="n"/>
      <c r="F211" s="124" t="n"/>
      <c r="G211" s="124" t="n"/>
      <c r="H211" s="125" t="n"/>
      <c r="I211" s="125" t="n"/>
      <c r="J211" s="126" t="n"/>
      <c r="K211" s="126" t="n"/>
      <c r="L211" s="126" t="n"/>
      <c r="M211" s="117" t="n"/>
      <c r="N211" s="11" t="n"/>
      <c r="O211" s="11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84">
      <c r="A212" s="5" t="n"/>
      <c r="B212" s="122" t="n"/>
      <c r="C212" s="123" t="n"/>
      <c r="D212" s="123" t="n"/>
      <c r="E212" s="124" t="n"/>
      <c r="F212" s="124" t="n"/>
      <c r="G212" s="124" t="n"/>
      <c r="H212" s="125" t="n"/>
      <c r="I212" s="125" t="n"/>
      <c r="J212" s="126" t="n"/>
      <c r="K212" s="126" t="n"/>
      <c r="L212" s="126" t="n"/>
      <c r="M212" s="117" t="n"/>
      <c r="N212" s="11" t="n"/>
      <c r="O212" s="11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84">
      <c r="A213" s="5" t="n"/>
      <c r="B213" s="122" t="n"/>
      <c r="C213" s="123" t="n"/>
      <c r="D213" s="123" t="n"/>
      <c r="E213" s="124" t="n"/>
      <c r="F213" s="124" t="n"/>
      <c r="G213" s="124" t="n"/>
      <c r="H213" s="125" t="n"/>
      <c r="I213" s="125" t="n"/>
      <c r="J213" s="126" t="n"/>
      <c r="K213" s="126" t="n"/>
      <c r="L213" s="126" t="n"/>
      <c r="M213" s="117" t="n"/>
      <c r="N213" s="11" t="n"/>
      <c r="O213" s="11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84">
      <c r="A214" s="5" t="n"/>
      <c r="B214" s="122" t="n"/>
      <c r="C214" s="123" t="n"/>
      <c r="D214" s="123" t="n"/>
      <c r="E214" s="124" t="n"/>
      <c r="F214" s="124" t="n"/>
      <c r="G214" s="124" t="n"/>
      <c r="H214" s="125" t="n"/>
      <c r="I214" s="125" t="n"/>
      <c r="J214" s="126" t="n"/>
      <c r="K214" s="126" t="n"/>
      <c r="L214" s="126" t="n"/>
      <c r="M214" s="117" t="n"/>
      <c r="N214" s="11" t="n"/>
      <c r="O214" s="11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84">
      <c r="A215" s="5" t="n"/>
      <c r="B215" s="122" t="n"/>
      <c r="C215" s="123" t="n"/>
      <c r="D215" s="123" t="n"/>
      <c r="E215" s="124" t="n"/>
      <c r="F215" s="124" t="n"/>
      <c r="G215" s="124" t="n"/>
      <c r="H215" s="125" t="n"/>
      <c r="I215" s="125" t="n"/>
      <c r="J215" s="126" t="n"/>
      <c r="K215" s="126" t="n"/>
      <c r="L215" s="126" t="n"/>
      <c r="M215" s="117" t="n"/>
      <c r="N215" s="11" t="n"/>
      <c r="O215" s="11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84">
      <c r="A216" s="5" t="n"/>
      <c r="B216" s="122" t="n"/>
      <c r="C216" s="123" t="n"/>
      <c r="D216" s="123" t="n"/>
      <c r="E216" s="124" t="n"/>
      <c r="F216" s="124" t="n"/>
      <c r="G216" s="124" t="n"/>
      <c r="H216" s="125" t="n"/>
      <c r="I216" s="125" t="n"/>
      <c r="J216" s="126" t="n"/>
      <c r="K216" s="126" t="n"/>
      <c r="L216" s="126" t="n"/>
      <c r="M216" s="117" t="n"/>
      <c r="N216" s="11" t="n"/>
      <c r="O216" s="11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84">
      <c r="A217" s="5" t="n"/>
      <c r="B217" s="122" t="n"/>
      <c r="C217" s="123" t="n"/>
      <c r="D217" s="123" t="n"/>
      <c r="E217" s="124" t="n"/>
      <c r="F217" s="124" t="n"/>
      <c r="G217" s="124" t="n"/>
      <c r="H217" s="125" t="n"/>
      <c r="I217" s="125" t="n"/>
      <c r="J217" s="126" t="n"/>
      <c r="K217" s="126" t="n"/>
      <c r="L217" s="126" t="n"/>
      <c r="M217" s="117" t="n"/>
      <c r="N217" s="11" t="n"/>
      <c r="O217" s="11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84">
      <c r="A218" s="5" t="n"/>
      <c r="B218" s="122" t="n"/>
      <c r="C218" s="123" t="n"/>
      <c r="D218" s="123" t="n"/>
      <c r="E218" s="124" t="n"/>
      <c r="F218" s="124" t="n"/>
      <c r="G218" s="124" t="n"/>
      <c r="H218" s="125" t="n"/>
      <c r="I218" s="125" t="n"/>
      <c r="J218" s="126" t="n"/>
      <c r="K218" s="126" t="n"/>
      <c r="L218" s="126" t="n"/>
      <c r="M218" s="117" t="n"/>
      <c r="N218" s="11" t="n"/>
      <c r="O218" s="11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84">
      <c r="A219" s="5" t="n"/>
      <c r="B219" s="122" t="n"/>
      <c r="C219" s="123" t="n"/>
      <c r="D219" s="123" t="n"/>
      <c r="E219" s="124" t="n"/>
      <c r="F219" s="124" t="n"/>
      <c r="G219" s="124" t="n"/>
      <c r="H219" s="125" t="n"/>
      <c r="I219" s="125" t="n"/>
      <c r="J219" s="126" t="n"/>
      <c r="K219" s="126" t="n"/>
      <c r="L219" s="126" t="n"/>
      <c r="M219" s="117" t="n"/>
      <c r="N219" s="11" t="n"/>
      <c r="O219" s="11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84">
      <c r="A220" s="5" t="n"/>
      <c r="B220" s="122" t="n"/>
      <c r="C220" s="123" t="n"/>
      <c r="D220" s="123" t="n"/>
      <c r="E220" s="124" t="n"/>
      <c r="F220" s="124" t="n"/>
      <c r="G220" s="124" t="n"/>
      <c r="H220" s="125" t="n"/>
      <c r="I220" s="125" t="n"/>
      <c r="J220" s="126" t="n"/>
      <c r="K220" s="126" t="n"/>
      <c r="L220" s="126" t="n"/>
      <c r="M220" s="117" t="n"/>
      <c r="N220" s="11" t="n"/>
      <c r="O220" s="11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84">
      <c r="A221" s="5" t="n"/>
      <c r="B221" s="122" t="n"/>
      <c r="C221" s="123" t="n"/>
      <c r="D221" s="123" t="n"/>
      <c r="E221" s="124" t="n"/>
      <c r="F221" s="124" t="n"/>
      <c r="G221" s="124" t="n"/>
      <c r="H221" s="125" t="n"/>
      <c r="I221" s="125" t="n"/>
      <c r="J221" s="126" t="n"/>
      <c r="K221" s="126" t="n"/>
      <c r="L221" s="126" t="n"/>
      <c r="M221" s="117" t="n"/>
      <c r="N221" s="11" t="n"/>
      <c r="O221" s="11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84">
      <c r="A222" s="5" t="n"/>
      <c r="B222" s="122" t="n"/>
      <c r="C222" s="123" t="n"/>
      <c r="D222" s="123" t="n"/>
      <c r="E222" s="124" t="n"/>
      <c r="F222" s="124" t="n"/>
      <c r="G222" s="124" t="n"/>
      <c r="H222" s="125" t="n"/>
      <c r="I222" s="125" t="n"/>
      <c r="J222" s="126" t="n"/>
      <c r="K222" s="126" t="n"/>
      <c r="L222" s="126" t="n"/>
      <c r="M222" s="117" t="n"/>
      <c r="N222" s="11" t="n"/>
      <c r="O222" s="11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84">
      <c r="A223" s="5" t="n"/>
      <c r="B223" s="122" t="n"/>
      <c r="C223" s="123" t="n"/>
      <c r="D223" s="123" t="n"/>
      <c r="E223" s="124" t="n"/>
      <c r="F223" s="124" t="n"/>
      <c r="G223" s="124" t="n"/>
      <c r="H223" s="125" t="n"/>
      <c r="I223" s="125" t="n"/>
      <c r="J223" s="126" t="n"/>
      <c r="K223" s="126" t="n"/>
      <c r="L223" s="126" t="n"/>
      <c r="M223" s="117" t="n"/>
      <c r="N223" s="11" t="n"/>
      <c r="O223" s="11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84">
      <c r="A224" s="5" t="n"/>
      <c r="B224" s="122" t="n"/>
      <c r="C224" s="123" t="n"/>
      <c r="D224" s="123" t="n"/>
      <c r="E224" s="124" t="n"/>
      <c r="F224" s="124" t="n"/>
      <c r="G224" s="124" t="n"/>
      <c r="H224" s="125" t="n"/>
      <c r="I224" s="125" t="n"/>
      <c r="J224" s="126" t="n"/>
      <c r="K224" s="126" t="n"/>
      <c r="L224" s="126" t="n"/>
      <c r="M224" s="117" t="n"/>
      <c r="N224" s="11" t="n"/>
      <c r="O224" s="11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84">
      <c r="A225" s="5" t="n"/>
      <c r="B225" s="122" t="n"/>
      <c r="C225" s="123" t="n"/>
      <c r="D225" s="123" t="n"/>
      <c r="E225" s="124" t="n"/>
      <c r="F225" s="124" t="n"/>
      <c r="G225" s="124" t="n"/>
      <c r="H225" s="125" t="n"/>
      <c r="I225" s="125" t="n"/>
      <c r="J225" s="126" t="n"/>
      <c r="K225" s="126" t="n"/>
      <c r="L225" s="126" t="n"/>
      <c r="M225" s="117" t="n"/>
      <c r="N225" s="11" t="n"/>
      <c r="O225" s="11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84">
      <c r="A226" s="5" t="n"/>
      <c r="B226" s="122" t="n"/>
      <c r="C226" s="123" t="n"/>
      <c r="D226" s="123" t="n"/>
      <c r="E226" s="124" t="n"/>
      <c r="F226" s="124" t="n"/>
      <c r="G226" s="124" t="n"/>
      <c r="H226" s="125" t="n"/>
      <c r="I226" s="125" t="n"/>
      <c r="J226" s="126" t="n"/>
      <c r="K226" s="126" t="n"/>
      <c r="L226" s="126" t="n"/>
      <c r="M226" s="117" t="n"/>
      <c r="N226" s="11" t="n"/>
      <c r="O226" s="11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84">
      <c r="A227" s="5" t="n"/>
      <c r="B227" s="122" t="n"/>
      <c r="C227" s="123" t="n"/>
      <c r="D227" s="123" t="n"/>
      <c r="E227" s="124" t="n"/>
      <c r="F227" s="124" t="n"/>
      <c r="G227" s="124" t="n"/>
      <c r="H227" s="125" t="n"/>
      <c r="I227" s="125" t="n"/>
      <c r="J227" s="126" t="n"/>
      <c r="K227" s="126" t="n"/>
      <c r="L227" s="126" t="n"/>
      <c r="M227" s="117" t="n"/>
      <c r="N227" s="11" t="n"/>
      <c r="O227" s="11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84">
      <c r="A228" s="5" t="n"/>
      <c r="B228" s="122" t="n"/>
      <c r="C228" s="123" t="n"/>
      <c r="D228" s="123" t="n"/>
      <c r="E228" s="124" t="n"/>
      <c r="F228" s="124" t="n"/>
      <c r="G228" s="124" t="n"/>
      <c r="H228" s="125" t="n"/>
      <c r="I228" s="125" t="n"/>
      <c r="J228" s="126" t="n"/>
      <c r="K228" s="126" t="n"/>
      <c r="L228" s="126" t="n"/>
      <c r="M228" s="117" t="n"/>
      <c r="N228" s="11" t="n"/>
      <c r="O228" s="11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84">
      <c r="A229" s="5" t="n"/>
      <c r="B229" s="122" t="n"/>
      <c r="C229" s="123" t="n"/>
      <c r="D229" s="123" t="n"/>
      <c r="E229" s="124" t="n"/>
      <c r="F229" s="124" t="n"/>
      <c r="G229" s="124" t="n"/>
      <c r="H229" s="125" t="n"/>
      <c r="I229" s="125" t="n"/>
      <c r="J229" s="126" t="n"/>
      <c r="K229" s="126" t="n"/>
      <c r="L229" s="126" t="n"/>
      <c r="M229" s="117" t="n"/>
      <c r="N229" s="11" t="n"/>
      <c r="O229" s="11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84">
      <c r="A230" s="5" t="n"/>
      <c r="B230" s="122" t="n"/>
      <c r="C230" s="123" t="n"/>
      <c r="D230" s="123" t="n"/>
      <c r="E230" s="124" t="n"/>
      <c r="F230" s="124" t="n"/>
      <c r="G230" s="124" t="n"/>
      <c r="H230" s="125" t="n"/>
      <c r="I230" s="125" t="n"/>
      <c r="J230" s="126" t="n"/>
      <c r="K230" s="126" t="n"/>
      <c r="L230" s="126" t="n"/>
      <c r="M230" s="117" t="n"/>
      <c r="N230" s="11" t="n"/>
      <c r="O230" s="11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84">
      <c r="A231" s="5" t="n"/>
      <c r="B231" s="122" t="n"/>
      <c r="C231" s="123" t="n"/>
      <c r="D231" s="123" t="n"/>
      <c r="E231" s="124" t="n"/>
      <c r="F231" s="124" t="n"/>
      <c r="G231" s="124" t="n"/>
      <c r="H231" s="125" t="n"/>
      <c r="I231" s="125" t="n"/>
      <c r="J231" s="126" t="n"/>
      <c r="K231" s="126" t="n"/>
      <c r="L231" s="126" t="n"/>
      <c r="M231" s="117" t="n"/>
      <c r="N231" s="11" t="n"/>
      <c r="O231" s="11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84">
      <c r="A232" s="5" t="n"/>
      <c r="B232" s="122" t="n"/>
      <c r="C232" s="123" t="n"/>
      <c r="D232" s="123" t="n"/>
      <c r="E232" s="124" t="n"/>
      <c r="F232" s="124" t="n"/>
      <c r="G232" s="124" t="n"/>
      <c r="H232" s="125" t="n"/>
      <c r="I232" s="125" t="n"/>
      <c r="J232" s="126" t="n"/>
      <c r="K232" s="126" t="n"/>
      <c r="L232" s="126" t="n"/>
      <c r="M232" s="117" t="n"/>
      <c r="N232" s="11" t="n"/>
      <c r="O232" s="11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84">
      <c r="A233" s="5" t="n"/>
      <c r="B233" s="122" t="n"/>
      <c r="C233" s="123" t="n"/>
      <c r="D233" s="123" t="n"/>
      <c r="E233" s="124" t="n"/>
      <c r="F233" s="124" t="n"/>
      <c r="G233" s="124" t="n"/>
      <c r="H233" s="125" t="n"/>
      <c r="I233" s="125" t="n"/>
      <c r="J233" s="126" t="n"/>
      <c r="K233" s="126" t="n"/>
      <c r="L233" s="126" t="n"/>
      <c r="M233" s="117" t="n"/>
      <c r="N233" s="11" t="n"/>
      <c r="O233" s="11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84">
      <c r="A234" s="5" t="n"/>
      <c r="B234" s="122" t="n"/>
      <c r="C234" s="123" t="n"/>
      <c r="D234" s="123" t="n"/>
      <c r="E234" s="124" t="n"/>
      <c r="F234" s="124" t="n"/>
      <c r="G234" s="124" t="n"/>
      <c r="H234" s="125" t="n"/>
      <c r="I234" s="125" t="n"/>
      <c r="J234" s="126" t="n"/>
      <c r="K234" s="126" t="n"/>
      <c r="L234" s="126" t="n"/>
      <c r="M234" s="117" t="n"/>
      <c r="N234" s="11" t="n"/>
      <c r="O234" s="11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84">
      <c r="A235" s="5" t="n"/>
      <c r="B235" s="122" t="n"/>
      <c r="C235" s="123" t="n"/>
      <c r="D235" s="123" t="n"/>
      <c r="E235" s="124" t="n"/>
      <c r="F235" s="124" t="n"/>
      <c r="G235" s="124" t="n"/>
      <c r="H235" s="125" t="n"/>
      <c r="I235" s="125" t="n"/>
      <c r="J235" s="126" t="n"/>
      <c r="K235" s="126" t="n"/>
      <c r="L235" s="126" t="n"/>
      <c r="M235" s="117" t="n"/>
      <c r="N235" s="11" t="n"/>
      <c r="O235" s="11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84">
      <c r="A236" s="5" t="n"/>
      <c r="B236" s="122" t="n"/>
      <c r="C236" s="123" t="n"/>
      <c r="D236" s="123" t="n"/>
      <c r="E236" s="124" t="n"/>
      <c r="F236" s="124" t="n"/>
      <c r="G236" s="124" t="n"/>
      <c r="H236" s="125" t="n"/>
      <c r="I236" s="125" t="n"/>
      <c r="J236" s="126" t="n"/>
      <c r="K236" s="126" t="n"/>
      <c r="L236" s="126" t="n"/>
      <c r="M236" s="117" t="n"/>
      <c r="N236" s="11" t="n"/>
      <c r="O236" s="11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84">
      <c r="A237" s="5" t="n"/>
      <c r="B237" s="122" t="n"/>
      <c r="C237" s="123" t="n"/>
      <c r="D237" s="123" t="n"/>
      <c r="E237" s="124" t="n"/>
      <c r="F237" s="124" t="n"/>
      <c r="G237" s="124" t="n"/>
      <c r="H237" s="125" t="n"/>
      <c r="I237" s="125" t="n"/>
      <c r="J237" s="126" t="n"/>
      <c r="K237" s="126" t="n"/>
      <c r="L237" s="126" t="n"/>
      <c r="M237" s="117" t="n"/>
      <c r="N237" s="11" t="n"/>
      <c r="O237" s="11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84">
      <c r="A238" s="5" t="n"/>
      <c r="B238" s="122" t="n"/>
      <c r="C238" s="123" t="n"/>
      <c r="D238" s="123" t="n"/>
      <c r="E238" s="124" t="n"/>
      <c r="F238" s="124" t="n"/>
      <c r="G238" s="124" t="n"/>
      <c r="H238" s="125" t="n"/>
      <c r="I238" s="125" t="n"/>
      <c r="J238" s="126" t="n"/>
      <c r="K238" s="126" t="n"/>
      <c r="L238" s="126" t="n"/>
      <c r="M238" s="117" t="n"/>
      <c r="N238" s="11" t="n"/>
      <c r="O238" s="11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84">
      <c r="A239" s="5" t="n"/>
      <c r="B239" s="122" t="n"/>
      <c r="C239" s="123" t="n"/>
      <c r="D239" s="123" t="n"/>
      <c r="E239" s="124" t="n"/>
      <c r="F239" s="124" t="n"/>
      <c r="G239" s="124" t="n"/>
      <c r="H239" s="125" t="n"/>
      <c r="I239" s="125" t="n"/>
      <c r="J239" s="126" t="n"/>
      <c r="K239" s="126" t="n"/>
      <c r="L239" s="126" t="n"/>
      <c r="M239" s="117" t="n"/>
      <c r="N239" s="11" t="n"/>
      <c r="O239" s="11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84">
      <c r="A240" s="5" t="n"/>
      <c r="B240" s="122" t="n"/>
      <c r="C240" s="123" t="n"/>
      <c r="D240" s="123" t="n"/>
      <c r="E240" s="124" t="n"/>
      <c r="F240" s="124" t="n"/>
      <c r="G240" s="124" t="n"/>
      <c r="H240" s="125" t="n"/>
      <c r="I240" s="125" t="n"/>
      <c r="J240" s="126" t="n"/>
      <c r="K240" s="126" t="n"/>
      <c r="L240" s="126" t="n"/>
      <c r="M240" s="117" t="n"/>
      <c r="N240" s="11" t="n"/>
      <c r="O240" s="11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84">
      <c r="A241" s="5" t="n"/>
      <c r="B241" s="122" t="n"/>
      <c r="C241" s="123" t="n"/>
      <c r="D241" s="123" t="n"/>
      <c r="E241" s="124" t="n"/>
      <c r="F241" s="124" t="n"/>
      <c r="G241" s="124" t="n"/>
      <c r="H241" s="125" t="n"/>
      <c r="I241" s="125" t="n"/>
      <c r="J241" s="126" t="n"/>
      <c r="K241" s="126" t="n"/>
      <c r="L241" s="126" t="n"/>
      <c r="M241" s="117" t="n"/>
      <c r="N241" s="11" t="n"/>
      <c r="O241" s="11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84">
      <c r="A242" s="5" t="n"/>
      <c r="B242" s="122" t="n"/>
      <c r="C242" s="123" t="n"/>
      <c r="D242" s="123" t="n"/>
      <c r="E242" s="124" t="n"/>
      <c r="F242" s="124" t="n"/>
      <c r="G242" s="124" t="n"/>
      <c r="H242" s="125" t="n"/>
      <c r="I242" s="125" t="n"/>
      <c r="J242" s="126" t="n"/>
      <c r="K242" s="126" t="n"/>
      <c r="L242" s="126" t="n"/>
      <c r="M242" s="117" t="n"/>
      <c r="N242" s="11" t="n"/>
      <c r="O242" s="11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84">
      <c r="A243" s="5" t="n"/>
      <c r="B243" s="122" t="n"/>
      <c r="C243" s="123" t="n"/>
      <c r="D243" s="123" t="n"/>
      <c r="E243" s="124" t="n"/>
      <c r="F243" s="124" t="n"/>
      <c r="G243" s="124" t="n"/>
      <c r="H243" s="125" t="n"/>
      <c r="I243" s="125" t="n"/>
      <c r="J243" s="126" t="n"/>
      <c r="K243" s="126" t="n"/>
      <c r="L243" s="126" t="n"/>
      <c r="M243" s="117" t="n"/>
      <c r="N243" s="11" t="n"/>
      <c r="O243" s="11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84">
      <c r="A244" s="5" t="n"/>
      <c r="B244" s="122" t="n"/>
      <c r="C244" s="123" t="n"/>
      <c r="D244" s="123" t="n"/>
      <c r="E244" s="124" t="n"/>
      <c r="F244" s="124" t="n"/>
      <c r="G244" s="124" t="n"/>
      <c r="H244" s="125" t="n"/>
      <c r="I244" s="125" t="n"/>
      <c r="J244" s="126" t="n"/>
      <c r="K244" s="126" t="n"/>
      <c r="L244" s="126" t="n"/>
      <c r="M244" s="117" t="n"/>
      <c r="N244" s="11" t="n"/>
      <c r="O244" s="11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84">
      <c r="A245" s="5" t="n"/>
      <c r="B245" s="122" t="n"/>
      <c r="C245" s="123" t="n"/>
      <c r="D245" s="123" t="n"/>
      <c r="E245" s="124" t="n"/>
      <c r="F245" s="124" t="n"/>
      <c r="G245" s="124" t="n"/>
      <c r="H245" s="125" t="n"/>
      <c r="I245" s="125" t="n"/>
      <c r="J245" s="126" t="n"/>
      <c r="K245" s="126" t="n"/>
      <c r="L245" s="126" t="n"/>
      <c r="M245" s="117" t="n"/>
      <c r="N245" s="11" t="n"/>
      <c r="O245" s="11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84">
      <c r="A246" s="5" t="n"/>
      <c r="B246" s="122" t="n"/>
      <c r="C246" s="123" t="n"/>
      <c r="D246" s="123" t="n"/>
      <c r="E246" s="124" t="n"/>
      <c r="F246" s="124" t="n"/>
      <c r="G246" s="124" t="n"/>
      <c r="H246" s="125" t="n"/>
      <c r="I246" s="125" t="n"/>
      <c r="J246" s="126" t="n"/>
      <c r="K246" s="126" t="n"/>
      <c r="L246" s="126" t="n"/>
      <c r="M246" s="117" t="n"/>
      <c r="N246" s="11" t="n"/>
      <c r="O246" s="11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84">
      <c r="A247" s="5" t="n"/>
      <c r="B247" s="122" t="n"/>
      <c r="C247" s="123" t="n"/>
      <c r="D247" s="123" t="n"/>
      <c r="E247" s="124" t="n"/>
      <c r="F247" s="124" t="n"/>
      <c r="G247" s="124" t="n"/>
      <c r="H247" s="125" t="n"/>
      <c r="I247" s="125" t="n"/>
      <c r="J247" s="126" t="n"/>
      <c r="K247" s="126" t="n"/>
      <c r="L247" s="126" t="n"/>
      <c r="M247" s="117" t="n"/>
      <c r="N247" s="11" t="n"/>
      <c r="O247" s="11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84">
      <c r="A248" s="5" t="n"/>
      <c r="B248" s="122" t="n"/>
      <c r="C248" s="123" t="n"/>
      <c r="D248" s="123" t="n"/>
      <c r="E248" s="124" t="n"/>
      <c r="F248" s="124" t="n"/>
      <c r="G248" s="124" t="n"/>
      <c r="H248" s="125" t="n"/>
      <c r="I248" s="125" t="n"/>
      <c r="J248" s="126" t="n"/>
      <c r="K248" s="126" t="n"/>
      <c r="L248" s="126" t="n"/>
      <c r="M248" s="117" t="n"/>
      <c r="N248" s="11" t="n"/>
      <c r="O248" s="11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84">
      <c r="A249" s="5" t="n"/>
      <c r="B249" s="122" t="n"/>
      <c r="C249" s="123" t="n"/>
      <c r="D249" s="123" t="n"/>
      <c r="E249" s="124" t="n"/>
      <c r="F249" s="124" t="n"/>
      <c r="G249" s="124" t="n"/>
      <c r="H249" s="125" t="n"/>
      <c r="I249" s="125" t="n"/>
      <c r="J249" s="126" t="n"/>
      <c r="K249" s="126" t="n"/>
      <c r="L249" s="126" t="n"/>
      <c r="M249" s="117" t="n"/>
      <c r="N249" s="11" t="n"/>
      <c r="O249" s="11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84">
      <c r="A250" s="5" t="n"/>
      <c r="B250" s="122" t="n"/>
      <c r="C250" s="123" t="n"/>
      <c r="D250" s="123" t="n"/>
      <c r="E250" s="124" t="n"/>
      <c r="F250" s="124" t="n"/>
      <c r="G250" s="124" t="n"/>
      <c r="H250" s="125" t="n"/>
      <c r="I250" s="125" t="n"/>
      <c r="J250" s="126" t="n"/>
      <c r="K250" s="126" t="n"/>
      <c r="L250" s="126" t="n"/>
      <c r="M250" s="117" t="n"/>
      <c r="N250" s="11" t="n"/>
      <c r="O250" s="11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84">
      <c r="A251" s="5" t="n"/>
      <c r="B251" s="122" t="n"/>
      <c r="C251" s="123" t="n"/>
      <c r="D251" s="123" t="n"/>
      <c r="E251" s="124" t="n"/>
      <c r="F251" s="124" t="n"/>
      <c r="G251" s="124" t="n"/>
      <c r="H251" s="125" t="n"/>
      <c r="I251" s="125" t="n"/>
      <c r="J251" s="126" t="n"/>
      <c r="K251" s="126" t="n"/>
      <c r="L251" s="126" t="n"/>
      <c r="M251" s="117" t="n"/>
      <c r="N251" s="11" t="n"/>
      <c r="O251" s="11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84">
      <c r="A252" s="5" t="n"/>
      <c r="B252" s="122" t="n"/>
      <c r="C252" s="123" t="n"/>
      <c r="D252" s="123" t="n"/>
      <c r="E252" s="124" t="n"/>
      <c r="F252" s="124" t="n"/>
      <c r="G252" s="124" t="n"/>
      <c r="H252" s="125" t="n"/>
      <c r="I252" s="125" t="n"/>
      <c r="J252" s="126" t="n"/>
      <c r="K252" s="126" t="n"/>
      <c r="L252" s="126" t="n"/>
      <c r="M252" s="117" t="n"/>
      <c r="N252" s="11" t="n"/>
      <c r="O252" s="11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84">
      <c r="A253" s="5" t="n"/>
      <c r="B253" s="122" t="n"/>
      <c r="C253" s="123" t="n"/>
      <c r="D253" s="123" t="n"/>
      <c r="E253" s="124" t="n"/>
      <c r="F253" s="124" t="n"/>
      <c r="G253" s="124" t="n"/>
      <c r="H253" s="125" t="n"/>
      <c r="I253" s="125" t="n"/>
      <c r="J253" s="126" t="n"/>
      <c r="K253" s="126" t="n"/>
      <c r="L253" s="126" t="n"/>
      <c r="M253" s="117" t="n"/>
      <c r="N253" s="11" t="n"/>
      <c r="O253" s="11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84">
      <c r="A254" s="5" t="n"/>
      <c r="B254" s="122" t="n"/>
      <c r="C254" s="123" t="n"/>
      <c r="D254" s="123" t="n"/>
      <c r="E254" s="124" t="n"/>
      <c r="F254" s="124" t="n"/>
      <c r="G254" s="124" t="n"/>
      <c r="H254" s="125" t="n"/>
      <c r="I254" s="125" t="n"/>
      <c r="J254" s="126" t="n"/>
      <c r="K254" s="126" t="n"/>
      <c r="L254" s="126" t="n"/>
      <c r="M254" s="117" t="n"/>
      <c r="N254" s="11" t="n"/>
      <c r="O254" s="11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84">
      <c r="A255" s="5" t="n"/>
      <c r="B255" s="122" t="n"/>
      <c r="C255" s="123" t="n"/>
      <c r="D255" s="123" t="n"/>
      <c r="E255" s="124" t="n"/>
      <c r="F255" s="124" t="n"/>
      <c r="G255" s="124" t="n"/>
      <c r="H255" s="125" t="n"/>
      <c r="I255" s="125" t="n"/>
      <c r="J255" s="126" t="n"/>
      <c r="K255" s="126" t="n"/>
      <c r="L255" s="126" t="n"/>
      <c r="M255" s="117" t="n"/>
      <c r="N255" s="11" t="n"/>
      <c r="O255" s="11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84">
      <c r="A256" s="5" t="n"/>
      <c r="B256" s="122" t="n"/>
      <c r="C256" s="123" t="n"/>
      <c r="D256" s="123" t="n"/>
      <c r="E256" s="124" t="n"/>
      <c r="F256" s="124" t="n"/>
      <c r="G256" s="124" t="n"/>
      <c r="H256" s="125" t="n"/>
      <c r="I256" s="125" t="n"/>
      <c r="J256" s="126" t="n"/>
      <c r="K256" s="126" t="n"/>
      <c r="L256" s="126" t="n"/>
      <c r="M256" s="117" t="n"/>
      <c r="N256" s="11" t="n"/>
      <c r="O256" s="11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84">
      <c r="A257" s="5" t="n"/>
      <c r="B257" s="122" t="n"/>
      <c r="C257" s="123" t="n"/>
      <c r="D257" s="123" t="n"/>
      <c r="E257" s="124" t="n"/>
      <c r="F257" s="124" t="n"/>
      <c r="G257" s="124" t="n"/>
      <c r="H257" s="125" t="n"/>
      <c r="I257" s="125" t="n"/>
      <c r="J257" s="126" t="n"/>
      <c r="K257" s="126" t="n"/>
      <c r="L257" s="126" t="n"/>
      <c r="M257" s="117" t="n"/>
      <c r="N257" s="11" t="n"/>
      <c r="O257" s="11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184">
      <c r="A258" s="5" t="n"/>
      <c r="B258" s="122" t="n"/>
      <c r="C258" s="123" t="n"/>
      <c r="D258" s="123" t="n"/>
      <c r="E258" s="124" t="n"/>
      <c r="F258" s="124" t="n"/>
      <c r="G258" s="124" t="n"/>
      <c r="H258" s="125" t="n"/>
      <c r="I258" s="125" t="n"/>
      <c r="J258" s="126" t="n"/>
      <c r="K258" s="126" t="n"/>
      <c r="L258" s="126" t="n"/>
      <c r="M258" s="117" t="n"/>
      <c r="N258" s="11" t="n"/>
      <c r="O258" s="11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184">
      <c r="A259" s="5" t="n"/>
      <c r="B259" s="122" t="n"/>
      <c r="C259" s="123" t="n"/>
      <c r="D259" s="123" t="n"/>
      <c r="E259" s="124" t="n"/>
      <c r="F259" s="124" t="n"/>
      <c r="G259" s="124" t="n"/>
      <c r="H259" s="125" t="n"/>
      <c r="I259" s="125" t="n"/>
      <c r="J259" s="126" t="n"/>
      <c r="K259" s="126" t="n"/>
      <c r="L259" s="126" t="n"/>
      <c r="M259" s="117" t="n"/>
      <c r="N259" s="11" t="n"/>
      <c r="O259" s="11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184">
      <c r="A260" s="5" t="n"/>
      <c r="B260" s="122" t="n"/>
      <c r="C260" s="123" t="n"/>
      <c r="D260" s="123" t="n"/>
      <c r="E260" s="124" t="n"/>
      <c r="F260" s="124" t="n"/>
      <c r="G260" s="124" t="n"/>
      <c r="H260" s="125" t="n"/>
      <c r="I260" s="125" t="n"/>
      <c r="J260" s="126" t="n"/>
      <c r="K260" s="126" t="n"/>
      <c r="L260" s="126" t="n"/>
      <c r="M260" s="117" t="n"/>
      <c r="N260" s="11" t="n"/>
      <c r="O260" s="11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184">
      <c r="A261" s="5" t="n"/>
      <c r="B261" s="122" t="n"/>
      <c r="C261" s="123" t="n"/>
      <c r="D261" s="123" t="n"/>
      <c r="E261" s="124" t="n"/>
      <c r="F261" s="124" t="n"/>
      <c r="G261" s="124" t="n"/>
      <c r="H261" s="125" t="n"/>
      <c r="I261" s="125" t="n"/>
      <c r="J261" s="126" t="n"/>
      <c r="K261" s="126" t="n"/>
      <c r="L261" s="126" t="n"/>
      <c r="M261" s="117" t="n"/>
      <c r="N261" s="11" t="n"/>
      <c r="O261" s="11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184">
      <c r="A262" s="5" t="n"/>
      <c r="B262" s="122" t="n"/>
      <c r="C262" s="123" t="n"/>
      <c r="D262" s="123" t="n"/>
      <c r="E262" s="124" t="n"/>
      <c r="F262" s="124" t="n"/>
      <c r="G262" s="124" t="n"/>
      <c r="H262" s="125" t="n"/>
      <c r="I262" s="125" t="n"/>
      <c r="J262" s="126" t="n"/>
      <c r="K262" s="126" t="n"/>
      <c r="L262" s="126" t="n"/>
      <c r="M262" s="117" t="n"/>
      <c r="N262" s="11" t="n"/>
      <c r="O262" s="11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184">
      <c r="A263" s="5" t="n"/>
      <c r="B263" s="122" t="n"/>
      <c r="C263" s="123" t="n"/>
      <c r="D263" s="123" t="n"/>
      <c r="E263" s="124" t="n"/>
      <c r="F263" s="124" t="n"/>
      <c r="G263" s="124" t="n"/>
      <c r="H263" s="125" t="n"/>
      <c r="I263" s="125" t="n"/>
      <c r="J263" s="126" t="n"/>
      <c r="K263" s="126" t="n"/>
      <c r="L263" s="126" t="n"/>
      <c r="M263" s="117" t="n"/>
      <c r="N263" s="11" t="n"/>
      <c r="O263" s="11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184">
      <c r="A264" s="5" t="n"/>
      <c r="B264" s="122" t="n"/>
      <c r="C264" s="123" t="n"/>
      <c r="D264" s="123" t="n"/>
      <c r="E264" s="124" t="n"/>
      <c r="F264" s="124" t="n"/>
      <c r="G264" s="124" t="n"/>
      <c r="H264" s="125" t="n"/>
      <c r="I264" s="125" t="n"/>
      <c r="J264" s="126" t="n"/>
      <c r="K264" s="126" t="n"/>
      <c r="L264" s="126" t="n"/>
      <c r="M264" s="117" t="n"/>
      <c r="N264" s="11" t="n"/>
      <c r="O264" s="11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184">
      <c r="A265" s="5" t="n"/>
      <c r="B265" s="122" t="n"/>
      <c r="C265" s="123" t="n"/>
      <c r="D265" s="123" t="n"/>
      <c r="E265" s="124" t="n"/>
      <c r="F265" s="124" t="n"/>
      <c r="G265" s="124" t="n"/>
      <c r="H265" s="125" t="n"/>
      <c r="I265" s="125" t="n"/>
      <c r="J265" s="126" t="n"/>
      <c r="K265" s="126" t="n"/>
      <c r="L265" s="126" t="n"/>
      <c r="M265" s="117" t="n"/>
      <c r="N265" s="11" t="n"/>
      <c r="O265" s="11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184">
      <c r="A266" s="5" t="n"/>
      <c r="B266" s="122" t="n"/>
      <c r="C266" s="123" t="n"/>
      <c r="D266" s="123" t="n"/>
      <c r="E266" s="124" t="n"/>
      <c r="F266" s="124" t="n"/>
      <c r="G266" s="124" t="n"/>
      <c r="H266" s="125" t="n"/>
      <c r="I266" s="125" t="n"/>
      <c r="J266" s="126" t="n"/>
      <c r="K266" s="126" t="n"/>
      <c r="L266" s="126" t="n"/>
      <c r="M266" s="117" t="n"/>
      <c r="N266" s="11" t="n"/>
      <c r="O266" s="11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184">
      <c r="A267" s="5" t="n"/>
      <c r="B267" s="122" t="n"/>
      <c r="C267" s="123" t="n"/>
      <c r="D267" s="123" t="n"/>
      <c r="E267" s="124" t="n"/>
      <c r="F267" s="124" t="n"/>
      <c r="G267" s="124" t="n"/>
      <c r="H267" s="125" t="n"/>
      <c r="I267" s="125" t="n"/>
      <c r="J267" s="126" t="n"/>
      <c r="K267" s="126" t="n"/>
      <c r="L267" s="126" t="n"/>
      <c r="M267" s="117" t="n"/>
      <c r="N267" s="11" t="n"/>
      <c r="O267" s="11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184">
      <c r="A268" s="5" t="n"/>
      <c r="B268" s="122" t="n"/>
      <c r="C268" s="123" t="n"/>
      <c r="D268" s="123" t="n"/>
      <c r="E268" s="124" t="n"/>
      <c r="F268" s="124" t="n"/>
      <c r="G268" s="124" t="n"/>
      <c r="H268" s="125" t="n"/>
      <c r="I268" s="125" t="n"/>
      <c r="J268" s="126" t="n"/>
      <c r="K268" s="126" t="n"/>
      <c r="L268" s="126" t="n"/>
      <c r="M268" s="117" t="n"/>
      <c r="N268" s="11" t="n"/>
      <c r="O268" s="11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184">
      <c r="A269" s="5" t="n"/>
      <c r="B269" s="122" t="n"/>
      <c r="C269" s="123" t="n"/>
      <c r="D269" s="123" t="n"/>
      <c r="E269" s="124" t="n"/>
      <c r="F269" s="124" t="n"/>
      <c r="G269" s="124" t="n"/>
      <c r="H269" s="125" t="n"/>
      <c r="I269" s="125" t="n"/>
      <c r="J269" s="126" t="n"/>
      <c r="K269" s="126" t="n"/>
      <c r="L269" s="126" t="n"/>
      <c r="M269" s="117" t="n"/>
      <c r="N269" s="11" t="n"/>
      <c r="O269" s="11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184">
      <c r="A270" s="5" t="n"/>
      <c r="B270" s="122" t="n"/>
      <c r="C270" s="123" t="n"/>
      <c r="D270" s="123" t="n"/>
      <c r="E270" s="124" t="n"/>
      <c r="F270" s="124" t="n"/>
      <c r="G270" s="124" t="n"/>
      <c r="H270" s="125" t="n"/>
      <c r="I270" s="125" t="n"/>
      <c r="J270" s="126" t="n"/>
      <c r="K270" s="126" t="n"/>
      <c r="L270" s="126" t="n"/>
      <c r="M270" s="117" t="n"/>
      <c r="N270" s="11" t="n"/>
      <c r="O270" s="11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184">
      <c r="A271" s="5" t="n"/>
      <c r="B271" s="122" t="n"/>
      <c r="C271" s="123" t="n"/>
      <c r="D271" s="123" t="n"/>
      <c r="E271" s="124" t="n"/>
      <c r="F271" s="124" t="n"/>
      <c r="G271" s="124" t="n"/>
      <c r="H271" s="125" t="n"/>
      <c r="I271" s="125" t="n"/>
      <c r="J271" s="126" t="n"/>
      <c r="K271" s="126" t="n"/>
      <c r="L271" s="126" t="n"/>
      <c r="M271" s="117" t="n"/>
      <c r="N271" s="11" t="n"/>
      <c r="O271" s="11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184">
      <c r="A272" s="5" t="n"/>
      <c r="B272" s="122" t="n"/>
      <c r="C272" s="123" t="n"/>
      <c r="D272" s="123" t="n"/>
      <c r="E272" s="124" t="n"/>
      <c r="F272" s="124" t="n"/>
      <c r="G272" s="124" t="n"/>
      <c r="H272" s="125" t="n"/>
      <c r="I272" s="125" t="n"/>
      <c r="J272" s="126" t="n"/>
      <c r="K272" s="126" t="n"/>
      <c r="L272" s="126" t="n"/>
      <c r="M272" s="117" t="n"/>
      <c r="N272" s="11" t="n"/>
      <c r="O272" s="11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184">
      <c r="A273" s="5" t="n"/>
      <c r="B273" s="122" t="n"/>
      <c r="C273" s="123" t="n"/>
      <c r="D273" s="123" t="n"/>
      <c r="E273" s="124" t="n"/>
      <c r="F273" s="124" t="n"/>
      <c r="G273" s="124" t="n"/>
      <c r="H273" s="125" t="n"/>
      <c r="I273" s="125" t="n"/>
      <c r="J273" s="126" t="n"/>
      <c r="K273" s="126" t="n"/>
      <c r="L273" s="126" t="n"/>
      <c r="M273" s="117" t="n"/>
      <c r="N273" s="11" t="n"/>
      <c r="O273" s="11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184">
      <c r="A274" s="5" t="n"/>
      <c r="B274" s="122" t="n"/>
      <c r="C274" s="123" t="n"/>
      <c r="D274" s="123" t="n"/>
      <c r="E274" s="124" t="n"/>
      <c r="F274" s="124" t="n"/>
      <c r="G274" s="124" t="n"/>
      <c r="H274" s="125" t="n"/>
      <c r="I274" s="125" t="n"/>
      <c r="J274" s="126" t="n"/>
      <c r="K274" s="126" t="n"/>
      <c r="L274" s="126" t="n"/>
      <c r="M274" s="117" t="n"/>
      <c r="N274" s="11" t="n"/>
      <c r="O274" s="11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184">
      <c r="A275" s="5" t="n"/>
      <c r="B275" s="122" t="n"/>
      <c r="C275" s="123" t="n"/>
      <c r="D275" s="123" t="n"/>
      <c r="E275" s="124" t="n"/>
      <c r="F275" s="124" t="n"/>
      <c r="G275" s="124" t="n"/>
      <c r="H275" s="125" t="n"/>
      <c r="I275" s="125" t="n"/>
      <c r="J275" s="126" t="n"/>
      <c r="K275" s="126" t="n"/>
      <c r="L275" s="126" t="n"/>
      <c r="M275" s="117" t="n"/>
      <c r="N275" s="11" t="n"/>
      <c r="O275" s="11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184">
      <c r="A276" s="5" t="n"/>
      <c r="B276" s="122" t="n"/>
      <c r="C276" s="123" t="n"/>
      <c r="D276" s="123" t="n"/>
      <c r="E276" s="124" t="n"/>
      <c r="F276" s="124" t="n"/>
      <c r="G276" s="124" t="n"/>
      <c r="H276" s="125" t="n"/>
      <c r="I276" s="125" t="n"/>
      <c r="J276" s="126" t="n"/>
      <c r="K276" s="126" t="n"/>
      <c r="L276" s="126" t="n"/>
      <c r="M276" s="117" t="n"/>
      <c r="N276" s="11" t="n"/>
      <c r="O276" s="11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184">
      <c r="A277" s="5" t="n"/>
      <c r="B277" s="122" t="n"/>
      <c r="C277" s="123" t="n"/>
      <c r="D277" s="123" t="n"/>
      <c r="E277" s="124" t="n"/>
      <c r="F277" s="124" t="n"/>
      <c r="G277" s="124" t="n"/>
      <c r="H277" s="125" t="n"/>
      <c r="I277" s="125" t="n"/>
      <c r="J277" s="126" t="n"/>
      <c r="K277" s="126" t="n"/>
      <c r="L277" s="126" t="n"/>
      <c r="M277" s="117" t="n"/>
      <c r="N277" s="11" t="n"/>
      <c r="O277" s="11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184">
      <c r="A278" s="5" t="n"/>
      <c r="B278" s="122" t="n"/>
      <c r="C278" s="123" t="n"/>
      <c r="D278" s="123" t="n"/>
      <c r="E278" s="124" t="n"/>
      <c r="F278" s="124" t="n"/>
      <c r="G278" s="124" t="n"/>
      <c r="H278" s="125" t="n"/>
      <c r="I278" s="125" t="n"/>
      <c r="J278" s="126" t="n"/>
      <c r="K278" s="126" t="n"/>
      <c r="L278" s="126" t="n"/>
      <c r="M278" s="117" t="n"/>
      <c r="N278" s="11" t="n"/>
      <c r="O278" s="11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184">
      <c r="A279" s="5" t="n"/>
      <c r="B279" s="122" t="n"/>
      <c r="C279" s="123" t="n"/>
      <c r="D279" s="123" t="n"/>
      <c r="E279" s="124" t="n"/>
      <c r="F279" s="124" t="n"/>
      <c r="G279" s="124" t="n"/>
      <c r="H279" s="125" t="n"/>
      <c r="I279" s="125" t="n"/>
      <c r="J279" s="126" t="n"/>
      <c r="K279" s="126" t="n"/>
      <c r="L279" s="126" t="n"/>
      <c r="M279" s="117" t="n"/>
      <c r="N279" s="11" t="n"/>
      <c r="O279" s="11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184">
      <c r="A280" s="5" t="n"/>
      <c r="B280" s="122" t="n"/>
      <c r="C280" s="123" t="n"/>
      <c r="D280" s="123" t="n"/>
      <c r="E280" s="124" t="n"/>
      <c r="F280" s="124" t="n"/>
      <c r="G280" s="124" t="n"/>
      <c r="H280" s="125" t="n"/>
      <c r="I280" s="125" t="n"/>
      <c r="J280" s="126" t="n"/>
      <c r="K280" s="126" t="n"/>
      <c r="L280" s="126" t="n"/>
      <c r="M280" s="117" t="n"/>
      <c r="N280" s="11" t="n"/>
      <c r="O280" s="11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184">
      <c r="A281" s="5" t="n"/>
      <c r="B281" s="122" t="n"/>
      <c r="C281" s="123" t="n"/>
      <c r="D281" s="123" t="n"/>
      <c r="E281" s="124" t="n"/>
      <c r="F281" s="124" t="n"/>
      <c r="G281" s="124" t="n"/>
      <c r="H281" s="125" t="n"/>
      <c r="I281" s="125" t="n"/>
      <c r="J281" s="126" t="n"/>
      <c r="K281" s="126" t="n"/>
      <c r="L281" s="126" t="n"/>
      <c r="M281" s="117" t="n"/>
      <c r="N281" s="11" t="n"/>
      <c r="O281" s="11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184">
      <c r="A282" s="5" t="n"/>
      <c r="B282" s="122" t="n"/>
      <c r="C282" s="123" t="n"/>
      <c r="D282" s="123" t="n"/>
      <c r="E282" s="124" t="n"/>
      <c r="F282" s="124" t="n"/>
      <c r="G282" s="124" t="n"/>
      <c r="H282" s="125" t="n"/>
      <c r="I282" s="125" t="n"/>
      <c r="J282" s="126" t="n"/>
      <c r="K282" s="126" t="n"/>
      <c r="L282" s="126" t="n"/>
      <c r="M282" s="117" t="n"/>
      <c r="N282" s="11" t="n"/>
      <c r="O282" s="11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184">
      <c r="A283" s="5" t="n"/>
      <c r="B283" s="122" t="n"/>
      <c r="C283" s="123" t="n"/>
      <c r="D283" s="123" t="n"/>
      <c r="E283" s="124" t="n"/>
      <c r="F283" s="124" t="n"/>
      <c r="G283" s="124" t="n"/>
      <c r="H283" s="125" t="n"/>
      <c r="I283" s="125" t="n"/>
      <c r="J283" s="126" t="n"/>
      <c r="K283" s="126" t="n"/>
      <c r="L283" s="126" t="n"/>
      <c r="M283" s="117" t="n"/>
      <c r="N283" s="11" t="n"/>
      <c r="O283" s="11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184">
      <c r="A284" s="5" t="n"/>
      <c r="B284" s="122" t="n"/>
      <c r="C284" s="123" t="n"/>
      <c r="D284" s="123" t="n"/>
      <c r="E284" s="124" t="n"/>
      <c r="F284" s="124" t="n"/>
      <c r="G284" s="124" t="n"/>
      <c r="H284" s="125" t="n"/>
      <c r="I284" s="125" t="n"/>
      <c r="J284" s="126" t="n"/>
      <c r="K284" s="126" t="n"/>
      <c r="L284" s="126" t="n"/>
      <c r="M284" s="117" t="n"/>
      <c r="N284" s="11" t="n"/>
      <c r="O284" s="11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184">
      <c r="A285" s="5" t="n"/>
      <c r="B285" s="122" t="n"/>
      <c r="C285" s="123" t="n"/>
      <c r="D285" s="123" t="n"/>
      <c r="E285" s="124" t="n"/>
      <c r="F285" s="124" t="n"/>
      <c r="G285" s="124" t="n"/>
      <c r="H285" s="125" t="n"/>
      <c r="I285" s="125" t="n"/>
      <c r="J285" s="126" t="n"/>
      <c r="K285" s="126" t="n"/>
      <c r="L285" s="126" t="n"/>
      <c r="M285" s="117" t="n"/>
      <c r="N285" s="11" t="n"/>
      <c r="O285" s="11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184">
      <c r="A286" s="5" t="n"/>
      <c r="B286" s="122" t="n"/>
      <c r="C286" s="123" t="n"/>
      <c r="D286" s="123" t="n"/>
      <c r="E286" s="124" t="n"/>
      <c r="F286" s="124" t="n"/>
      <c r="G286" s="124" t="n"/>
      <c r="H286" s="125" t="n"/>
      <c r="I286" s="125" t="n"/>
      <c r="J286" s="126" t="n"/>
      <c r="K286" s="126" t="n"/>
      <c r="L286" s="126" t="n"/>
      <c r="M286" s="117" t="n"/>
      <c r="N286" s="11" t="n"/>
      <c r="O286" s="11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184">
      <c r="A287" s="5" t="n"/>
      <c r="B287" s="122" t="n"/>
      <c r="C287" s="123" t="n"/>
      <c r="D287" s="123" t="n"/>
      <c r="E287" s="124" t="n"/>
      <c r="F287" s="124" t="n"/>
      <c r="G287" s="124" t="n"/>
      <c r="H287" s="125" t="n"/>
      <c r="I287" s="125" t="n"/>
      <c r="J287" s="126" t="n"/>
      <c r="K287" s="126" t="n"/>
      <c r="L287" s="126" t="n"/>
      <c r="M287" s="117" t="n"/>
      <c r="N287" s="11" t="n"/>
      <c r="O287" s="11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184">
      <c r="A288" s="5" t="n"/>
      <c r="B288" s="122" t="n"/>
      <c r="C288" s="123" t="n"/>
      <c r="D288" s="123" t="n"/>
      <c r="E288" s="124" t="n"/>
      <c r="F288" s="124" t="n"/>
      <c r="G288" s="124" t="n"/>
      <c r="H288" s="125" t="n"/>
      <c r="I288" s="125" t="n"/>
      <c r="J288" s="126" t="n"/>
      <c r="K288" s="126" t="n"/>
      <c r="L288" s="126" t="n"/>
      <c r="M288" s="117" t="n"/>
      <c r="N288" s="11" t="n"/>
      <c r="O288" s="11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184">
      <c r="A289" s="5" t="n"/>
      <c r="B289" s="122" t="n"/>
      <c r="C289" s="123" t="n"/>
      <c r="D289" s="123" t="n"/>
      <c r="E289" s="124" t="n"/>
      <c r="F289" s="124" t="n"/>
      <c r="G289" s="124" t="n"/>
      <c r="H289" s="125" t="n"/>
      <c r="I289" s="125" t="n"/>
      <c r="J289" s="126" t="n"/>
      <c r="K289" s="126" t="n"/>
      <c r="L289" s="126" t="n"/>
      <c r="M289" s="117" t="n"/>
      <c r="N289" s="11" t="n"/>
      <c r="O289" s="11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184">
      <c r="A290" s="5" t="n"/>
      <c r="B290" s="122" t="n"/>
      <c r="C290" s="123" t="n"/>
      <c r="D290" s="123" t="n"/>
      <c r="E290" s="124" t="n"/>
      <c r="F290" s="124" t="n"/>
      <c r="G290" s="124" t="n"/>
      <c r="H290" s="125" t="n"/>
      <c r="I290" s="125" t="n"/>
      <c r="J290" s="126" t="n"/>
      <c r="K290" s="126" t="n"/>
      <c r="L290" s="126" t="n"/>
      <c r="M290" s="117" t="n"/>
      <c r="N290" s="11" t="n"/>
      <c r="O290" s="11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184">
      <c r="A291" s="5" t="n"/>
      <c r="B291" s="122" t="n"/>
      <c r="C291" s="123" t="n"/>
      <c r="D291" s="123" t="n"/>
      <c r="E291" s="124" t="n"/>
      <c r="F291" s="124" t="n"/>
      <c r="G291" s="124" t="n"/>
      <c r="H291" s="125" t="n"/>
      <c r="I291" s="125" t="n"/>
      <c r="J291" s="126" t="n"/>
      <c r="K291" s="126" t="n"/>
      <c r="L291" s="126" t="n"/>
      <c r="M291" s="117" t="n"/>
      <c r="N291" s="11" t="n"/>
      <c r="O291" s="11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184">
      <c r="A292" s="5" t="n"/>
      <c r="B292" s="122" t="n"/>
      <c r="C292" s="123" t="n"/>
      <c r="D292" s="123" t="n"/>
      <c r="E292" s="124" t="n"/>
      <c r="F292" s="124" t="n"/>
      <c r="G292" s="124" t="n"/>
      <c r="H292" s="125" t="n"/>
      <c r="I292" s="125" t="n"/>
      <c r="J292" s="126" t="n"/>
      <c r="K292" s="126" t="n"/>
      <c r="L292" s="126" t="n"/>
      <c r="M292" s="117" t="n"/>
      <c r="N292" s="11" t="n"/>
      <c r="O292" s="11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184">
      <c r="A293" s="5" t="n"/>
      <c r="B293" s="122" t="n"/>
      <c r="C293" s="123" t="n"/>
      <c r="D293" s="123" t="n"/>
      <c r="E293" s="124" t="n"/>
      <c r="F293" s="124" t="n"/>
      <c r="G293" s="124" t="n"/>
      <c r="H293" s="125" t="n"/>
      <c r="I293" s="125" t="n"/>
      <c r="J293" s="126" t="n"/>
      <c r="K293" s="126" t="n"/>
      <c r="L293" s="126" t="n"/>
      <c r="M293" s="117" t="n"/>
      <c r="N293" s="11" t="n"/>
      <c r="O293" s="11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184">
      <c r="A294" s="5" t="n"/>
      <c r="B294" s="122" t="n"/>
      <c r="C294" s="123" t="n"/>
      <c r="D294" s="123" t="n"/>
      <c r="E294" s="124" t="n"/>
      <c r="F294" s="124" t="n"/>
      <c r="G294" s="124" t="n"/>
      <c r="H294" s="125" t="n"/>
      <c r="I294" s="125" t="n"/>
      <c r="J294" s="126" t="n"/>
      <c r="K294" s="126" t="n"/>
      <c r="L294" s="126" t="n"/>
      <c r="M294" s="117" t="n"/>
      <c r="N294" s="11" t="n"/>
      <c r="O294" s="11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184">
      <c r="A295" s="5" t="n"/>
      <c r="B295" s="122" t="n"/>
      <c r="C295" s="123" t="n"/>
      <c r="D295" s="123" t="n"/>
      <c r="E295" s="124" t="n"/>
      <c r="F295" s="124" t="n"/>
      <c r="G295" s="124" t="n"/>
      <c r="H295" s="125" t="n"/>
      <c r="I295" s="125" t="n"/>
      <c r="J295" s="126" t="n"/>
      <c r="K295" s="126" t="n"/>
      <c r="L295" s="126" t="n"/>
      <c r="M295" s="117" t="n"/>
      <c r="N295" s="11" t="n"/>
      <c r="O295" s="11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184">
      <c r="A296" s="5" t="n"/>
      <c r="B296" s="122" t="n"/>
      <c r="C296" s="123" t="n"/>
      <c r="D296" s="123" t="n"/>
      <c r="E296" s="124" t="n"/>
      <c r="F296" s="124" t="n"/>
      <c r="G296" s="124" t="n"/>
      <c r="H296" s="125" t="n"/>
      <c r="I296" s="125" t="n"/>
      <c r="J296" s="126" t="n"/>
      <c r="K296" s="126" t="n"/>
      <c r="L296" s="126" t="n"/>
      <c r="M296" s="117" t="n"/>
      <c r="N296" s="11" t="n"/>
      <c r="O296" s="11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184">
      <c r="A297" s="5" t="n"/>
      <c r="B297" s="122" t="n"/>
      <c r="C297" s="123" t="n"/>
      <c r="D297" s="123" t="n"/>
      <c r="E297" s="124" t="n"/>
      <c r="F297" s="124" t="n"/>
      <c r="G297" s="124" t="n"/>
      <c r="H297" s="125" t="n"/>
      <c r="I297" s="125" t="n"/>
      <c r="J297" s="126" t="n"/>
      <c r="K297" s="126" t="n"/>
      <c r="L297" s="126" t="n"/>
      <c r="M297" s="117" t="n"/>
      <c r="N297" s="11" t="n"/>
      <c r="O297" s="11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184">
      <c r="A298" s="5" t="n"/>
      <c r="B298" s="122" t="n"/>
      <c r="C298" s="123" t="n"/>
      <c r="D298" s="123" t="n"/>
      <c r="E298" s="124" t="n"/>
      <c r="F298" s="124" t="n"/>
      <c r="G298" s="124" t="n"/>
      <c r="H298" s="125" t="n"/>
      <c r="I298" s="125" t="n"/>
      <c r="J298" s="126" t="n"/>
      <c r="K298" s="126" t="n"/>
      <c r="L298" s="126" t="n"/>
      <c r="M298" s="117" t="n"/>
      <c r="N298" s="11" t="n"/>
      <c r="O298" s="11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184">
      <c r="A299" s="5" t="n"/>
      <c r="B299" s="122" t="n"/>
      <c r="C299" s="123" t="n"/>
      <c r="D299" s="123" t="n"/>
      <c r="E299" s="124" t="n"/>
      <c r="F299" s="124" t="n"/>
      <c r="G299" s="124" t="n"/>
      <c r="H299" s="125" t="n"/>
      <c r="I299" s="125" t="n"/>
      <c r="J299" s="126" t="n"/>
      <c r="K299" s="126" t="n"/>
      <c r="L299" s="126" t="n"/>
      <c r="M299" s="117" t="n"/>
      <c r="N299" s="11" t="n"/>
      <c r="O299" s="11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184">
      <c r="A300" s="5" t="n"/>
      <c r="B300" s="122" t="n"/>
      <c r="C300" s="123" t="n"/>
      <c r="D300" s="123" t="n"/>
      <c r="E300" s="124" t="n"/>
      <c r="F300" s="124" t="n"/>
      <c r="G300" s="124" t="n"/>
      <c r="H300" s="125" t="n"/>
      <c r="I300" s="125" t="n"/>
      <c r="J300" s="126" t="n"/>
      <c r="K300" s="126" t="n"/>
      <c r="L300" s="126" t="n"/>
      <c r="M300" s="117" t="n"/>
      <c r="N300" s="11" t="n"/>
      <c r="O300" s="11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184">
      <c r="A301" s="5" t="n"/>
      <c r="B301" s="122" t="n"/>
      <c r="C301" s="123" t="n"/>
      <c r="D301" s="123" t="n"/>
      <c r="E301" s="124" t="n"/>
      <c r="F301" s="124" t="n"/>
      <c r="G301" s="124" t="n"/>
      <c r="H301" s="125" t="n"/>
      <c r="I301" s="125" t="n"/>
      <c r="J301" s="126" t="n"/>
      <c r="K301" s="126" t="n"/>
      <c r="L301" s="126" t="n"/>
      <c r="M301" s="117" t="n"/>
      <c r="N301" s="11" t="n"/>
      <c r="O301" s="11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184">
      <c r="A302" s="5" t="n"/>
      <c r="B302" s="122" t="n"/>
      <c r="C302" s="123" t="n"/>
      <c r="D302" s="123" t="n"/>
      <c r="E302" s="124" t="n"/>
      <c r="F302" s="124" t="n"/>
      <c r="G302" s="124" t="n"/>
      <c r="H302" s="125" t="n"/>
      <c r="I302" s="125" t="n"/>
      <c r="J302" s="126" t="n"/>
      <c r="K302" s="126" t="n"/>
      <c r="L302" s="126" t="n"/>
      <c r="M302" s="117" t="n"/>
      <c r="N302" s="11" t="n"/>
      <c r="O302" s="11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184">
      <c r="A303" s="5" t="n"/>
      <c r="B303" s="122" t="n"/>
      <c r="C303" s="123" t="n"/>
      <c r="D303" s="123" t="n"/>
      <c r="E303" s="124" t="n"/>
      <c r="F303" s="124" t="n"/>
      <c r="G303" s="124" t="n"/>
      <c r="H303" s="125" t="n"/>
      <c r="I303" s="125" t="n"/>
      <c r="J303" s="126" t="n"/>
      <c r="K303" s="126" t="n"/>
      <c r="L303" s="126" t="n"/>
      <c r="M303" s="117" t="n"/>
      <c r="N303" s="11" t="n"/>
      <c r="O303" s="11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184">
      <c r="A304" s="5" t="n"/>
      <c r="B304" s="122" t="n"/>
      <c r="C304" s="123" t="n"/>
      <c r="D304" s="123" t="n"/>
      <c r="E304" s="124" t="n"/>
      <c r="F304" s="124" t="n"/>
      <c r="G304" s="124" t="n"/>
      <c r="H304" s="125" t="n"/>
      <c r="I304" s="125" t="n"/>
      <c r="J304" s="126" t="n"/>
      <c r="K304" s="126" t="n"/>
      <c r="L304" s="126" t="n"/>
      <c r="M304" s="117" t="n"/>
      <c r="N304" s="11" t="n"/>
      <c r="O304" s="11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184">
      <c r="A305" s="5" t="n"/>
      <c r="B305" s="122" t="n"/>
      <c r="C305" s="123" t="n"/>
      <c r="D305" s="123" t="n"/>
      <c r="E305" s="124" t="n"/>
      <c r="F305" s="124" t="n"/>
      <c r="G305" s="124" t="n"/>
      <c r="H305" s="125" t="n"/>
      <c r="I305" s="125" t="n"/>
      <c r="J305" s="126" t="n"/>
      <c r="K305" s="126" t="n"/>
      <c r="L305" s="126" t="n"/>
      <c r="M305" s="117" t="n"/>
      <c r="N305" s="11" t="n"/>
      <c r="O305" s="11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184">
      <c r="A306" s="5" t="n"/>
      <c r="B306" s="122" t="n"/>
      <c r="C306" s="123" t="n"/>
      <c r="D306" s="123" t="n"/>
      <c r="E306" s="124" t="n"/>
      <c r="F306" s="124" t="n"/>
      <c r="G306" s="124" t="n"/>
      <c r="H306" s="125" t="n"/>
      <c r="I306" s="125" t="n"/>
      <c r="J306" s="126" t="n"/>
      <c r="K306" s="126" t="n"/>
      <c r="L306" s="126" t="n"/>
      <c r="M306" s="117" t="n"/>
      <c r="N306" s="11" t="n"/>
      <c r="O306" s="11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184">
      <c r="A307" s="5" t="n"/>
      <c r="B307" s="122" t="n"/>
      <c r="C307" s="123" t="n"/>
      <c r="D307" s="123" t="n"/>
      <c r="E307" s="124" t="n"/>
      <c r="F307" s="124" t="n"/>
      <c r="G307" s="124" t="n"/>
      <c r="H307" s="125" t="n"/>
      <c r="I307" s="125" t="n"/>
      <c r="J307" s="126" t="n"/>
      <c r="K307" s="126" t="n"/>
      <c r="L307" s="126" t="n"/>
      <c r="M307" s="117" t="n"/>
      <c r="N307" s="11" t="n"/>
      <c r="O307" s="11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184">
      <c r="A308" s="5" t="n"/>
      <c r="B308" s="122" t="n"/>
      <c r="C308" s="123" t="n"/>
      <c r="D308" s="123" t="n"/>
      <c r="E308" s="124" t="n"/>
      <c r="F308" s="124" t="n"/>
      <c r="G308" s="124" t="n"/>
      <c r="H308" s="125" t="n"/>
      <c r="I308" s="125" t="n"/>
      <c r="J308" s="126" t="n"/>
      <c r="K308" s="126" t="n"/>
      <c r="L308" s="126" t="n"/>
      <c r="M308" s="117" t="n"/>
      <c r="N308" s="11" t="n"/>
      <c r="O308" s="11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184">
      <c r="A309" s="5" t="n"/>
      <c r="B309" s="122" t="n"/>
      <c r="C309" s="123" t="n"/>
      <c r="D309" s="123" t="n"/>
      <c r="E309" s="124" t="n"/>
      <c r="F309" s="124" t="n"/>
      <c r="G309" s="124" t="n"/>
      <c r="H309" s="125" t="n"/>
      <c r="I309" s="125" t="n"/>
      <c r="J309" s="126" t="n"/>
      <c r="K309" s="126" t="n"/>
      <c r="L309" s="126" t="n"/>
      <c r="M309" s="117" t="n"/>
      <c r="N309" s="11" t="n"/>
      <c r="O309" s="11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184">
      <c r="A310" s="5" t="n"/>
      <c r="B310" s="122" t="n"/>
      <c r="C310" s="123" t="n"/>
      <c r="D310" s="123" t="n"/>
      <c r="E310" s="124" t="n"/>
      <c r="F310" s="124" t="n"/>
      <c r="G310" s="124" t="n"/>
      <c r="H310" s="125" t="n"/>
      <c r="I310" s="125" t="n"/>
      <c r="J310" s="126" t="n"/>
      <c r="K310" s="126" t="n"/>
      <c r="L310" s="126" t="n"/>
      <c r="M310" s="117" t="n"/>
      <c r="N310" s="11" t="n"/>
      <c r="O310" s="11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184">
      <c r="A311" s="5" t="n"/>
      <c r="B311" s="122" t="n"/>
      <c r="C311" s="123" t="n"/>
      <c r="D311" s="123" t="n"/>
      <c r="E311" s="124" t="n"/>
      <c r="F311" s="124" t="n"/>
      <c r="G311" s="124" t="n"/>
      <c r="H311" s="125" t="n"/>
      <c r="I311" s="125" t="n"/>
      <c r="J311" s="126" t="n"/>
      <c r="K311" s="126" t="n"/>
      <c r="L311" s="126" t="n"/>
      <c r="M311" s="117" t="n"/>
      <c r="N311" s="11" t="n"/>
      <c r="O311" s="11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184">
      <c r="A312" s="5" t="n"/>
      <c r="B312" s="122" t="n"/>
      <c r="C312" s="123" t="n"/>
      <c r="D312" s="123" t="n"/>
      <c r="E312" s="124" t="n"/>
      <c r="F312" s="124" t="n"/>
      <c r="G312" s="124" t="n"/>
      <c r="H312" s="125" t="n"/>
      <c r="I312" s="125" t="n"/>
      <c r="J312" s="126" t="n"/>
      <c r="K312" s="126" t="n"/>
      <c r="L312" s="126" t="n"/>
      <c r="M312" s="117" t="n"/>
      <c r="N312" s="11" t="n"/>
      <c r="O312" s="11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184">
      <c r="A313" s="5" t="n"/>
      <c r="B313" s="122" t="n"/>
      <c r="C313" s="123" t="n"/>
      <c r="D313" s="123" t="n"/>
      <c r="E313" s="124" t="n"/>
      <c r="F313" s="124" t="n"/>
      <c r="G313" s="124" t="n"/>
      <c r="H313" s="125" t="n"/>
      <c r="I313" s="125" t="n"/>
      <c r="J313" s="126" t="n"/>
      <c r="K313" s="126" t="n"/>
      <c r="L313" s="126" t="n"/>
      <c r="M313" s="117" t="n"/>
      <c r="N313" s="11" t="n"/>
      <c r="O313" s="11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184">
      <c r="A314" s="5" t="n"/>
      <c r="B314" s="122" t="n"/>
      <c r="C314" s="123" t="n"/>
      <c r="D314" s="123" t="n"/>
      <c r="E314" s="124" t="n"/>
      <c r="F314" s="124" t="n"/>
      <c r="G314" s="124" t="n"/>
      <c r="H314" s="125" t="n"/>
      <c r="I314" s="125" t="n"/>
      <c r="J314" s="126" t="n"/>
      <c r="K314" s="126" t="n"/>
      <c r="L314" s="126" t="n"/>
      <c r="M314" s="117" t="n"/>
      <c r="N314" s="11" t="n"/>
      <c r="O314" s="11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184">
      <c r="A315" s="5" t="n"/>
      <c r="B315" s="122" t="n"/>
      <c r="C315" s="123" t="n"/>
      <c r="D315" s="123" t="n"/>
      <c r="E315" s="124" t="n"/>
      <c r="F315" s="124" t="n"/>
      <c r="G315" s="124" t="n"/>
      <c r="H315" s="125" t="n"/>
      <c r="I315" s="125" t="n"/>
      <c r="J315" s="126" t="n"/>
      <c r="K315" s="126" t="n"/>
      <c r="L315" s="126" t="n"/>
      <c r="M315" s="117" t="n"/>
      <c r="N315" s="11" t="n"/>
      <c r="O315" s="11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184">
      <c r="A316" s="5" t="n"/>
      <c r="B316" s="122" t="n"/>
      <c r="C316" s="123" t="n"/>
      <c r="D316" s="123" t="n"/>
      <c r="E316" s="124" t="n"/>
      <c r="F316" s="124" t="n"/>
      <c r="G316" s="124" t="n"/>
      <c r="H316" s="125" t="n"/>
      <c r="I316" s="125" t="n"/>
      <c r="J316" s="126" t="n"/>
      <c r="K316" s="126" t="n"/>
      <c r="L316" s="126" t="n"/>
      <c r="M316" s="117" t="n"/>
      <c r="N316" s="11" t="n"/>
      <c r="O316" s="11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184">
      <c r="A317" s="5" t="n"/>
      <c r="B317" s="122" t="n"/>
      <c r="C317" s="123" t="n"/>
      <c r="D317" s="123" t="n"/>
      <c r="E317" s="124" t="n"/>
      <c r="F317" s="124" t="n"/>
      <c r="G317" s="124" t="n"/>
      <c r="H317" s="125" t="n"/>
      <c r="I317" s="125" t="n"/>
      <c r="J317" s="126" t="n"/>
      <c r="K317" s="126" t="n"/>
      <c r="L317" s="126" t="n"/>
      <c r="M317" s="117" t="n"/>
      <c r="N317" s="11" t="n"/>
      <c r="O317" s="11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184">
      <c r="A318" s="5" t="n"/>
      <c r="B318" s="122" t="n"/>
      <c r="C318" s="123" t="n"/>
      <c r="D318" s="123" t="n"/>
      <c r="E318" s="124" t="n"/>
      <c r="F318" s="124" t="n"/>
      <c r="G318" s="124" t="n"/>
      <c r="H318" s="125" t="n"/>
      <c r="I318" s="125" t="n"/>
      <c r="J318" s="126" t="n"/>
      <c r="K318" s="126" t="n"/>
      <c r="L318" s="126" t="n"/>
      <c r="M318" s="117" t="n"/>
      <c r="N318" s="11" t="n"/>
      <c r="O318" s="11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184">
      <c r="A319" s="5" t="n"/>
      <c r="B319" s="122" t="n"/>
      <c r="C319" s="123" t="n"/>
      <c r="D319" s="123" t="n"/>
      <c r="E319" s="124" t="n"/>
      <c r="F319" s="124" t="n"/>
      <c r="G319" s="124" t="n"/>
      <c r="H319" s="125" t="n"/>
      <c r="I319" s="125" t="n"/>
      <c r="J319" s="126" t="n"/>
      <c r="K319" s="126" t="n"/>
      <c r="L319" s="126" t="n"/>
      <c r="M319" s="117" t="n"/>
      <c r="N319" s="11" t="n"/>
      <c r="O319" s="11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184">
      <c r="A320" s="5" t="n"/>
      <c r="B320" s="122" t="n"/>
      <c r="C320" s="123" t="n"/>
      <c r="D320" s="123" t="n"/>
      <c r="E320" s="124" t="n"/>
      <c r="F320" s="124" t="n"/>
      <c r="G320" s="124" t="n"/>
      <c r="H320" s="125" t="n"/>
      <c r="I320" s="125" t="n"/>
      <c r="J320" s="126" t="n"/>
      <c r="K320" s="126" t="n"/>
      <c r="L320" s="126" t="n"/>
      <c r="M320" s="117" t="n"/>
      <c r="N320" s="11" t="n"/>
      <c r="O320" s="11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184">
      <c r="A321" s="5" t="n"/>
      <c r="B321" s="122" t="n"/>
      <c r="C321" s="123" t="n"/>
      <c r="D321" s="123" t="n"/>
      <c r="E321" s="124" t="n"/>
      <c r="F321" s="124" t="n"/>
      <c r="G321" s="124" t="n"/>
      <c r="H321" s="125" t="n"/>
      <c r="I321" s="125" t="n"/>
      <c r="J321" s="126" t="n"/>
      <c r="K321" s="126" t="n"/>
      <c r="L321" s="126" t="n"/>
      <c r="M321" s="117" t="n"/>
      <c r="N321" s="11" t="n"/>
      <c r="O321" s="11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184">
      <c r="A322" s="5" t="n"/>
      <c r="B322" s="122" t="n"/>
      <c r="C322" s="123" t="n"/>
      <c r="D322" s="123" t="n"/>
      <c r="E322" s="124" t="n"/>
      <c r="F322" s="124" t="n"/>
      <c r="G322" s="124" t="n"/>
      <c r="H322" s="125" t="n"/>
      <c r="I322" s="125" t="n"/>
      <c r="J322" s="126" t="n"/>
      <c r="K322" s="126" t="n"/>
      <c r="L322" s="126" t="n"/>
      <c r="M322" s="117" t="n"/>
      <c r="N322" s="11" t="n"/>
      <c r="O322" s="11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184">
      <c r="A323" s="5" t="n"/>
      <c r="B323" s="122" t="n"/>
      <c r="C323" s="123" t="n"/>
      <c r="D323" s="123" t="n"/>
      <c r="E323" s="124" t="n"/>
      <c r="F323" s="124" t="n"/>
      <c r="G323" s="124" t="n"/>
      <c r="H323" s="125" t="n"/>
      <c r="I323" s="125" t="n"/>
      <c r="J323" s="126" t="n"/>
      <c r="K323" s="126" t="n"/>
      <c r="L323" s="126" t="n"/>
      <c r="M323" s="117" t="n"/>
      <c r="N323" s="11" t="n"/>
      <c r="O323" s="11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184">
      <c r="A324" s="5" t="n"/>
      <c r="B324" s="122" t="n"/>
      <c r="C324" s="123" t="n"/>
      <c r="D324" s="123" t="n"/>
      <c r="E324" s="124" t="n"/>
      <c r="F324" s="124" t="n"/>
      <c r="G324" s="124" t="n"/>
      <c r="H324" s="125" t="n"/>
      <c r="I324" s="125" t="n"/>
      <c r="J324" s="126" t="n"/>
      <c r="K324" s="126" t="n"/>
      <c r="L324" s="126" t="n"/>
      <c r="M324" s="117" t="n"/>
      <c r="N324" s="11" t="n"/>
      <c r="O324" s="11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184">
      <c r="A325" s="5" t="n"/>
      <c r="B325" s="122" t="n"/>
      <c r="C325" s="123" t="n"/>
      <c r="D325" s="123" t="n"/>
      <c r="E325" s="124" t="n"/>
      <c r="F325" s="124" t="n"/>
      <c r="G325" s="124" t="n"/>
      <c r="H325" s="125" t="n"/>
      <c r="I325" s="125" t="n"/>
      <c r="J325" s="126" t="n"/>
      <c r="K325" s="126" t="n"/>
      <c r="L325" s="126" t="n"/>
      <c r="M325" s="117" t="n"/>
      <c r="N325" s="11" t="n"/>
      <c r="O325" s="11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184">
      <c r="A326" s="5" t="n"/>
      <c r="B326" s="122" t="n"/>
      <c r="C326" s="123" t="n"/>
      <c r="D326" s="123" t="n"/>
      <c r="E326" s="124" t="n"/>
      <c r="F326" s="124" t="n"/>
      <c r="G326" s="124" t="n"/>
      <c r="H326" s="125" t="n"/>
      <c r="I326" s="125" t="n"/>
      <c r="J326" s="126" t="n"/>
      <c r="K326" s="126" t="n"/>
      <c r="L326" s="126" t="n"/>
      <c r="M326" s="117" t="n"/>
      <c r="N326" s="11" t="n"/>
      <c r="O326" s="11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184">
      <c r="A327" s="5" t="n"/>
      <c r="B327" s="122" t="n"/>
      <c r="C327" s="123" t="n"/>
      <c r="D327" s="123" t="n"/>
      <c r="E327" s="124" t="n"/>
      <c r="F327" s="124" t="n"/>
      <c r="G327" s="124" t="n"/>
      <c r="H327" s="125" t="n"/>
      <c r="I327" s="125" t="n"/>
      <c r="J327" s="126" t="n"/>
      <c r="K327" s="126" t="n"/>
      <c r="L327" s="126" t="n"/>
      <c r="M327" s="117" t="n"/>
      <c r="N327" s="11" t="n"/>
      <c r="O327" s="11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184">
      <c r="A328" s="5" t="n"/>
      <c r="B328" s="122" t="n"/>
      <c r="C328" s="123" t="n"/>
      <c r="D328" s="123" t="n"/>
      <c r="E328" s="124" t="n"/>
      <c r="F328" s="124" t="n"/>
      <c r="G328" s="124" t="n"/>
      <c r="H328" s="125" t="n"/>
      <c r="I328" s="125" t="n"/>
      <c r="J328" s="126" t="n"/>
      <c r="K328" s="126" t="n"/>
      <c r="L328" s="126" t="n"/>
      <c r="M328" s="117" t="n"/>
      <c r="N328" s="11" t="n"/>
      <c r="O328" s="11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184">
      <c r="A329" s="5" t="n"/>
      <c r="B329" s="122" t="n"/>
      <c r="C329" s="123" t="n"/>
      <c r="D329" s="123" t="n"/>
      <c r="E329" s="124" t="n"/>
      <c r="F329" s="124" t="n"/>
      <c r="G329" s="124" t="n"/>
      <c r="H329" s="125" t="n"/>
      <c r="I329" s="125" t="n"/>
      <c r="J329" s="126" t="n"/>
      <c r="K329" s="126" t="n"/>
      <c r="L329" s="126" t="n"/>
      <c r="M329" s="117" t="n"/>
      <c r="N329" s="11" t="n"/>
      <c r="O329" s="11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184">
      <c r="A330" s="5" t="n"/>
      <c r="B330" s="122" t="n"/>
      <c r="C330" s="123" t="n"/>
      <c r="D330" s="123" t="n"/>
      <c r="E330" s="124" t="n"/>
      <c r="F330" s="124" t="n"/>
      <c r="G330" s="124" t="n"/>
      <c r="H330" s="125" t="n"/>
      <c r="I330" s="125" t="n"/>
      <c r="J330" s="126" t="n"/>
      <c r="K330" s="126" t="n"/>
      <c r="L330" s="126" t="n"/>
      <c r="M330" s="117" t="n"/>
      <c r="N330" s="11" t="n"/>
      <c r="O330" s="11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184">
      <c r="A331" s="5" t="n"/>
      <c r="B331" s="122" t="n"/>
      <c r="C331" s="123" t="n"/>
      <c r="D331" s="123" t="n"/>
      <c r="E331" s="124" t="n"/>
      <c r="F331" s="124" t="n"/>
      <c r="G331" s="124" t="n"/>
      <c r="H331" s="125" t="n"/>
      <c r="I331" s="125" t="n"/>
      <c r="J331" s="126" t="n"/>
      <c r="K331" s="126" t="n"/>
      <c r="L331" s="126" t="n"/>
      <c r="M331" s="117" t="n"/>
      <c r="N331" s="11" t="n"/>
      <c r="O331" s="11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184">
      <c r="A332" s="5" t="n"/>
      <c r="B332" s="122" t="n"/>
      <c r="C332" s="123" t="n"/>
      <c r="D332" s="123" t="n"/>
      <c r="E332" s="124" t="n"/>
      <c r="F332" s="124" t="n"/>
      <c r="G332" s="124" t="n"/>
      <c r="H332" s="125" t="n"/>
      <c r="I332" s="125" t="n"/>
      <c r="J332" s="126" t="n"/>
      <c r="K332" s="126" t="n"/>
      <c r="L332" s="126" t="n"/>
      <c r="M332" s="117" t="n"/>
      <c r="N332" s="11" t="n"/>
      <c r="O332" s="11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184">
      <c r="A333" s="5" t="n"/>
      <c r="B333" s="122" t="n"/>
      <c r="C333" s="123" t="n"/>
      <c r="D333" s="123" t="n"/>
      <c r="E333" s="124" t="n"/>
      <c r="F333" s="124" t="n"/>
      <c r="G333" s="124" t="n"/>
      <c r="H333" s="125" t="n"/>
      <c r="I333" s="125" t="n"/>
      <c r="J333" s="126" t="n"/>
      <c r="K333" s="126" t="n"/>
      <c r="L333" s="126" t="n"/>
      <c r="M333" s="117" t="n"/>
      <c r="N333" s="11" t="n"/>
      <c r="O333" s="11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184">
      <c r="A334" s="5" t="n"/>
      <c r="B334" s="122" t="n"/>
      <c r="C334" s="123" t="n"/>
      <c r="D334" s="123" t="n"/>
      <c r="E334" s="124" t="n"/>
      <c r="F334" s="124" t="n"/>
      <c r="G334" s="124" t="n"/>
      <c r="H334" s="125" t="n"/>
      <c r="I334" s="125" t="n"/>
      <c r="J334" s="126" t="n"/>
      <c r="K334" s="126" t="n"/>
      <c r="L334" s="126" t="n"/>
      <c r="M334" s="117" t="n"/>
      <c r="N334" s="11" t="n"/>
      <c r="O334" s="11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184">
      <c r="A335" s="5" t="n"/>
      <c r="B335" s="122" t="n"/>
      <c r="C335" s="123" t="n"/>
      <c r="D335" s="123" t="n"/>
      <c r="E335" s="124" t="n"/>
      <c r="F335" s="124" t="n"/>
      <c r="G335" s="124" t="n"/>
      <c r="H335" s="125" t="n"/>
      <c r="I335" s="125" t="n"/>
      <c r="J335" s="126" t="n"/>
      <c r="K335" s="126" t="n"/>
      <c r="L335" s="126" t="n"/>
      <c r="M335" s="117" t="n"/>
      <c r="N335" s="11" t="n"/>
      <c r="O335" s="11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184">
      <c r="A336" s="5" t="n"/>
      <c r="B336" s="122" t="n"/>
      <c r="C336" s="123" t="n"/>
      <c r="D336" s="123" t="n"/>
      <c r="E336" s="124" t="n"/>
      <c r="F336" s="124" t="n"/>
      <c r="G336" s="124" t="n"/>
      <c r="H336" s="125" t="n"/>
      <c r="I336" s="125" t="n"/>
      <c r="J336" s="126" t="n"/>
      <c r="K336" s="126" t="n"/>
      <c r="L336" s="126" t="n"/>
      <c r="M336" s="117" t="n"/>
      <c r="N336" s="11" t="n"/>
      <c r="O336" s="11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184">
      <c r="A337" s="5" t="n"/>
      <c r="B337" s="122" t="n"/>
      <c r="C337" s="123" t="n"/>
      <c r="D337" s="123" t="n"/>
      <c r="E337" s="124" t="n"/>
      <c r="F337" s="124" t="n"/>
      <c r="G337" s="124" t="n"/>
      <c r="H337" s="125" t="n"/>
      <c r="I337" s="125" t="n"/>
      <c r="J337" s="126" t="n"/>
      <c r="K337" s="126" t="n"/>
      <c r="L337" s="126" t="n"/>
      <c r="M337" s="117" t="n"/>
      <c r="N337" s="11" t="n"/>
      <c r="O337" s="11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184">
      <c r="A338" s="5" t="n"/>
      <c r="B338" s="122" t="n"/>
      <c r="C338" s="123" t="n"/>
      <c r="D338" s="123" t="n"/>
      <c r="E338" s="124" t="n"/>
      <c r="F338" s="124" t="n"/>
      <c r="G338" s="124" t="n"/>
      <c r="H338" s="125" t="n"/>
      <c r="I338" s="125" t="n"/>
      <c r="J338" s="126" t="n"/>
      <c r="K338" s="126" t="n"/>
      <c r="L338" s="126" t="n"/>
      <c r="M338" s="117" t="n"/>
      <c r="N338" s="11" t="n"/>
      <c r="O338" s="11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184">
      <c r="A339" s="5" t="n"/>
      <c r="B339" s="122" t="n"/>
      <c r="C339" s="123" t="n"/>
      <c r="D339" s="123" t="n"/>
      <c r="E339" s="124" t="n"/>
      <c r="F339" s="124" t="n"/>
      <c r="G339" s="124" t="n"/>
      <c r="H339" s="125" t="n"/>
      <c r="I339" s="125" t="n"/>
      <c r="J339" s="126" t="n"/>
      <c r="K339" s="126" t="n"/>
      <c r="L339" s="126" t="n"/>
      <c r="M339" s="117" t="n"/>
      <c r="N339" s="11" t="n"/>
      <c r="O339" s="11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184">
      <c r="A340" s="5" t="n"/>
      <c r="B340" s="122" t="n"/>
      <c r="C340" s="123" t="n"/>
      <c r="D340" s="123" t="n"/>
      <c r="E340" s="124" t="n"/>
      <c r="F340" s="124" t="n"/>
      <c r="G340" s="124" t="n"/>
      <c r="H340" s="125" t="n"/>
      <c r="I340" s="125" t="n"/>
      <c r="J340" s="126" t="n"/>
      <c r="K340" s="126" t="n"/>
      <c r="L340" s="126" t="n"/>
      <c r="M340" s="117" t="n"/>
      <c r="N340" s="11" t="n"/>
      <c r="O340" s="11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184">
      <c r="A341" s="5" t="n"/>
      <c r="B341" s="122" t="n"/>
      <c r="C341" s="123" t="n"/>
      <c r="D341" s="123" t="n"/>
      <c r="E341" s="124" t="n"/>
      <c r="F341" s="124" t="n"/>
      <c r="G341" s="124" t="n"/>
      <c r="H341" s="125" t="n"/>
      <c r="I341" s="125" t="n"/>
      <c r="J341" s="126" t="n"/>
      <c r="K341" s="126" t="n"/>
      <c r="L341" s="126" t="n"/>
      <c r="M341" s="117" t="n"/>
      <c r="N341" s="11" t="n"/>
      <c r="O341" s="11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184">
      <c r="A342" s="5" t="n"/>
      <c r="B342" s="122" t="n"/>
      <c r="C342" s="123" t="n"/>
      <c r="D342" s="123" t="n"/>
      <c r="E342" s="124" t="n"/>
      <c r="F342" s="124" t="n"/>
      <c r="G342" s="124" t="n"/>
      <c r="H342" s="125" t="n"/>
      <c r="I342" s="125" t="n"/>
      <c r="J342" s="126" t="n"/>
      <c r="K342" s="126" t="n"/>
      <c r="L342" s="126" t="n"/>
      <c r="M342" s="117" t="n"/>
      <c r="N342" s="11" t="n"/>
      <c r="O342" s="11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184">
      <c r="A343" s="5" t="n"/>
      <c r="B343" s="122" t="n"/>
      <c r="C343" s="123" t="n"/>
      <c r="D343" s="123" t="n"/>
      <c r="E343" s="124" t="n"/>
      <c r="F343" s="124" t="n"/>
      <c r="G343" s="124" t="n"/>
      <c r="H343" s="125" t="n"/>
      <c r="I343" s="125" t="n"/>
      <c r="J343" s="126" t="n"/>
      <c r="K343" s="126" t="n"/>
      <c r="L343" s="126" t="n"/>
      <c r="M343" s="117" t="n"/>
      <c r="N343" s="11" t="n"/>
      <c r="O343" s="11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184">
      <c r="A344" s="5" t="n"/>
      <c r="B344" s="122" t="n"/>
      <c r="C344" s="123" t="n"/>
      <c r="D344" s="123" t="n"/>
      <c r="E344" s="124" t="n"/>
      <c r="F344" s="124" t="n"/>
      <c r="G344" s="124" t="n"/>
      <c r="H344" s="125" t="n"/>
      <c r="I344" s="125" t="n"/>
      <c r="J344" s="126" t="n"/>
      <c r="K344" s="126" t="n"/>
      <c r="L344" s="126" t="n"/>
      <c r="M344" s="117" t="n"/>
      <c r="N344" s="11" t="n"/>
      <c r="O344" s="11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184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184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184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184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184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184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184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184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184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18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184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184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184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184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184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184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184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184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184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18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184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184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184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184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184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184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184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184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184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18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184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184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184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184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184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184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184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184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184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1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184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184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184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184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184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184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184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184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184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18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184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184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184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184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184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184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184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184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184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18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184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184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184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184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184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184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184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184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184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18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184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184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184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184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184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184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184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184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184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18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184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184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184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184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184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184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184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184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184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18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184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184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184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184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184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184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184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184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184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18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184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184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184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184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184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184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184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184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184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18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184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184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184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184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184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184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184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184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184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18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184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184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184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184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184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184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184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184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184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18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184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184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184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184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184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184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184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184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184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1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184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184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184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184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184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184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184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184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184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18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184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184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184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184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184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184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184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184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184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18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184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184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184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184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184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184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184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184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184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18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184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184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184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184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184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184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184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184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184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18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184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184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184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184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184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184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184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184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184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18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184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184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184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184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184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184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184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184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184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18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184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184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184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184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184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184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184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184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184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18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184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184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184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184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184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184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184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184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184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18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184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184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184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184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184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184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184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184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184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18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184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184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184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184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184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184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184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184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184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1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184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184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184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184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184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184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184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184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184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18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184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184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184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184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184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184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184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184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184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18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184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184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184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184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184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184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184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184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184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18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184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184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184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184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184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184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184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184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184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18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184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184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184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184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184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184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184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184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184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18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184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184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184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184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184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184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184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184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184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18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184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184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184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184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184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184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184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184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184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18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184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184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184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184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184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184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184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184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184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18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184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184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184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184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184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184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184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184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184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18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184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184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184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184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184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184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184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184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184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1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184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184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184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184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184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184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184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184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184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18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184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184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184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184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184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184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184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184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184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18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184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184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184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184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184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184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184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184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184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18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184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184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184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184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184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184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184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184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184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18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184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184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184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184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184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184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184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184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184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18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184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184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184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184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184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184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184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184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184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18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184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184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184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184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184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184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184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184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184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18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184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184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184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184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184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184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184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184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184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18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184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184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184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184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184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184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184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184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184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18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184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184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184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184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184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184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184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184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184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1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184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184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184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184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184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184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184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184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184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18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184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184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184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184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184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184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184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184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184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18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184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184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184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184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184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184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184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184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184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18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184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184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184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184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184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184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184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184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184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18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184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184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184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184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184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184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184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184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184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18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184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184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184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184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184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184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184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184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184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18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184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184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184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184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184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184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184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184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184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18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184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184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184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184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184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184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184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184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184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18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184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184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184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184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184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184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184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184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184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18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184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184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184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184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184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184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184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184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184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1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184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184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184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184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184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184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184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184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184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18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184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184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184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184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184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184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184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184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184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18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184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184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184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184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184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184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184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184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184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18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184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184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184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184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184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184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184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184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184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18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184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184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184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184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184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184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184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184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184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18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184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184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184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184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184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184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184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184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184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18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184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184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184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184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184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184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184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184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184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18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184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184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184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184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184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184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184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184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184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18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184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184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184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184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184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184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184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184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184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18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184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184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184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184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184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184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184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184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184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1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184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184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184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184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184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184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184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184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184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18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184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184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184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184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184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184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7">
    <mergeCell ref="K1:M1"/>
    <mergeCell ref="B1:F1"/>
    <mergeCell ref="E3:G3"/>
    <mergeCell ref="G1:J1"/>
    <mergeCell ref="C3:D3"/>
    <mergeCell ref="J3:L3"/>
    <mergeCell ref="H3:I3"/>
  </mergeCells>
  <conditionalFormatting sqref="G5:G1000">
    <cfRule type="cellIs" priority="1" operator="lessThan" dxfId="5">
      <formula>0</formula>
    </cfRule>
  </conditionalFormatting>
  <conditionalFormatting sqref="L5:L1000 M5:M144">
    <cfRule type="cellIs" priority="2" operator="lessThan" dxfId="6">
      <formula>0</formula>
    </cfRule>
  </conditionalFormatting>
  <conditionalFormatting sqref="H5:H1000">
    <cfRule type="cellIs" priority="3" operator="greaterThan" dxfId="7">
      <formula>1</formula>
    </cfRule>
  </conditionalFormatting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5.14" customWidth="1" style="184" min="1" max="1"/>
    <col width="28" customWidth="1" style="184" min="2" max="2"/>
    <col width="12" customWidth="1" style="184" min="3" max="3"/>
    <col width="18" customWidth="1" style="184" min="4" max="6"/>
    <col width="16" customWidth="1" style="184" min="7" max="7"/>
    <col width="12" customWidth="1" style="184" min="8" max="8"/>
    <col width="14" customWidth="1" style="184" min="9" max="9"/>
    <col width="8.710000000000001" customWidth="1" style="184" min="10" max="10"/>
    <col width="3" customWidth="1" style="184" min="11" max="11"/>
  </cols>
  <sheetData>
    <row r="1" ht="31.5" customHeight="1" s="184">
      <c r="A1" s="228" t="inlineStr">
        <is>
          <t>💼 INVESTMENT PORTFOLIO DASHBOARD — Crypto + Shares + MF</t>
        </is>
      </c>
      <c r="I1" s="11" t="n"/>
      <c r="J1" s="11" t="n"/>
      <c r="K1" s="11" t="n"/>
    </row>
    <row r="2" ht="25.5" customHeight="1" s="184">
      <c r="A2" s="129" t="inlineStr">
        <is>
          <t>Type</t>
        </is>
      </c>
      <c r="B2" s="129" t="inlineStr">
        <is>
          <t>Total Invested ₹</t>
        </is>
      </c>
      <c r="C2" s="129" t="inlineStr">
        <is>
          <t>Total Withdrawn ₹</t>
        </is>
      </c>
      <c r="D2" s="129" t="inlineStr">
        <is>
          <t>Net Invested ₹</t>
        </is>
      </c>
      <c r="E2" s="129" t="inlineStr">
        <is>
          <t>Live Holding ₹</t>
        </is>
      </c>
      <c r="F2" s="129" t="inlineStr">
        <is>
          <t>P &amp; L ₹</t>
        </is>
      </c>
      <c r="G2" s="129" t="inlineStr">
        <is>
          <t>Return %</t>
        </is>
      </c>
      <c r="H2" s="129" t="inlineStr">
        <is>
          <t>Status</t>
        </is>
      </c>
      <c r="I2" s="11" t="n"/>
      <c r="J2" s="11" t="n"/>
      <c r="K2" s="11" t="n"/>
    </row>
    <row r="3" ht="25.5" customHeight="1" s="184">
      <c r="A3" s="130" t="inlineStr">
        <is>
          <t>Crypto</t>
        </is>
      </c>
      <c r="B3" s="131">
        <f>IFERROR(SUMIFS(INVESTMENTS!F:F,INVESTMENTS!C:C,A3),"")</f>
        <v/>
      </c>
      <c r="C3" s="132">
        <f>IFERROR(SUMIFS(INVESTMENTS!K:K,INVESTMENTS!C:C,A3,INVESTMENTS!E:E,"Sell / Redeem"),"0")</f>
        <v/>
      </c>
      <c r="D3" s="133">
        <f>B3-C3</f>
        <v/>
      </c>
      <c r="E3" s="134">
        <f>IFERROR(SUMIFS($E$9:$E$16,$A$9:$A$16,A3),"")</f>
        <v/>
      </c>
      <c r="F3" s="133">
        <f>E3-B3-C3</f>
        <v/>
      </c>
      <c r="G3" s="135">
        <f>IFERROR(F3/(B3-C3),0)</f>
        <v/>
      </c>
      <c r="H3" s="136">
        <f>IF(F3&gt;=0,"📈 Profit","📉 Loss")</f>
        <v/>
      </c>
      <c r="I3" s="11" t="n"/>
      <c r="J3" s="11" t="n"/>
      <c r="K3" s="11" t="n"/>
    </row>
    <row r="4" ht="25.5" customHeight="1" s="184">
      <c r="A4" s="137" t="inlineStr">
        <is>
          <t>Shares MF</t>
        </is>
      </c>
      <c r="B4" s="131">
        <f>IFERROR(SUMIFS(INVESTMENTS!F:F,INVESTMENTS!C:C,A4),"")</f>
        <v/>
      </c>
      <c r="C4" s="132">
        <f>IFERROR(SUMIFS(INVESTMENTS!K:K,INVESTMENTS!C:C,A4,INVESTMENTS!E:E,"Sell / Redeem"),"0")</f>
        <v/>
      </c>
      <c r="D4" s="138">
        <f>B4-C4</f>
        <v/>
      </c>
      <c r="E4" s="134">
        <f>IFERROR(SUMIFS($E$9:$E$16,$A$9:$A$16,A4),"")</f>
        <v/>
      </c>
      <c r="F4" s="138">
        <f>E4-B4-C4</f>
        <v/>
      </c>
      <c r="G4" s="139">
        <f>IFERROR(F4/(B4-C4),0)</f>
        <v/>
      </c>
      <c r="H4" s="140">
        <f>IF(F4&gt;=0,"📈 Profit","📉 Loss")</f>
        <v/>
      </c>
      <c r="I4" s="11" t="n"/>
      <c r="J4" s="11" t="n"/>
      <c r="K4" s="11" t="n"/>
    </row>
    <row r="5" ht="25.5" customHeight="1" s="184">
      <c r="A5" s="105" t="inlineStr">
        <is>
          <t>TOTAL</t>
        </is>
      </c>
      <c r="B5" s="105">
        <f>SUM(B3:B4)</f>
        <v/>
      </c>
      <c r="C5" s="105">
        <f>SUM(C3:C4)</f>
        <v/>
      </c>
      <c r="D5" s="105">
        <f>B5-C5</f>
        <v/>
      </c>
      <c r="E5" s="134">
        <f>SUM(E3:E4)</f>
        <v/>
      </c>
      <c r="F5" s="105">
        <f>E5-B5-C5</f>
        <v/>
      </c>
      <c r="G5" s="106">
        <f>IFERROR(F5/(B5-C5),0)</f>
        <v/>
      </c>
      <c r="H5" s="141">
        <f>IF(F5&gt;=0,"📈 Profit","📉 Loss")</f>
        <v/>
      </c>
      <c r="I5" s="11" t="n"/>
      <c r="J5" s="11" t="n"/>
      <c r="K5" s="11" t="n"/>
    </row>
    <row r="6" ht="25.5" customHeight="1" s="184">
      <c r="A6" s="229" t="inlineStr">
        <is>
          <t xml:space="preserve">⚠️  Holding Value (yellow) auto-updates </t>
        </is>
      </c>
      <c r="B6" s="218" t="n"/>
      <c r="C6" s="218" t="n"/>
      <c r="D6" s="218" t="n"/>
      <c r="E6" s="218" t="n"/>
      <c r="F6" s="218" t="n"/>
      <c r="G6" s="218" t="n"/>
      <c r="H6" s="218" t="n"/>
      <c r="I6" s="11" t="n"/>
      <c r="J6" s="11" t="n"/>
      <c r="K6" s="11" t="n"/>
    </row>
    <row r="7" ht="25.5" customHeight="1" s="184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</row>
    <row r="8" ht="21.75" customHeight="1" s="184">
      <c r="A8" s="143" t="inlineStr">
        <is>
          <t>Type</t>
        </is>
      </c>
      <c r="B8" s="144" t="inlineStr">
        <is>
          <t>Coin / Share</t>
        </is>
      </c>
      <c r="C8" s="144" t="inlineStr">
        <is>
          <t>Units Held</t>
        </is>
      </c>
      <c r="D8" s="144" t="inlineStr">
        <is>
          <t>Avg Buy Price ₹</t>
        </is>
      </c>
      <c r="E8" s="145" t="inlineStr">
        <is>
          <t>Current Value ₹</t>
        </is>
      </c>
      <c r="F8" s="144" t="inlineStr">
        <is>
          <t>Total Invested ₹</t>
        </is>
      </c>
      <c r="G8" s="144" t="inlineStr">
        <is>
          <t>P&amp;L ₹</t>
        </is>
      </c>
      <c r="H8" s="144" t="inlineStr">
        <is>
          <t>Return %</t>
        </is>
      </c>
      <c r="I8" s="144" t="inlineStr">
        <is>
          <t>Status</t>
        </is>
      </c>
      <c r="J8" s="11" t="n"/>
      <c r="K8" s="11" t="n"/>
    </row>
    <row r="9" ht="15" customHeight="1" s="184">
      <c r="A9" s="146">
        <f>IFERROR(__xludf.DUMMYFUNCTION("SORT(
  UNIQUE(FILTER(INVESTMENTS!C4:D992,INVESTMENTS!C4:C992&lt;&gt;"""",INVESTMENTS!D4:D992&lt;&gt;"""")),
  MATCH(
    INDEX(UNIQUE(FILTER(INVESTMENTS!C4:D992,INVESTMENTS!C4:C992&lt;&gt;"""",INVESTMENTS!D4:D992&lt;&gt;"""")),0,1),
    {""Crypto"",""Shares MF""},
    0
  ),
  "&amp;"TRUE,
  2,
  TRUE
)"),"Crypto")</f>
        <v/>
      </c>
      <c r="B9" s="146">
        <f>IFERROR(__xludf.DUMMYFUNCTION("""COMPUTED_VALUE"""),"Bitcoin (BTC)")</f>
        <v/>
      </c>
      <c r="C9" s="147">
        <f>IFERROR(SUMIF(INVESTMENTS!D:D,B9,INVESTMENTS!I:I),"Error")</f>
        <v/>
      </c>
      <c r="D9" s="148">
        <f>IFERROR(AVERAGEIF(INVESTMENTS!D:D,B9,INVESTMENTS!J:J),"")</f>
        <v/>
      </c>
      <c r="E9" s="148">
        <f>IFERROR(VLOOKUP(B9,SETTINGS!H:J,3,0)*C9,"0")</f>
        <v/>
      </c>
      <c r="F9" s="148">
        <f>IFERROR(SUMIF(INVESTMENTS!D:D,B9,INVESTMENTS!F:F),"")</f>
        <v/>
      </c>
      <c r="G9" s="148">
        <f>E9-F9</f>
        <v/>
      </c>
      <c r="H9" s="149">
        <f>IFERROR((E9-F9)/ABS(F9),0)</f>
        <v/>
      </c>
      <c r="I9" s="150">
        <f>IF(G9&gt;=0,"📈 Profit","📉 Loss")</f>
        <v/>
      </c>
      <c r="J9" s="11" t="n"/>
      <c r="K9" s="11" t="n"/>
    </row>
    <row r="10" ht="15" customHeight="1" s="184">
      <c r="A10" s="146">
        <f>IFERROR(__xludf.DUMMYFUNCTION("""COMPUTED_VALUE"""),"Crypto")</f>
        <v/>
      </c>
      <c r="B10" s="146">
        <f>IFERROR(__xludf.DUMMYFUNCTION("""COMPUTED_VALUE"""),"Cardano (ADA)")</f>
        <v/>
      </c>
      <c r="C10" s="147">
        <f>IFERROR(SUMIF(INVESTMENTS!D:D,B10,INVESTMENTS!I:I),"Error")</f>
        <v/>
      </c>
      <c r="D10" s="148">
        <f>IFERROR(AVERAGEIF(INVESTMENTS!D:D,B10,INVESTMENTS!J:J),"")</f>
        <v/>
      </c>
      <c r="E10" s="148">
        <f>IFERROR(VLOOKUP(B10,SETTINGS!H:J,3,0)*C10,"0")</f>
        <v/>
      </c>
      <c r="F10" s="148">
        <f>IFERROR(SUMIF(INVESTMENTS!D:D,B10,INVESTMENTS!F:F),"")</f>
        <v/>
      </c>
      <c r="G10" s="148">
        <f>E10-F10</f>
        <v/>
      </c>
      <c r="H10" s="149">
        <f>IFERROR((E10-F10)/ABS(F10),0)</f>
        <v/>
      </c>
      <c r="I10" s="150">
        <f>IF(G10&gt;=0,"📈 Profit","📉 Loss")</f>
        <v/>
      </c>
      <c r="J10" s="11" t="n"/>
      <c r="K10" s="11" t="n"/>
    </row>
    <row r="11" ht="15" customHeight="1" s="184">
      <c r="A11" s="146">
        <f>IFERROR(__xludf.DUMMYFUNCTION("""COMPUTED_VALUE"""),"Crypto")</f>
        <v/>
      </c>
      <c r="B11" s="146">
        <f>IFERROR(__xludf.DUMMYFUNCTION("""COMPUTED_VALUE"""),"Ethereum (ETH)")</f>
        <v/>
      </c>
      <c r="C11" s="147">
        <f>IFERROR(SUMIF(INVESTMENTS!D:D,B11,INVESTMENTS!I:I),"Error")</f>
        <v/>
      </c>
      <c r="D11" s="148">
        <f>IFERROR(AVERAGEIF(INVESTMENTS!D:D,B11,INVESTMENTS!J:J),"")</f>
        <v/>
      </c>
      <c r="E11" s="148">
        <f>IFERROR(VLOOKUP(B11,SETTINGS!H:J,3,0)*C11,"0")</f>
        <v/>
      </c>
      <c r="F11" s="148">
        <f>IFERROR(SUMIF(INVESTMENTS!D:D,B11,INVESTMENTS!F:F),"")</f>
        <v/>
      </c>
      <c r="G11" s="148">
        <f>E11-F11</f>
        <v/>
      </c>
      <c r="H11" s="149">
        <f>IFERROR((E11-F11)/ABS(F11),0)</f>
        <v/>
      </c>
      <c r="I11" s="150">
        <f>IF(G11&gt;=0,"📈 Profit","📉 Loss")</f>
        <v/>
      </c>
      <c r="J11" s="11" t="n"/>
      <c r="K11" s="11" t="n"/>
    </row>
    <row r="12" ht="15" customHeight="1" s="184">
      <c r="A12" s="146">
        <f>IFERROR(__xludf.DUMMYFUNCTION("""COMPUTED_VALUE"""),"Crypto")</f>
        <v/>
      </c>
      <c r="B12" s="146">
        <f>IFERROR(__xludf.DUMMYFUNCTION("""COMPUTED_VALUE"""),"Polygon (MATIC)")</f>
        <v/>
      </c>
      <c r="C12" s="147">
        <f>IFERROR(SUMIF(INVESTMENTS!D:D,B12,INVESTMENTS!I:I),"Error")</f>
        <v/>
      </c>
      <c r="D12" s="148">
        <f>IFERROR(AVERAGEIF(INVESTMENTS!D:D,B12,INVESTMENTS!J:J),"")</f>
        <v/>
      </c>
      <c r="E12" s="148">
        <f>IFERROR(VLOOKUP(B12,SETTINGS!H:J,3,0)*C12,"0")</f>
        <v/>
      </c>
      <c r="F12" s="148">
        <f>IFERROR(SUMIF(INVESTMENTS!D:D,B12,INVESTMENTS!F:F),"")</f>
        <v/>
      </c>
      <c r="G12" s="148">
        <f>E12-F12</f>
        <v/>
      </c>
      <c r="H12" s="149">
        <f>IFERROR((E12-F12)/ABS(F12),0)</f>
        <v/>
      </c>
      <c r="I12" s="150">
        <f>IF(G12&gt;=0,"📈 Profit","📉 Loss")</f>
        <v/>
      </c>
      <c r="J12" s="11" t="n"/>
      <c r="K12" s="11" t="n"/>
    </row>
    <row r="13" ht="15" customHeight="1" s="184">
      <c r="A13" s="146">
        <f>IFERROR(__xludf.DUMMYFUNCTION("""COMPUTED_VALUE"""),"Crypto")</f>
        <v/>
      </c>
      <c r="B13" s="146">
        <f>IFERROR(__xludf.DUMMYFUNCTION("""COMPUTED_VALUE"""),"Solana (SOL)")</f>
        <v/>
      </c>
      <c r="C13" s="147">
        <f>IFERROR(SUMIF(INVESTMENTS!D:D,B13,INVESTMENTS!I:I),"Error")</f>
        <v/>
      </c>
      <c r="D13" s="148">
        <f>IFERROR(AVERAGEIF(INVESTMENTS!D:D,B13,INVESTMENTS!J:J),"")</f>
        <v/>
      </c>
      <c r="E13" s="148">
        <f>IFERROR(VLOOKUP(B13,SETTINGS!H:J,3,0)*C13,"0")</f>
        <v/>
      </c>
      <c r="F13" s="148">
        <f>IFERROR(SUMIF(INVESTMENTS!D:D,B13,INVESTMENTS!F:F),"")</f>
        <v/>
      </c>
      <c r="G13" s="148">
        <f>E13-F13</f>
        <v/>
      </c>
      <c r="H13" s="149">
        <f>IFERROR((E13-F13)/ABS(F13),0)</f>
        <v/>
      </c>
      <c r="I13" s="150">
        <f>IF(G13&gt;=0,"📈 Profit","📉 Loss")</f>
        <v/>
      </c>
      <c r="J13" s="11" t="n"/>
      <c r="K13" s="11" t="n"/>
    </row>
    <row r="14" ht="15" customHeight="1" s="184">
      <c r="A14" s="146">
        <f>IFERROR(__xludf.DUMMYFUNCTION("""COMPUTED_VALUE"""),"Shares MF")</f>
        <v/>
      </c>
      <c r="B14" s="146">
        <f>IFERROR(__xludf.DUMMYFUNCTION("""COMPUTED_VALUE"""),"SBI Savings Fund Direct Plan Growth")</f>
        <v/>
      </c>
      <c r="C14" s="147">
        <f>IFERROR(SUMIF(INVESTMENTS!D:D,B14,INVESTMENTS!I:I),"Error")</f>
        <v/>
      </c>
      <c r="D14" s="148">
        <f>IFERROR(AVERAGEIF(INVESTMENTS!D:D,B14,INVESTMENTS!J:J),"")</f>
        <v/>
      </c>
      <c r="E14" s="148">
        <f>IFERROR(VLOOKUP(B14,SETTINGS!H:J,3,0)*C14,"0")</f>
        <v/>
      </c>
      <c r="F14" s="148">
        <f>IFERROR(SUMIF(INVESTMENTS!D:D,B14,INVESTMENTS!F:F),"")</f>
        <v/>
      </c>
      <c r="G14" s="148">
        <f>E14-F14</f>
        <v/>
      </c>
      <c r="H14" s="149">
        <f>IFERROR((E14-F14)/ABS(F14),0)</f>
        <v/>
      </c>
      <c r="I14" s="150">
        <f>IF(G14&gt;=0,"📈 Profit","📉 Loss")</f>
        <v/>
      </c>
      <c r="J14" s="11" t="n"/>
      <c r="K14" s="11" t="n"/>
    </row>
    <row r="15" ht="15" customHeight="1" s="184">
      <c r="A15" s="146" t="n"/>
      <c r="B15" s="146" t="n"/>
      <c r="C15" s="147">
        <f>IFERROR(SUMIF(INVESTMENTS!D:D,B15,INVESTMENTS!I:I),"Error")</f>
        <v/>
      </c>
      <c r="D15" s="148">
        <f>IFERROR(AVERAGEIF(INVESTMENTS!D:D,B15,INVESTMENTS!J:J),"")</f>
        <v/>
      </c>
      <c r="E15" s="148">
        <f>IFERROR(VLOOKUP(B15,SETTINGS!H:J,3,0)*C15,"0")</f>
        <v/>
      </c>
      <c r="F15" s="148">
        <f>IFERROR(SUMIF(INVESTMENTS!D:D,B15,INVESTMENTS!F:F),"")</f>
        <v/>
      </c>
      <c r="G15" s="148">
        <f>E15-F15</f>
        <v/>
      </c>
      <c r="H15" s="149">
        <f>IFERROR((E15-F15)/ABS(F15),0)</f>
        <v/>
      </c>
      <c r="I15" s="150">
        <f>IF(G15&gt;=0,"📈 Profit","📉 Loss")</f>
        <v/>
      </c>
      <c r="J15" s="11" t="n"/>
      <c r="K15" s="11" t="n"/>
    </row>
    <row r="16" ht="15" customHeight="1" s="184">
      <c r="A16" s="146" t="n"/>
      <c r="B16" s="146" t="n"/>
      <c r="C16" s="147">
        <f>IFERROR(SUMIF(INVESTMENTS!D:D,B16,INVESTMENTS!I:I),"Error")</f>
        <v/>
      </c>
      <c r="D16" s="148">
        <f>IFERROR(AVERAGEIF(INVESTMENTS!D:D,B16,INVESTMENTS!J:J),"")</f>
        <v/>
      </c>
      <c r="E16" s="148">
        <f>IFERROR(VLOOKUP(B16,SETTINGS!H:J,3,0)*C16,"0")</f>
        <v/>
      </c>
      <c r="F16" s="148">
        <f>IFERROR(SUMIF(INVESTMENTS!D:D,B16,INVESTMENTS!F:F),"")</f>
        <v/>
      </c>
      <c r="G16" s="148">
        <f>E16-F16</f>
        <v/>
      </c>
      <c r="H16" s="149">
        <f>IFERROR((E16-F16)/ABS(F16),0)</f>
        <v/>
      </c>
      <c r="I16" s="150">
        <f>IF(G16&gt;=0,"📈 Profit","📉 Loss")</f>
        <v/>
      </c>
      <c r="J16" s="11" t="n"/>
      <c r="K16" s="11" t="n"/>
    </row>
    <row r="17" ht="15" customHeight="1" s="184">
      <c r="A17" s="146" t="n"/>
      <c r="B17" s="146" t="n"/>
      <c r="C17" s="147">
        <f>IFERROR(SUMIF(INVESTMENTS!D:D,B17,INVESTMENTS!I:I),"Error")</f>
        <v/>
      </c>
      <c r="D17" s="148">
        <f>IFERROR(AVERAGEIF(INVESTMENTS!D:D,B17,INVESTMENTS!J:J),"")</f>
        <v/>
      </c>
      <c r="E17" s="148">
        <f>IFERROR(multiply(VLOOKUP(B17,SETTINGS!H:J,3,0),C17),"0")</f>
        <v/>
      </c>
      <c r="F17" s="148">
        <f>IFERROR(SUMIF(INVESTMENTS!D:D,B17,INVESTMENTS!F:F),"")</f>
        <v/>
      </c>
      <c r="G17" s="148">
        <f>E17-F17</f>
        <v/>
      </c>
      <c r="H17" s="149">
        <f>IFERROR((E17-F17)/ABS(F17),0)</f>
        <v/>
      </c>
      <c r="I17" s="150">
        <f>IF(G17&gt;=0,"📈 Profit","📉 Loss")</f>
        <v/>
      </c>
      <c r="J17" s="11" t="n"/>
      <c r="K17" s="11" t="n"/>
    </row>
    <row r="18" ht="15" customHeight="1" s="184">
      <c r="A18" s="146" t="n"/>
      <c r="B18" s="146" t="n"/>
      <c r="C18" s="147">
        <f>IFERROR(SUMIF(INVESTMENTS!D:D,B18,INVESTMENTS!I:I),"Error")</f>
        <v/>
      </c>
      <c r="D18" s="148">
        <f>IFERROR(AVERAGEIF(INVESTMENTS!D:D,B18,INVESTMENTS!J:J),"")</f>
        <v/>
      </c>
      <c r="E18" s="148">
        <f>IFERROR(multiply(VLOOKUP(B18,SETTINGS!H:J,3,0),C18),"0")</f>
        <v/>
      </c>
      <c r="F18" s="148">
        <f>IFERROR(SUMIF(INVESTMENTS!D:D,B18,INVESTMENTS!F:F),"")</f>
        <v/>
      </c>
      <c r="G18" s="148">
        <f>E18-F18</f>
        <v/>
      </c>
      <c r="H18" s="149">
        <f>IFERROR((E18-F18)/ABS(F18),0)</f>
        <v/>
      </c>
      <c r="I18" s="150">
        <f>IF(G18&gt;=0,"📈 Profit","📉 Loss")</f>
        <v/>
      </c>
      <c r="J18" s="11" t="n"/>
      <c r="K18" s="11" t="n"/>
    </row>
    <row r="19" ht="15" customHeight="1" s="184">
      <c r="A19" s="146" t="n"/>
      <c r="B19" s="146" t="n"/>
      <c r="C19" s="147">
        <f>IFERROR(SUMIF(INVESTMENTS!D:D,B19,INVESTMENTS!I:I),"Error")</f>
        <v/>
      </c>
      <c r="D19" s="148">
        <f>IFERROR(AVERAGEIF(INVESTMENTS!D:D,B19,INVESTMENTS!J:J),"")</f>
        <v/>
      </c>
      <c r="E19" s="148">
        <f>IFERROR(multiply(VLOOKUP(B19,SETTINGS!H:J,3,0),C19),"0")</f>
        <v/>
      </c>
      <c r="F19" s="148">
        <f>IFERROR(SUMIF(INVESTMENTS!D:D,B19,INVESTMENTS!F:F),"")</f>
        <v/>
      </c>
      <c r="G19" s="148">
        <f>E19-F19</f>
        <v/>
      </c>
      <c r="H19" s="149">
        <f>IFERROR((E19-F19)/ABS(F19),0)</f>
        <v/>
      </c>
      <c r="I19" s="150">
        <f>IF(G19&gt;=0,"📈 Profit","📉 Loss")</f>
        <v/>
      </c>
      <c r="J19" s="11" t="n"/>
      <c r="K19" s="11" t="n"/>
    </row>
    <row r="20" ht="15" customHeight="1" s="184">
      <c r="A20" s="146" t="n"/>
      <c r="B20" s="146" t="n"/>
      <c r="C20" s="147">
        <f>IFERROR(SUMIF(INVESTMENTS!D:D,B20,INVESTMENTS!I:I),"Error")</f>
        <v/>
      </c>
      <c r="D20" s="148">
        <f>IFERROR(AVERAGEIF(INVESTMENTS!D:D,B20,INVESTMENTS!J:J),"")</f>
        <v/>
      </c>
      <c r="E20" s="148">
        <f>IFERROR(multiply(VLOOKUP(B20,SETTINGS!H:J,3,0),C20),"0")</f>
        <v/>
      </c>
      <c r="F20" s="148">
        <f>IFERROR(SUMIF(INVESTMENTS!D:D,B20,INVESTMENTS!F:F),"")</f>
        <v/>
      </c>
      <c r="G20" s="148">
        <f>E20-F20</f>
        <v/>
      </c>
      <c r="H20" s="149">
        <f>IFERROR((E20-F20)/ABS(F20),0)</f>
        <v/>
      </c>
      <c r="I20" s="150">
        <f>IF(G20&gt;=0,"📈 Profit","📉 Loss")</f>
        <v/>
      </c>
      <c r="J20" s="11" t="n"/>
      <c r="K20" s="11" t="n"/>
    </row>
    <row r="21" ht="27.75" customHeight="1" s="184">
      <c r="A21" s="151" t="n"/>
      <c r="B21" s="152" t="inlineStr">
        <is>
          <t>GRAND TOTAL (Crypto + Shares)</t>
        </is>
      </c>
      <c r="C21" s="153" t="n"/>
      <c r="D21" s="154" t="n"/>
      <c r="E21" s="155">
        <f>SUM(E9:E20)</f>
        <v/>
      </c>
      <c r="F21" s="155">
        <f>SUM(F9:F20)</f>
        <v/>
      </c>
      <c r="G21" s="155">
        <f>SUM(G9:G20)</f>
        <v/>
      </c>
      <c r="H21" s="156">
        <f>IFERROR(G21/ABS(F21),0)</f>
        <v/>
      </c>
      <c r="I21" s="157" t="n"/>
      <c r="J21" s="11" t="n"/>
      <c r="K21" s="11" t="n"/>
    </row>
    <row r="22" ht="15" customHeight="1" s="184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</row>
    <row r="23" ht="15" customHeight="1" s="184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</row>
    <row r="24" ht="15.75" customHeight="1" s="18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 ht="15.75" customHeight="1" s="184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 ht="15.75" customHeight="1" s="184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 ht="15.75" customHeight="1" s="184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 ht="15.75" customHeight="1" s="184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 ht="15.75" customHeight="1" s="184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 ht="15.75" customHeight="1" s="184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 ht="15.75" customHeight="1" s="184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15.75" customHeight="1" s="184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 ht="15.75" customHeight="1" s="184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15.75" customHeight="1" s="18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 ht="15.75" customHeight="1" s="184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 ht="15.75" customHeight="1" s="184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 ht="15.75" customHeight="1" s="184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 ht="15.75" customHeight="1" s="184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 ht="15.75" customHeight="1" s="184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 ht="15.75" customHeight="1" s="184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 ht="15.75" customHeight="1" s="184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15.75" customHeight="1" s="184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 ht="15.75" customHeight="1" s="184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 ht="15.75" customHeight="1" s="18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 ht="15.75" customHeight="1" s="184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 ht="15.75" customHeight="1" s="184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 ht="15.75" customHeight="1" s="184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 ht="15.75" customHeight="1" s="184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 ht="15.75" customHeight="1" s="184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 ht="15.75" customHeight="1" s="184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 ht="15.75" customHeight="1" s="184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 ht="15.75" customHeight="1" s="184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 ht="15.75" customHeight="1" s="184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 ht="15.75" customHeight="1" s="18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 ht="15.75" customHeight="1" s="184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 ht="15.75" customHeight="1" s="184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 ht="15.75" customHeight="1" s="184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 ht="15.75" customHeight="1" s="184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 ht="15.75" customHeight="1" s="184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 ht="15.75" customHeight="1" s="184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 ht="15.75" customHeight="1" s="184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 ht="15.75" customHeight="1" s="184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 ht="15.75" customHeight="1" s="184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 ht="15.75" customHeight="1" s="18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 ht="15.75" customHeight="1" s="184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 ht="15.75" customHeight="1" s="184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 ht="15.75" customHeight="1" s="184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 ht="15.75" customHeight="1" s="184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 ht="15.75" customHeight="1" s="184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 ht="15.75" customHeight="1" s="184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 ht="15.75" customHeight="1" s="184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 ht="15.75" customHeight="1" s="184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</row>
    <row r="73" ht="15.75" customHeight="1" s="184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 ht="15.75" customHeight="1" s="18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 ht="15.75" customHeight="1" s="184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 ht="15.75" customHeight="1" s="184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</row>
    <row r="77" ht="15.75" customHeight="1" s="184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 ht="15.75" customHeight="1" s="184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</row>
    <row r="79" ht="15.75" customHeight="1" s="184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 ht="15.75" customHeight="1" s="184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 ht="15.75" customHeight="1" s="184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</row>
    <row r="82" ht="15.75" customHeight="1" s="184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 ht="15.75" customHeight="1" s="184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</row>
    <row r="84" ht="15.75" customHeight="1" s="1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</row>
    <row r="85" ht="15.75" customHeight="1" s="184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</row>
    <row r="86" ht="15.75" customHeight="1" s="184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</row>
    <row r="87" ht="15.75" customHeight="1" s="184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</row>
    <row r="88" ht="15.75" customHeight="1" s="184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 ht="15.75" customHeight="1" s="184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</row>
    <row r="90" ht="15.75" customHeight="1" s="184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</row>
    <row r="91" ht="15.75" customHeight="1" s="184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</row>
    <row r="92" ht="15.75" customHeight="1" s="184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</row>
    <row r="93" ht="15.75" customHeight="1" s="184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</row>
    <row r="94" ht="15.75" customHeight="1" s="18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</row>
    <row r="95" ht="15.75" customHeight="1" s="184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</row>
    <row r="96" ht="15.75" customHeight="1" s="184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</row>
    <row r="97" ht="15.75" customHeight="1" s="184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</row>
    <row r="98" ht="15.75" customHeight="1" s="184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</row>
    <row r="99" ht="15.75" customHeight="1" s="184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</row>
    <row r="100" ht="15.75" customHeight="1" s="184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</row>
    <row r="101" ht="15.75" customHeight="1" s="184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</row>
    <row r="102" ht="15.75" customHeight="1" s="184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</row>
    <row r="103" ht="15.75" customHeight="1" s="184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</row>
    <row r="104" ht="15.75" customHeight="1" s="18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</row>
    <row r="105" ht="15.75" customHeight="1" s="184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</row>
    <row r="106" ht="15.75" customHeight="1" s="184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</row>
    <row r="107" ht="15.75" customHeight="1" s="184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</row>
    <row r="108" ht="15.75" customHeight="1" s="184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</row>
    <row r="109" ht="15.75" customHeight="1" s="184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</row>
    <row r="110" ht="15.75" customHeight="1" s="184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</row>
    <row r="111" ht="15.75" customHeight="1" s="184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</row>
    <row r="112" ht="15.75" customHeight="1" s="184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</row>
    <row r="113" ht="15.75" customHeight="1" s="184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</row>
    <row r="114" ht="15.75" customHeight="1" s="18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</row>
    <row r="115" ht="15.75" customHeight="1" s="184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</row>
    <row r="116" ht="15.75" customHeight="1" s="184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</row>
    <row r="117" ht="15.75" customHeight="1" s="184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</row>
    <row r="118" ht="15.75" customHeight="1" s="184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</row>
    <row r="119" ht="15.75" customHeight="1" s="184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</row>
    <row r="120" ht="15.75" customHeight="1" s="184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</row>
    <row r="121" ht="15.75" customHeight="1" s="184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</row>
    <row r="122" ht="15.75" customHeight="1" s="184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</row>
    <row r="123" ht="15.75" customHeight="1" s="184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</row>
    <row r="124" ht="15.75" customHeight="1" s="18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</row>
    <row r="125" ht="15.75" customHeight="1" s="184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</row>
    <row r="126" ht="15.75" customHeight="1" s="184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</row>
    <row r="127" ht="15.75" customHeight="1" s="184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</row>
    <row r="128" ht="15.75" customHeight="1" s="184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</row>
    <row r="129" ht="15.75" customHeight="1" s="184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</row>
    <row r="130" ht="15.75" customHeight="1" s="184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</row>
    <row r="131" ht="15.75" customHeight="1" s="184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</row>
    <row r="132" ht="15.75" customHeight="1" s="184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</row>
    <row r="133" ht="15.75" customHeight="1" s="184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</row>
    <row r="134" ht="15.75" customHeight="1" s="18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</row>
    <row r="135" ht="15.75" customHeight="1" s="184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</row>
    <row r="136" ht="15.75" customHeight="1" s="184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</row>
    <row r="137" ht="15.75" customHeight="1" s="184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</row>
    <row r="138" ht="15.75" customHeight="1" s="184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</row>
    <row r="139" ht="15.75" customHeight="1" s="184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</row>
    <row r="140" ht="15.75" customHeight="1" s="184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</row>
    <row r="141" ht="15.75" customHeight="1" s="184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</row>
    <row r="142" ht="15.75" customHeight="1" s="184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</row>
    <row r="143" ht="15.75" customHeight="1" s="184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</row>
    <row r="144" ht="15.75" customHeight="1" s="18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</row>
    <row r="145" ht="15.75" customHeight="1" s="184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</row>
    <row r="146" ht="15.75" customHeight="1" s="184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</row>
    <row r="147" ht="15.75" customHeight="1" s="184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</row>
    <row r="148" ht="15.75" customHeight="1" s="184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</row>
    <row r="149" ht="15.75" customHeight="1" s="184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</row>
    <row r="150" ht="15.75" customHeight="1" s="184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</row>
    <row r="151" ht="15.75" customHeight="1" s="184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</row>
    <row r="152" ht="15.75" customHeight="1" s="184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</row>
    <row r="153" ht="15.75" customHeight="1" s="184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</row>
    <row r="154" ht="15.75" customHeight="1" s="18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</row>
    <row r="155" ht="15.75" customHeight="1" s="184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</row>
    <row r="156" ht="15.75" customHeight="1" s="184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</row>
    <row r="157" ht="15.75" customHeight="1" s="184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</row>
    <row r="158" ht="15.75" customHeight="1" s="184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</row>
    <row r="159" ht="15.75" customHeight="1" s="184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</row>
    <row r="160" ht="15.75" customHeight="1" s="184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</row>
    <row r="161" ht="15.75" customHeight="1" s="184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</row>
    <row r="162" ht="15.75" customHeight="1" s="184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</row>
    <row r="163" ht="15.75" customHeight="1" s="184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</row>
    <row r="164" ht="15.75" customHeight="1" s="18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</row>
    <row r="165" ht="15.75" customHeight="1" s="184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</row>
    <row r="166" ht="15.75" customHeight="1" s="184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</row>
    <row r="167" ht="15.75" customHeight="1" s="184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</row>
    <row r="168" ht="15.75" customHeight="1" s="184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</row>
    <row r="169" ht="15.75" customHeight="1" s="184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</row>
    <row r="170" ht="15.75" customHeight="1" s="184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</row>
    <row r="171" ht="15.75" customHeight="1" s="184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</row>
    <row r="172" ht="15.75" customHeight="1" s="184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</row>
    <row r="173" ht="15.75" customHeight="1" s="184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</row>
    <row r="174" ht="15.75" customHeight="1" s="18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</row>
    <row r="175" ht="15.75" customHeight="1" s="184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</row>
    <row r="176" ht="15.75" customHeight="1" s="184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</row>
    <row r="177" ht="15.75" customHeight="1" s="184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</row>
    <row r="178" ht="15.75" customHeight="1" s="184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</row>
    <row r="179" ht="15.75" customHeight="1" s="184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</row>
    <row r="180" ht="15.75" customHeight="1" s="184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</row>
    <row r="181" ht="15.75" customHeight="1" s="184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</row>
    <row r="182" ht="15.75" customHeight="1" s="184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</row>
    <row r="183" ht="15.75" customHeight="1" s="184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</row>
    <row r="184" ht="15.75" customHeight="1" s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</row>
    <row r="185" ht="15.75" customHeight="1" s="184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</row>
    <row r="186" ht="15.75" customHeight="1" s="184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</row>
    <row r="187" ht="15.75" customHeight="1" s="184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</row>
    <row r="188" ht="15.75" customHeight="1" s="184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</row>
    <row r="189" ht="15.75" customHeight="1" s="184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</row>
    <row r="190" ht="15.75" customHeight="1" s="184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</row>
    <row r="191" ht="15.75" customHeight="1" s="184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</row>
    <row r="192" ht="15.75" customHeight="1" s="184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</row>
    <row r="193" ht="15.75" customHeight="1" s="184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</row>
    <row r="194" ht="15.75" customHeight="1" s="18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</row>
    <row r="195" ht="15.75" customHeight="1" s="184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</row>
    <row r="196" ht="15.75" customHeight="1" s="184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</row>
    <row r="197" ht="15.75" customHeight="1" s="184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</row>
    <row r="198" ht="15.75" customHeight="1" s="184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</row>
    <row r="199" ht="15.75" customHeight="1" s="184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</row>
    <row r="200" ht="15.75" customHeight="1" s="184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</row>
    <row r="201" ht="15.75" customHeight="1" s="184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</row>
    <row r="202" ht="15.75" customHeight="1" s="184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</row>
    <row r="203" ht="15.75" customHeight="1" s="184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</row>
    <row r="204" ht="15.75" customHeight="1" s="18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</row>
    <row r="205" ht="15.75" customHeight="1" s="184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</row>
    <row r="206" ht="15.75" customHeight="1" s="184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</row>
    <row r="207" ht="15.75" customHeight="1" s="184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</row>
    <row r="208" ht="15.75" customHeight="1" s="184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</row>
    <row r="209" ht="15.75" customHeight="1" s="184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</row>
    <row r="210" ht="15.75" customHeight="1" s="184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</row>
    <row r="211" ht="15.75" customHeight="1" s="184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</row>
    <row r="212" ht="15.75" customHeight="1" s="184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</row>
    <row r="213" ht="15.75" customHeight="1" s="184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</row>
    <row r="214" ht="15.75" customHeight="1" s="18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</row>
    <row r="215" ht="15.75" customHeight="1" s="184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</row>
    <row r="216" ht="15.75" customHeight="1" s="184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</row>
    <row r="217" ht="15.75" customHeight="1" s="184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</row>
    <row r="218" ht="15.75" customHeight="1" s="184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</row>
    <row r="219" ht="15.75" customHeight="1" s="184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</row>
    <row r="220" ht="15.75" customHeight="1" s="184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</row>
    <row r="221" ht="15.75" customHeight="1" s="184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</row>
    <row r="222" ht="15.75" customHeight="1" s="184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</row>
    <row r="223" ht="15.75" customHeight="1" s="18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</row>
    <row r="224" ht="15.75" customHeight="1" s="18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</row>
    <row r="225" ht="15.75" customHeight="1" s="18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</row>
    <row r="226" ht="15.75" customHeight="1" s="18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</row>
    <row r="227" ht="15.75" customHeight="1" s="18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</row>
    <row r="228" ht="15.75" customHeight="1" s="18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</row>
    <row r="229" ht="15.75" customHeight="1" s="184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</row>
    <row r="230" ht="15.75" customHeight="1" s="184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</row>
    <row r="231" ht="15.75" customHeight="1" s="184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</row>
    <row r="232" ht="15.75" customHeight="1" s="184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</row>
    <row r="233" ht="15.75" customHeight="1" s="184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</row>
    <row r="234" ht="15.75" customHeight="1" s="18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</row>
    <row r="235" ht="15.75" customHeight="1" s="184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</row>
    <row r="236" ht="15.75" customHeight="1" s="184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</row>
    <row r="237" ht="15.75" customHeight="1" s="184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</row>
    <row r="238" ht="15.75" customHeight="1" s="184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</row>
    <row r="239" ht="15.75" customHeight="1" s="184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</row>
    <row r="240" ht="15.75" customHeight="1" s="184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</row>
    <row r="241" ht="15.75" customHeight="1" s="184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</row>
    <row r="242" ht="15.75" customHeight="1" s="18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</row>
    <row r="243" ht="15.75" customHeight="1" s="18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</row>
    <row r="244" ht="15.75" customHeight="1" s="18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</row>
    <row r="245" ht="15.75" customHeight="1" s="184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</row>
    <row r="246" ht="15.75" customHeight="1" s="184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</row>
    <row r="247" ht="15.75" customHeight="1" s="184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</row>
    <row r="248" ht="15.75" customHeight="1" s="184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</row>
    <row r="249" ht="15.75" customHeight="1" s="184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</row>
    <row r="250" ht="15.75" customHeight="1" s="184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</row>
    <row r="251" ht="15.75" customHeight="1" s="184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</row>
    <row r="252" ht="15.75" customHeight="1" s="184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</row>
    <row r="253" ht="15.75" customHeight="1" s="184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</row>
    <row r="254" ht="15.75" customHeight="1" s="18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</row>
    <row r="255" ht="15.75" customHeight="1" s="184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</row>
    <row r="256" ht="15.75" customHeight="1" s="184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</row>
    <row r="257" ht="15.75" customHeight="1" s="184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</row>
    <row r="258" ht="15.75" customHeight="1" s="184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</row>
    <row r="259" ht="15.75" customHeight="1" s="184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</row>
    <row r="260" ht="15.75" customHeight="1" s="184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</row>
    <row r="261" ht="15.75" customHeight="1" s="184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</row>
    <row r="262" ht="15.75" customHeight="1" s="184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</row>
    <row r="263" ht="15.75" customHeight="1" s="184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</row>
    <row r="264" ht="15.75" customHeight="1" s="18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</row>
    <row r="265" ht="15.75" customHeight="1" s="184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</row>
    <row r="266" ht="15.75" customHeight="1" s="184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</row>
    <row r="267" ht="15.75" customHeight="1" s="184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</row>
    <row r="268" ht="15.75" customHeight="1" s="184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</row>
    <row r="269" ht="15.75" customHeight="1" s="184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</row>
    <row r="270" ht="15.75" customHeight="1" s="184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</row>
    <row r="271" ht="15.75" customHeight="1" s="184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</row>
    <row r="272" ht="15.75" customHeight="1" s="184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</row>
    <row r="273" ht="15.75" customHeight="1" s="184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</row>
    <row r="274" ht="15.75" customHeight="1" s="18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</row>
    <row r="275" ht="15.75" customHeight="1" s="184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</row>
    <row r="276" ht="15.75" customHeight="1" s="184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</row>
    <row r="277" ht="15.75" customHeight="1" s="184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</row>
    <row r="278" ht="15.75" customHeight="1" s="184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</row>
    <row r="279" ht="15.75" customHeight="1" s="184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</row>
    <row r="280" ht="15.75" customHeight="1" s="184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</row>
    <row r="281" ht="15.75" customHeight="1" s="184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</row>
    <row r="282" ht="15.75" customHeight="1" s="184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</row>
    <row r="283" ht="15.75" customHeight="1" s="184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</row>
    <row r="284" ht="15.75" customHeight="1" s="1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</row>
    <row r="285" ht="15.75" customHeight="1" s="184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</row>
    <row r="286" ht="15.75" customHeight="1" s="184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</row>
    <row r="287" ht="15.75" customHeight="1" s="184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</row>
    <row r="288" ht="15.75" customHeight="1" s="184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</row>
    <row r="289" ht="15.75" customHeight="1" s="184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</row>
    <row r="290" ht="15.75" customHeight="1" s="184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</row>
    <row r="291" ht="15.75" customHeight="1" s="184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</row>
    <row r="292" ht="15.75" customHeight="1" s="184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</row>
    <row r="293" ht="15.75" customHeight="1" s="184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</row>
    <row r="294" ht="15.75" customHeight="1" s="18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</row>
    <row r="295" ht="15.75" customHeight="1" s="184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</row>
    <row r="296" ht="15.75" customHeight="1" s="184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</row>
    <row r="297" ht="15.75" customHeight="1" s="184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</row>
    <row r="298" ht="15.75" customHeight="1" s="184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</row>
    <row r="299" ht="15.75" customHeight="1" s="184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</row>
    <row r="300" ht="15.75" customHeight="1" s="184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</row>
    <row r="301" ht="15.75" customHeight="1" s="184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</row>
    <row r="302" ht="15.75" customHeight="1" s="184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</row>
    <row r="303" ht="15.75" customHeight="1" s="184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</row>
    <row r="304" ht="15.75" customHeight="1" s="18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</row>
    <row r="305" ht="15.75" customHeight="1" s="184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</row>
    <row r="306" ht="15.75" customHeight="1" s="184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</row>
    <row r="307" ht="15.75" customHeight="1" s="184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</row>
    <row r="308" ht="15.75" customHeight="1" s="184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</row>
    <row r="309" ht="15.75" customHeight="1" s="184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</row>
    <row r="310" ht="15.75" customHeight="1" s="184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</row>
    <row r="311" ht="15.75" customHeight="1" s="184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</row>
    <row r="312" ht="15.75" customHeight="1" s="184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</row>
    <row r="313" ht="15.75" customHeight="1" s="184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</row>
    <row r="314" ht="15.75" customHeight="1" s="18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</row>
    <row r="315" ht="15.75" customHeight="1" s="184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</row>
    <row r="316" ht="15.75" customHeight="1" s="184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</row>
    <row r="317" ht="15.75" customHeight="1" s="184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</row>
    <row r="318" ht="15.75" customHeight="1" s="184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</row>
    <row r="319" ht="15.75" customHeight="1" s="184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</row>
    <row r="320" ht="15.75" customHeight="1" s="184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</row>
    <row r="321" ht="15.75" customHeight="1" s="184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</row>
    <row r="322" ht="15.75" customHeight="1" s="184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</row>
    <row r="323" ht="15.75" customHeight="1" s="184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</row>
    <row r="324" ht="15.75" customHeight="1" s="18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</row>
    <row r="325" ht="15.75" customHeight="1" s="184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</row>
    <row r="326" ht="15.75" customHeight="1" s="184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</row>
    <row r="327" ht="15.75" customHeight="1" s="184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</row>
    <row r="328" ht="15.75" customHeight="1" s="184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</row>
    <row r="329" ht="15.75" customHeight="1" s="184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</row>
    <row r="330" ht="15.75" customHeight="1" s="184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</row>
    <row r="331" ht="15.75" customHeight="1" s="184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</row>
    <row r="332" ht="15.75" customHeight="1" s="184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</row>
    <row r="333" ht="15.75" customHeight="1" s="184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</row>
    <row r="334" ht="15.75" customHeight="1" s="18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</row>
    <row r="335" ht="15.75" customHeight="1" s="184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</row>
    <row r="336" ht="15.75" customHeight="1" s="184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</row>
    <row r="337" ht="15.75" customHeight="1" s="184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</row>
    <row r="338" ht="15.75" customHeight="1" s="184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</row>
    <row r="339" ht="15.75" customHeight="1" s="184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</row>
    <row r="340" ht="15.75" customHeight="1" s="184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</row>
    <row r="341" ht="15.75" customHeight="1" s="184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</row>
    <row r="342" ht="15.75" customHeight="1" s="184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</row>
    <row r="343" ht="15.75" customHeight="1" s="184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</row>
    <row r="344" ht="15.75" customHeight="1" s="18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</row>
    <row r="345" ht="15.75" customHeight="1" s="184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</row>
    <row r="346" ht="15.75" customHeight="1" s="184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</row>
    <row r="347" ht="15.75" customHeight="1" s="184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</row>
    <row r="348" ht="15.75" customHeight="1" s="184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</row>
    <row r="349" ht="15.75" customHeight="1" s="184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</row>
    <row r="350" ht="15.75" customHeight="1" s="184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</row>
    <row r="351" ht="15.75" customHeight="1" s="184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</row>
    <row r="352" ht="15.75" customHeight="1" s="184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</row>
    <row r="353" ht="15.75" customHeight="1" s="184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</row>
    <row r="354" ht="15.75" customHeight="1" s="18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</row>
    <row r="355" ht="15.75" customHeight="1" s="184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</row>
    <row r="356" ht="15.75" customHeight="1" s="184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</row>
    <row r="357" ht="15.75" customHeight="1" s="184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</row>
    <row r="358" ht="15.75" customHeight="1" s="184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</row>
    <row r="359" ht="15.75" customHeight="1" s="184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</row>
    <row r="360" ht="15.75" customHeight="1" s="184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</row>
    <row r="361" ht="15.75" customHeight="1" s="184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</row>
    <row r="362" ht="15.75" customHeight="1" s="184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</row>
    <row r="363" ht="15.75" customHeight="1" s="184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</row>
    <row r="364" ht="15.75" customHeight="1" s="18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</row>
    <row r="365" ht="15.75" customHeight="1" s="184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</row>
    <row r="366" ht="15.75" customHeight="1" s="184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</row>
    <row r="367" ht="15.75" customHeight="1" s="184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</row>
    <row r="368" ht="15.75" customHeight="1" s="184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</row>
    <row r="369" ht="15.75" customHeight="1" s="184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</row>
    <row r="370" ht="15.75" customHeight="1" s="184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</row>
    <row r="371" ht="15.75" customHeight="1" s="184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</row>
    <row r="372" ht="15.75" customHeight="1" s="184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</row>
    <row r="373" ht="15.75" customHeight="1" s="184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</row>
    <row r="374" ht="15.75" customHeight="1" s="18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</row>
    <row r="375" ht="15.75" customHeight="1" s="184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</row>
    <row r="376" ht="15.75" customHeight="1" s="184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</row>
    <row r="377" ht="15.75" customHeight="1" s="184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</row>
    <row r="378" ht="15.75" customHeight="1" s="184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</row>
    <row r="379" ht="15.75" customHeight="1" s="184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</row>
    <row r="380" ht="15.75" customHeight="1" s="184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</row>
    <row r="381" ht="15.75" customHeight="1" s="184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</row>
    <row r="382" ht="15.75" customHeight="1" s="184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</row>
    <row r="383" ht="15.75" customHeight="1" s="184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</row>
    <row r="384" ht="15.75" customHeight="1" s="1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</row>
    <row r="385" ht="15.75" customHeight="1" s="184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</row>
    <row r="386" ht="15.75" customHeight="1" s="184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</row>
    <row r="387" ht="15.75" customHeight="1" s="184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</row>
    <row r="388" ht="15.75" customHeight="1" s="184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</row>
    <row r="389" ht="15.75" customHeight="1" s="184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</row>
    <row r="390" ht="15.75" customHeight="1" s="184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</row>
    <row r="391" ht="15.75" customHeight="1" s="184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</row>
    <row r="392" ht="15.75" customHeight="1" s="184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</row>
    <row r="393" ht="15.75" customHeight="1" s="184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</row>
    <row r="394" ht="15.75" customHeight="1" s="18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</row>
    <row r="395" ht="15.75" customHeight="1" s="184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</row>
    <row r="396" ht="15.75" customHeight="1" s="184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</row>
    <row r="397" ht="15.75" customHeight="1" s="184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</row>
    <row r="398" ht="15.75" customHeight="1" s="184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</row>
    <row r="399" ht="15.75" customHeight="1" s="184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</row>
    <row r="400" ht="15.75" customHeight="1" s="184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</row>
    <row r="401" ht="15.75" customHeight="1" s="184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</row>
    <row r="402" ht="15.75" customHeight="1" s="184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</row>
    <row r="403" ht="15.75" customHeight="1" s="184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</row>
    <row r="404" ht="15.75" customHeight="1" s="18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</row>
    <row r="405" ht="15.75" customHeight="1" s="184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</row>
    <row r="406" ht="15.75" customHeight="1" s="184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</row>
    <row r="407" ht="15.75" customHeight="1" s="184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</row>
    <row r="408" ht="15.75" customHeight="1" s="184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</row>
    <row r="409" ht="15.75" customHeight="1" s="184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</row>
    <row r="410" ht="15.75" customHeight="1" s="184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</row>
    <row r="411" ht="15.75" customHeight="1" s="184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</row>
    <row r="412" ht="15.75" customHeight="1" s="184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</row>
    <row r="413" ht="15.75" customHeight="1" s="184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</row>
    <row r="414" ht="15.75" customHeight="1" s="18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</row>
    <row r="415" ht="15.75" customHeight="1" s="184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</row>
    <row r="416" ht="15.75" customHeight="1" s="184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</row>
    <row r="417" ht="15.75" customHeight="1" s="184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</row>
    <row r="418" ht="15.75" customHeight="1" s="184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</row>
    <row r="419" ht="15.75" customHeight="1" s="184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</row>
    <row r="420" ht="15.75" customHeight="1" s="184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</row>
    <row r="421" ht="15.75" customHeight="1" s="184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</row>
    <row r="422" ht="15.75" customHeight="1" s="184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</row>
    <row r="423" ht="15.75" customHeight="1" s="184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</row>
    <row r="424" ht="15.75" customHeight="1" s="18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</row>
    <row r="425" ht="15.75" customHeight="1" s="184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</row>
    <row r="426" ht="15.75" customHeight="1" s="184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</row>
    <row r="427" ht="15.75" customHeight="1" s="184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</row>
    <row r="428" ht="15.75" customHeight="1" s="184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</row>
    <row r="429" ht="15.75" customHeight="1" s="184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</row>
    <row r="430" ht="15.75" customHeight="1" s="184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</row>
    <row r="431" ht="15.75" customHeight="1" s="184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</row>
    <row r="432" ht="15.75" customHeight="1" s="184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</row>
    <row r="433" ht="15.75" customHeight="1" s="184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</row>
    <row r="434" ht="15.75" customHeight="1" s="18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</row>
    <row r="435" ht="15.75" customHeight="1" s="184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</row>
    <row r="436" ht="15.75" customHeight="1" s="184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</row>
    <row r="437" ht="15.75" customHeight="1" s="184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</row>
    <row r="438" ht="15.75" customHeight="1" s="184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</row>
    <row r="439" ht="15.75" customHeight="1" s="184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</row>
    <row r="440" ht="15.75" customHeight="1" s="184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</row>
    <row r="441" ht="15.75" customHeight="1" s="184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</row>
    <row r="442" ht="15.75" customHeight="1" s="184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</row>
    <row r="443" ht="15.75" customHeight="1" s="184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</row>
    <row r="444" ht="15.75" customHeight="1" s="18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</row>
    <row r="445" ht="15.75" customHeight="1" s="184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</row>
    <row r="446" ht="15.75" customHeight="1" s="184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</row>
    <row r="447" ht="15.75" customHeight="1" s="184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</row>
    <row r="448" ht="15.75" customHeight="1" s="184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</row>
    <row r="449" ht="15.75" customHeight="1" s="184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</row>
    <row r="450" ht="15.75" customHeight="1" s="184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</row>
    <row r="451" ht="15.75" customHeight="1" s="184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</row>
    <row r="452" ht="15.75" customHeight="1" s="184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</row>
    <row r="453" ht="15.75" customHeight="1" s="184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</row>
    <row r="454" ht="15.75" customHeight="1" s="18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</row>
    <row r="455" ht="15.75" customHeight="1" s="184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</row>
    <row r="456" ht="15.75" customHeight="1" s="184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</row>
    <row r="457" ht="15.75" customHeight="1" s="184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</row>
    <row r="458" ht="15.75" customHeight="1" s="184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</row>
    <row r="459" ht="15.75" customHeight="1" s="184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</row>
    <row r="460" ht="15.75" customHeight="1" s="184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</row>
    <row r="461" ht="15.75" customHeight="1" s="184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</row>
    <row r="462" ht="15.75" customHeight="1" s="184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</row>
    <row r="463" ht="15.75" customHeight="1" s="184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</row>
    <row r="464" ht="15.75" customHeight="1" s="18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</row>
    <row r="465" ht="15.75" customHeight="1" s="184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</row>
    <row r="466" ht="15.75" customHeight="1" s="184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</row>
    <row r="467" ht="15.75" customHeight="1" s="184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</row>
    <row r="468" ht="15.75" customHeight="1" s="184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</row>
    <row r="469" ht="15.75" customHeight="1" s="184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</row>
    <row r="470" ht="15.75" customHeight="1" s="184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</row>
    <row r="471" ht="15.75" customHeight="1" s="184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</row>
    <row r="472" ht="15.75" customHeight="1" s="184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</row>
    <row r="473" ht="15.75" customHeight="1" s="184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</row>
    <row r="474" ht="15.75" customHeight="1" s="18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</row>
    <row r="475" ht="15.75" customHeight="1" s="184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</row>
    <row r="476" ht="15.75" customHeight="1" s="184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</row>
    <row r="477" ht="15.75" customHeight="1" s="184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</row>
    <row r="478" ht="15.75" customHeight="1" s="184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</row>
    <row r="479" ht="15.75" customHeight="1" s="184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</row>
    <row r="480" ht="15.75" customHeight="1" s="184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</row>
    <row r="481" ht="15.75" customHeight="1" s="184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</row>
    <row r="482" ht="15.75" customHeight="1" s="184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</row>
    <row r="483" ht="15.75" customHeight="1" s="184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</row>
    <row r="484" ht="15.75" customHeight="1" s="1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</row>
    <row r="485" ht="15.75" customHeight="1" s="184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</row>
    <row r="486" ht="15.75" customHeight="1" s="184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</row>
    <row r="487" ht="15.75" customHeight="1" s="184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</row>
    <row r="488" ht="15.75" customHeight="1" s="184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</row>
    <row r="489" ht="15.75" customHeight="1" s="184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</row>
    <row r="490" ht="15.75" customHeight="1" s="184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</row>
    <row r="491" ht="15.75" customHeight="1" s="184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</row>
    <row r="492" ht="15.75" customHeight="1" s="184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</row>
    <row r="493" ht="15.75" customHeight="1" s="184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</row>
    <row r="494" ht="15.75" customHeight="1" s="18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</row>
    <row r="495" ht="15.75" customHeight="1" s="184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</row>
    <row r="496" ht="15.75" customHeight="1" s="184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</row>
    <row r="497" ht="15.75" customHeight="1" s="184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</row>
    <row r="498" ht="15.75" customHeight="1" s="184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</row>
    <row r="499" ht="15.75" customHeight="1" s="184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</row>
    <row r="500" ht="15.75" customHeight="1" s="184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</row>
    <row r="501" ht="15.75" customHeight="1" s="184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</row>
    <row r="502" ht="15.75" customHeight="1" s="184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</row>
    <row r="503" ht="15.75" customHeight="1" s="184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</row>
    <row r="504" ht="15.75" customHeight="1" s="18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</row>
    <row r="505" ht="15.75" customHeight="1" s="184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</row>
    <row r="506" ht="15.75" customHeight="1" s="184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</row>
    <row r="507" ht="15.75" customHeight="1" s="184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</row>
    <row r="508" ht="15.75" customHeight="1" s="184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</row>
    <row r="509" ht="15.75" customHeight="1" s="184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</row>
    <row r="510" ht="15.75" customHeight="1" s="184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</row>
    <row r="511" ht="15.75" customHeight="1" s="184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</row>
    <row r="512" ht="15.75" customHeight="1" s="184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</row>
    <row r="513" ht="15.75" customHeight="1" s="184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</row>
    <row r="514" ht="15.75" customHeight="1" s="18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</row>
    <row r="515" ht="15.75" customHeight="1" s="184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</row>
    <row r="516" ht="15.75" customHeight="1" s="184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</row>
    <row r="517" ht="15.75" customHeight="1" s="184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</row>
    <row r="518" ht="15.75" customHeight="1" s="184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</row>
    <row r="519" ht="15.75" customHeight="1" s="184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</row>
    <row r="520" ht="15.75" customHeight="1" s="184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</row>
    <row r="521" ht="15.75" customHeight="1" s="184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</row>
    <row r="522" ht="15.75" customHeight="1" s="184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</row>
    <row r="523" ht="15.75" customHeight="1" s="184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</row>
    <row r="524" ht="15.75" customHeight="1" s="18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</row>
    <row r="525" ht="15.75" customHeight="1" s="184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</row>
    <row r="526" ht="15.75" customHeight="1" s="184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</row>
    <row r="527" ht="15.75" customHeight="1" s="184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</row>
    <row r="528" ht="15.75" customHeight="1" s="184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</row>
    <row r="529" ht="15.75" customHeight="1" s="184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</row>
    <row r="530" ht="15.75" customHeight="1" s="184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</row>
    <row r="531" ht="15.75" customHeight="1" s="184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</row>
    <row r="532" ht="15.75" customHeight="1" s="184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</row>
    <row r="533" ht="15.75" customHeight="1" s="184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</row>
    <row r="534" ht="15.75" customHeight="1" s="18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</row>
    <row r="535" ht="15.75" customHeight="1" s="184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</row>
    <row r="536" ht="15.75" customHeight="1" s="184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</row>
    <row r="537" ht="15.75" customHeight="1" s="184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</row>
    <row r="538" ht="15.75" customHeight="1" s="184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</row>
    <row r="539" ht="15.75" customHeight="1" s="184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</row>
    <row r="540" ht="15.75" customHeight="1" s="184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</row>
    <row r="541" ht="15.75" customHeight="1" s="184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</row>
    <row r="542" ht="15.75" customHeight="1" s="184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</row>
    <row r="543" ht="15.75" customHeight="1" s="184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</row>
    <row r="544" ht="15.75" customHeight="1" s="18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</row>
    <row r="545" ht="15.75" customHeight="1" s="184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</row>
    <row r="546" ht="15.75" customHeight="1" s="184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</row>
    <row r="547" ht="15.75" customHeight="1" s="184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</row>
    <row r="548" ht="15.75" customHeight="1" s="184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</row>
    <row r="549" ht="15.75" customHeight="1" s="184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</row>
    <row r="550" ht="15.75" customHeight="1" s="184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</row>
    <row r="551" ht="15.75" customHeight="1" s="184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</row>
    <row r="552" ht="15.75" customHeight="1" s="184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</row>
    <row r="553" ht="15.75" customHeight="1" s="184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</row>
    <row r="554" ht="15.75" customHeight="1" s="18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</row>
    <row r="555" ht="15.75" customHeight="1" s="184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</row>
    <row r="556" ht="15.75" customHeight="1" s="184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</row>
    <row r="557" ht="15.75" customHeight="1" s="184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</row>
    <row r="558" ht="15.75" customHeight="1" s="184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</row>
    <row r="559" ht="15.75" customHeight="1" s="184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</row>
    <row r="560" ht="15.75" customHeight="1" s="184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</row>
    <row r="561" ht="15.75" customHeight="1" s="184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</row>
    <row r="562" ht="15.75" customHeight="1" s="184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</row>
    <row r="563" ht="15.75" customHeight="1" s="184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</row>
    <row r="564" ht="15.75" customHeight="1" s="18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</row>
    <row r="565" ht="15.75" customHeight="1" s="184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</row>
    <row r="566" ht="15.75" customHeight="1" s="184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</row>
    <row r="567" ht="15.75" customHeight="1" s="184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</row>
    <row r="568" ht="15.75" customHeight="1" s="184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</row>
    <row r="569" ht="15.75" customHeight="1" s="184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</row>
    <row r="570" ht="15.75" customHeight="1" s="184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</row>
    <row r="571" ht="15.75" customHeight="1" s="184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</row>
    <row r="572" ht="15.75" customHeight="1" s="184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</row>
    <row r="573" ht="15.75" customHeight="1" s="184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</row>
    <row r="574" ht="15.75" customHeight="1" s="18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</row>
    <row r="575" ht="15.75" customHeight="1" s="184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</row>
    <row r="576" ht="15.75" customHeight="1" s="184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</row>
    <row r="577" ht="15.75" customHeight="1" s="184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</row>
    <row r="578" ht="15.75" customHeight="1" s="184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</row>
    <row r="579" ht="15.75" customHeight="1" s="184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</row>
    <row r="580" ht="15.75" customHeight="1" s="184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</row>
    <row r="581" ht="15.75" customHeight="1" s="184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</row>
    <row r="582" ht="15.75" customHeight="1" s="184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</row>
    <row r="583" ht="15.75" customHeight="1" s="184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</row>
    <row r="584" ht="15.75" customHeight="1" s="1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</row>
    <row r="585" ht="15.75" customHeight="1" s="184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</row>
    <row r="586" ht="15.75" customHeight="1" s="184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</row>
    <row r="587" ht="15.75" customHeight="1" s="184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</row>
    <row r="588" ht="15.75" customHeight="1" s="184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</row>
    <row r="589" ht="15.75" customHeight="1" s="184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</row>
    <row r="590" ht="15.75" customHeight="1" s="184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</row>
    <row r="591" ht="15.75" customHeight="1" s="184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</row>
    <row r="592" ht="15.75" customHeight="1" s="184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</row>
    <row r="593" ht="15.75" customHeight="1" s="184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</row>
    <row r="594" ht="15.75" customHeight="1" s="18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</row>
    <row r="595" ht="15.75" customHeight="1" s="184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</row>
    <row r="596" ht="15.75" customHeight="1" s="184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</row>
    <row r="597" ht="15.75" customHeight="1" s="184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</row>
    <row r="598" ht="15.75" customHeight="1" s="184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</row>
    <row r="599" ht="15.75" customHeight="1" s="184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</row>
    <row r="600" ht="15.75" customHeight="1" s="184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</row>
    <row r="601" ht="15.75" customHeight="1" s="184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</row>
    <row r="602" ht="15.75" customHeight="1" s="184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</row>
    <row r="603" ht="15.75" customHeight="1" s="184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</row>
    <row r="604" ht="15.75" customHeight="1" s="18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</row>
    <row r="605" ht="15.75" customHeight="1" s="184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</row>
    <row r="606" ht="15.75" customHeight="1" s="184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</row>
    <row r="607" ht="15.75" customHeight="1" s="184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</row>
    <row r="608" ht="15.75" customHeight="1" s="184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</row>
    <row r="609" ht="15.75" customHeight="1" s="184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</row>
    <row r="610" ht="15.75" customHeight="1" s="184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</row>
    <row r="611" ht="15.75" customHeight="1" s="184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</row>
    <row r="612" ht="15.75" customHeight="1" s="184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</row>
    <row r="613" ht="15.75" customHeight="1" s="184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</row>
    <row r="614" ht="15.75" customHeight="1" s="18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</row>
    <row r="615" ht="15.75" customHeight="1" s="184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</row>
    <row r="616" ht="15.75" customHeight="1" s="184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</row>
    <row r="617" ht="15.75" customHeight="1" s="184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</row>
    <row r="618" ht="15.75" customHeight="1" s="184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</row>
    <row r="619" ht="15.75" customHeight="1" s="184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</row>
    <row r="620" ht="15.75" customHeight="1" s="184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</row>
    <row r="621" ht="15.75" customHeight="1" s="184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</row>
    <row r="622" ht="15.75" customHeight="1" s="184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</row>
    <row r="623" ht="15.75" customHeight="1" s="184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</row>
    <row r="624" ht="15.75" customHeight="1" s="18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</row>
    <row r="625" ht="15.75" customHeight="1" s="184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</row>
    <row r="626" ht="15.75" customHeight="1" s="184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</row>
    <row r="627" ht="15.75" customHeight="1" s="184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</row>
    <row r="628" ht="15.75" customHeight="1" s="184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</row>
    <row r="629" ht="15.75" customHeight="1" s="184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</row>
    <row r="630" ht="15.75" customHeight="1" s="184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</row>
    <row r="631" ht="15.75" customHeight="1" s="184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</row>
    <row r="632" ht="15.75" customHeight="1" s="184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</row>
    <row r="633" ht="15.75" customHeight="1" s="184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</row>
    <row r="634" ht="15.75" customHeight="1" s="18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</row>
    <row r="635" ht="15.75" customHeight="1" s="184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</row>
    <row r="636" ht="15.75" customHeight="1" s="184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</row>
    <row r="637" ht="15.75" customHeight="1" s="184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</row>
    <row r="638" ht="15.75" customHeight="1" s="184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</row>
    <row r="639" ht="15.75" customHeight="1" s="184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</row>
    <row r="640" ht="15.75" customHeight="1" s="184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</row>
    <row r="641" ht="15.75" customHeight="1" s="184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</row>
    <row r="642" ht="15.75" customHeight="1" s="184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</row>
    <row r="643" ht="15.75" customHeight="1" s="184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</row>
    <row r="644" ht="15.75" customHeight="1" s="18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</row>
    <row r="645" ht="15.75" customHeight="1" s="184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</row>
    <row r="646" ht="15.75" customHeight="1" s="184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</row>
    <row r="647" ht="15.75" customHeight="1" s="184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</row>
    <row r="648" ht="15.75" customHeight="1" s="184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</row>
    <row r="649" ht="15.75" customHeight="1" s="184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</row>
    <row r="650" ht="15.75" customHeight="1" s="184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</row>
    <row r="651" ht="15.75" customHeight="1" s="184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</row>
    <row r="652" ht="15.75" customHeight="1" s="184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</row>
    <row r="653" ht="15.75" customHeight="1" s="184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</row>
    <row r="654" ht="15.75" customHeight="1" s="18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</row>
    <row r="655" ht="15.75" customHeight="1" s="184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</row>
    <row r="656" ht="15.75" customHeight="1" s="184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</row>
    <row r="657" ht="15.75" customHeight="1" s="184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</row>
    <row r="658" ht="15.75" customHeight="1" s="184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</row>
    <row r="659" ht="15.75" customHeight="1" s="184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</row>
    <row r="660" ht="15.75" customHeight="1" s="184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</row>
    <row r="661" ht="15.75" customHeight="1" s="184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</row>
    <row r="662" ht="15.75" customHeight="1" s="184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</row>
    <row r="663" ht="15.75" customHeight="1" s="184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</row>
    <row r="664" ht="15.75" customHeight="1" s="18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</row>
    <row r="665" ht="15.75" customHeight="1" s="184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</row>
    <row r="666" ht="15.75" customHeight="1" s="184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</row>
    <row r="667" ht="15.75" customHeight="1" s="184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</row>
    <row r="668" ht="15.75" customHeight="1" s="184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</row>
    <row r="669" ht="15.75" customHeight="1" s="184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</row>
    <row r="670" ht="15.75" customHeight="1" s="184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</row>
    <row r="671" ht="15.75" customHeight="1" s="184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</row>
    <row r="672" ht="15.75" customHeight="1" s="184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</row>
    <row r="673" ht="15.75" customHeight="1" s="184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</row>
    <row r="674" ht="15.75" customHeight="1" s="18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</row>
    <row r="675" ht="15.75" customHeight="1" s="184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</row>
    <row r="676" ht="15.75" customHeight="1" s="184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</row>
    <row r="677" ht="15.75" customHeight="1" s="184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</row>
    <row r="678" ht="15.75" customHeight="1" s="184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</row>
    <row r="679" ht="15.75" customHeight="1" s="184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</row>
    <row r="680" ht="15.75" customHeight="1" s="184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</row>
    <row r="681" ht="15.75" customHeight="1" s="184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</row>
    <row r="682" ht="15.75" customHeight="1" s="184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</row>
    <row r="683" ht="15.75" customHeight="1" s="184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</row>
    <row r="684" ht="15.75" customHeight="1" s="1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</row>
    <row r="685" ht="15.75" customHeight="1" s="184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</row>
    <row r="686" ht="15.75" customHeight="1" s="184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</row>
    <row r="687" ht="15.75" customHeight="1" s="184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</row>
    <row r="688" ht="15.75" customHeight="1" s="184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</row>
    <row r="689" ht="15.75" customHeight="1" s="184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</row>
    <row r="690" ht="15.75" customHeight="1" s="184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</row>
    <row r="691" ht="15.75" customHeight="1" s="184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</row>
    <row r="692" ht="15.75" customHeight="1" s="184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</row>
    <row r="693" ht="15.75" customHeight="1" s="184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</row>
    <row r="694" ht="15.75" customHeight="1" s="18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</row>
    <row r="695" ht="15.75" customHeight="1" s="184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</row>
    <row r="696" ht="15.75" customHeight="1" s="184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</row>
    <row r="697" ht="15.75" customHeight="1" s="184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</row>
    <row r="698" ht="15.75" customHeight="1" s="184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</row>
    <row r="699" ht="15.75" customHeight="1" s="184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</row>
    <row r="700" ht="15.75" customHeight="1" s="184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</row>
    <row r="701" ht="15.75" customHeight="1" s="184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</row>
    <row r="702" ht="15.75" customHeight="1" s="184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</row>
    <row r="703" ht="15.75" customHeight="1" s="184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</row>
    <row r="704" ht="15.75" customHeight="1" s="18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</row>
    <row r="705" ht="15.75" customHeight="1" s="184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</row>
    <row r="706" ht="15.75" customHeight="1" s="184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</row>
    <row r="707" ht="15.75" customHeight="1" s="184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</row>
    <row r="708" ht="15.75" customHeight="1" s="184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</row>
    <row r="709" ht="15.75" customHeight="1" s="184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</row>
    <row r="710" ht="15.75" customHeight="1" s="184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</row>
    <row r="711" ht="15.75" customHeight="1" s="184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</row>
    <row r="712" ht="15.75" customHeight="1" s="184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</row>
    <row r="713" ht="15.75" customHeight="1" s="184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</row>
    <row r="714" ht="15.75" customHeight="1" s="18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</row>
    <row r="715" ht="15.75" customHeight="1" s="184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</row>
    <row r="716" ht="15.75" customHeight="1" s="184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</row>
    <row r="717" ht="15.75" customHeight="1" s="184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</row>
    <row r="718" ht="15.75" customHeight="1" s="184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</row>
    <row r="719" ht="15.75" customHeight="1" s="184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</row>
    <row r="720" ht="15.75" customHeight="1" s="184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</row>
    <row r="721" ht="15.75" customHeight="1" s="184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</row>
    <row r="722" ht="15.75" customHeight="1" s="184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</row>
    <row r="723" ht="15.75" customHeight="1" s="184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</row>
    <row r="724" ht="15.75" customHeight="1" s="18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</row>
    <row r="725" ht="15.75" customHeight="1" s="184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</row>
    <row r="726" ht="15.75" customHeight="1" s="184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</row>
    <row r="727" ht="15.75" customHeight="1" s="184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</row>
    <row r="728" ht="15.75" customHeight="1" s="184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</row>
    <row r="729" ht="15.75" customHeight="1" s="184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</row>
    <row r="730" ht="15.75" customHeight="1" s="184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</row>
    <row r="731" ht="15.75" customHeight="1" s="184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</row>
    <row r="732" ht="15.75" customHeight="1" s="184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</row>
    <row r="733" ht="15.75" customHeight="1" s="184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</row>
    <row r="734" ht="15.75" customHeight="1" s="18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</row>
    <row r="735" ht="15.75" customHeight="1" s="184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</row>
    <row r="736" ht="15.75" customHeight="1" s="184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</row>
    <row r="737" ht="15.75" customHeight="1" s="184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</row>
    <row r="738" ht="15.75" customHeight="1" s="184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</row>
    <row r="739" ht="15.75" customHeight="1" s="184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</row>
    <row r="740" ht="15.75" customHeight="1" s="184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</row>
    <row r="741" ht="15.75" customHeight="1" s="184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</row>
    <row r="742" ht="15.75" customHeight="1" s="184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</row>
    <row r="743" ht="15.75" customHeight="1" s="184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</row>
    <row r="744" ht="15.75" customHeight="1" s="18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</row>
    <row r="745" ht="15.75" customHeight="1" s="184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</row>
    <row r="746" ht="15.75" customHeight="1" s="184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</row>
    <row r="747" ht="15.75" customHeight="1" s="184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</row>
    <row r="748" ht="15.75" customHeight="1" s="184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</row>
    <row r="749" ht="15.75" customHeight="1" s="184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</row>
    <row r="750" ht="15.75" customHeight="1" s="184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</row>
    <row r="751" ht="15.75" customHeight="1" s="184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</row>
    <row r="752" ht="15.75" customHeight="1" s="184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</row>
    <row r="753" ht="15.75" customHeight="1" s="184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</row>
    <row r="754" ht="15.75" customHeight="1" s="18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</row>
    <row r="755" ht="15.75" customHeight="1" s="184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</row>
    <row r="756" ht="15.75" customHeight="1" s="184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</row>
    <row r="757" ht="15.75" customHeight="1" s="184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</row>
    <row r="758" ht="15.75" customHeight="1" s="184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</row>
    <row r="759" ht="15.75" customHeight="1" s="184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</row>
    <row r="760" ht="15.75" customHeight="1" s="184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</row>
    <row r="761" ht="15.75" customHeight="1" s="184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</row>
    <row r="762" ht="15.75" customHeight="1" s="184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</row>
    <row r="763" ht="15.75" customHeight="1" s="184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</row>
    <row r="764" ht="15.75" customHeight="1" s="18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</row>
    <row r="765" ht="15.75" customHeight="1" s="184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</row>
    <row r="766" ht="15.75" customHeight="1" s="184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</row>
    <row r="767" ht="15.75" customHeight="1" s="184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</row>
    <row r="768" ht="15.75" customHeight="1" s="184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</row>
    <row r="769" ht="15.75" customHeight="1" s="184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</row>
    <row r="770" ht="15.75" customHeight="1" s="184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</row>
    <row r="771" ht="15.75" customHeight="1" s="184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</row>
    <row r="772" ht="15.75" customHeight="1" s="184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</row>
    <row r="773" ht="15.75" customHeight="1" s="184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</row>
    <row r="774" ht="15.75" customHeight="1" s="18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</row>
    <row r="775" ht="15.75" customHeight="1" s="184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</row>
    <row r="776" ht="15.75" customHeight="1" s="184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</row>
    <row r="777" ht="15.75" customHeight="1" s="184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</row>
    <row r="778" ht="15.75" customHeight="1" s="184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</row>
    <row r="779" ht="15.75" customHeight="1" s="184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</row>
    <row r="780" ht="15.75" customHeight="1" s="184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</row>
    <row r="781" ht="15.75" customHeight="1" s="184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</row>
    <row r="782" ht="15.75" customHeight="1" s="184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</row>
    <row r="783" ht="15.75" customHeight="1" s="184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</row>
    <row r="784" ht="15.75" customHeight="1" s="1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</row>
    <row r="785" ht="15.75" customHeight="1" s="184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</row>
    <row r="786" ht="15.75" customHeight="1" s="184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</row>
    <row r="787" ht="15.75" customHeight="1" s="184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</row>
    <row r="788" ht="15.75" customHeight="1" s="184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</row>
    <row r="789" ht="15.75" customHeight="1" s="184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</row>
    <row r="790" ht="15.75" customHeight="1" s="184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</row>
    <row r="791" ht="15.75" customHeight="1" s="184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</row>
    <row r="792" ht="15.75" customHeight="1" s="184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</row>
    <row r="793" ht="15.75" customHeight="1" s="184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</row>
    <row r="794" ht="15.75" customHeight="1" s="18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</row>
    <row r="795" ht="15.75" customHeight="1" s="184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</row>
    <row r="796" ht="15.75" customHeight="1" s="184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</row>
    <row r="797" ht="15.75" customHeight="1" s="184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</row>
    <row r="798" ht="15.75" customHeight="1" s="184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</row>
    <row r="799" ht="15.75" customHeight="1" s="184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</row>
    <row r="800" ht="15.75" customHeight="1" s="184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</row>
    <row r="801" ht="15.75" customHeight="1" s="184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</row>
    <row r="802" ht="15.75" customHeight="1" s="184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</row>
    <row r="803" ht="15.75" customHeight="1" s="184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</row>
    <row r="804" ht="15.75" customHeight="1" s="18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</row>
    <row r="805" ht="15.75" customHeight="1" s="184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</row>
    <row r="806" ht="15.75" customHeight="1" s="184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</row>
    <row r="807" ht="15.75" customHeight="1" s="184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</row>
    <row r="808" ht="15.75" customHeight="1" s="184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</row>
    <row r="809" ht="15.75" customHeight="1" s="184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</row>
    <row r="810" ht="15.75" customHeight="1" s="184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</row>
    <row r="811" ht="15.75" customHeight="1" s="184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</row>
    <row r="812" ht="15.75" customHeight="1" s="184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</row>
    <row r="813" ht="15.75" customHeight="1" s="184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</row>
    <row r="814" ht="15.75" customHeight="1" s="18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</row>
    <row r="815" ht="15.75" customHeight="1" s="184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</row>
    <row r="816" ht="15.75" customHeight="1" s="184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</row>
    <row r="817" ht="15.75" customHeight="1" s="184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</row>
    <row r="818" ht="15.75" customHeight="1" s="184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</row>
    <row r="819" ht="15.75" customHeight="1" s="184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</row>
    <row r="820" ht="15.75" customHeight="1" s="184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</row>
    <row r="821" ht="15.75" customHeight="1" s="184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</row>
    <row r="822" ht="15.75" customHeight="1" s="184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</row>
    <row r="823" ht="15.75" customHeight="1" s="184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</row>
    <row r="824" ht="15.75" customHeight="1" s="18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</row>
    <row r="825" ht="15.75" customHeight="1" s="184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</row>
    <row r="826" ht="15.75" customHeight="1" s="184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</row>
    <row r="827" ht="15.75" customHeight="1" s="184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</row>
    <row r="828" ht="15.75" customHeight="1" s="184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</row>
    <row r="829" ht="15.75" customHeight="1" s="184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</row>
    <row r="830" ht="15.75" customHeight="1" s="184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</row>
    <row r="831" ht="15.75" customHeight="1" s="184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</row>
    <row r="832" ht="15.75" customHeight="1" s="184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</row>
    <row r="833" ht="15.75" customHeight="1" s="184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</row>
    <row r="834" ht="15.75" customHeight="1" s="18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</row>
    <row r="835" ht="15.75" customHeight="1" s="184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</row>
    <row r="836" ht="15.75" customHeight="1" s="184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</row>
    <row r="837" ht="15.75" customHeight="1" s="184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</row>
    <row r="838" ht="15.75" customHeight="1" s="184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</row>
    <row r="839" ht="15.75" customHeight="1" s="184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</row>
    <row r="840" ht="15.75" customHeight="1" s="184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</row>
    <row r="841" ht="15.75" customHeight="1" s="184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</row>
    <row r="842" ht="15.75" customHeight="1" s="184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</row>
    <row r="843" ht="15.75" customHeight="1" s="184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</row>
    <row r="844" ht="15.75" customHeight="1" s="18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</row>
    <row r="845" ht="15.75" customHeight="1" s="184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</row>
    <row r="846" ht="15.75" customHeight="1" s="184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</row>
    <row r="847" ht="15.75" customHeight="1" s="184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</row>
    <row r="848" ht="15.75" customHeight="1" s="184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</row>
    <row r="849" ht="15.75" customHeight="1" s="184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</row>
    <row r="850" ht="15.75" customHeight="1" s="184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</row>
    <row r="851" ht="15.75" customHeight="1" s="184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</row>
    <row r="852" ht="15.75" customHeight="1" s="184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</row>
    <row r="853" ht="15.75" customHeight="1" s="184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</row>
    <row r="854" ht="15.75" customHeight="1" s="18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</row>
    <row r="855" ht="15.75" customHeight="1" s="184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</row>
    <row r="856" ht="15.75" customHeight="1" s="184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</row>
    <row r="857" ht="15.75" customHeight="1" s="184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</row>
    <row r="858" ht="15.75" customHeight="1" s="184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</row>
    <row r="859" ht="15.75" customHeight="1" s="184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</row>
    <row r="860" ht="15.75" customHeight="1" s="184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</row>
    <row r="861" ht="15.75" customHeight="1" s="184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</row>
    <row r="862" ht="15.75" customHeight="1" s="184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</row>
    <row r="863" ht="15.75" customHeight="1" s="184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</row>
    <row r="864" ht="15.75" customHeight="1" s="18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</row>
    <row r="865" ht="15.75" customHeight="1" s="184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</row>
    <row r="866" ht="15.75" customHeight="1" s="184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</row>
    <row r="867" ht="15.75" customHeight="1" s="184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</row>
    <row r="868" ht="15.75" customHeight="1" s="184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</row>
    <row r="869" ht="15.75" customHeight="1" s="184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</row>
    <row r="870" ht="15.75" customHeight="1" s="184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</row>
    <row r="871" ht="15.75" customHeight="1" s="184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</row>
    <row r="872" ht="15.75" customHeight="1" s="184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</row>
    <row r="873" ht="15.75" customHeight="1" s="184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</row>
    <row r="874" ht="15.75" customHeight="1" s="18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</row>
    <row r="875" ht="15.75" customHeight="1" s="184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</row>
    <row r="876" ht="15.75" customHeight="1" s="184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</row>
    <row r="877" ht="15.75" customHeight="1" s="184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</row>
    <row r="878" ht="15.75" customHeight="1" s="184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</row>
    <row r="879" ht="15.75" customHeight="1" s="184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</row>
    <row r="880" ht="15.75" customHeight="1" s="184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</row>
    <row r="881" ht="15.75" customHeight="1" s="184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</row>
    <row r="882" ht="15.75" customHeight="1" s="184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</row>
    <row r="883" ht="15.75" customHeight="1" s="184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</row>
    <row r="884" ht="15.75" customHeight="1" s="1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</row>
    <row r="885" ht="15.75" customHeight="1" s="184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</row>
    <row r="886" ht="15.75" customHeight="1" s="184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</row>
    <row r="887" ht="15.75" customHeight="1" s="184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</row>
    <row r="888" ht="15.75" customHeight="1" s="184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</row>
    <row r="889" ht="15.75" customHeight="1" s="184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</row>
    <row r="890" ht="15.75" customHeight="1" s="184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</row>
    <row r="891" ht="15.75" customHeight="1" s="184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</row>
    <row r="892" ht="15.75" customHeight="1" s="184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</row>
    <row r="893" ht="15.75" customHeight="1" s="184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</row>
    <row r="894" ht="15.75" customHeight="1" s="18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</row>
    <row r="895" ht="15.75" customHeight="1" s="184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</row>
    <row r="896" ht="15.75" customHeight="1" s="184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</row>
    <row r="897" ht="15.75" customHeight="1" s="184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</row>
    <row r="898" ht="15.75" customHeight="1" s="184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</row>
    <row r="899" ht="15.75" customHeight="1" s="184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</row>
    <row r="900" ht="15.75" customHeight="1" s="184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</row>
    <row r="901" ht="15.75" customHeight="1" s="184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</row>
    <row r="902" ht="15.75" customHeight="1" s="184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</row>
    <row r="903" ht="15.75" customHeight="1" s="184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</row>
    <row r="904" ht="15.75" customHeight="1" s="18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</row>
    <row r="905" ht="15.75" customHeight="1" s="184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</row>
    <row r="906" ht="15.75" customHeight="1" s="184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</row>
    <row r="907" ht="15.75" customHeight="1" s="184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</row>
    <row r="908" ht="15.75" customHeight="1" s="184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</row>
    <row r="909" ht="15.75" customHeight="1" s="184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</row>
    <row r="910" ht="15.75" customHeight="1" s="184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</row>
    <row r="911" ht="15.75" customHeight="1" s="184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</row>
    <row r="912" ht="15.75" customHeight="1" s="184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</row>
    <row r="913" ht="15.75" customHeight="1" s="184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</row>
    <row r="914" ht="15.75" customHeight="1" s="18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</row>
    <row r="915" ht="15.75" customHeight="1" s="184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</row>
    <row r="916" ht="15.75" customHeight="1" s="184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</row>
    <row r="917" ht="15.75" customHeight="1" s="184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</row>
    <row r="918" ht="15.75" customHeight="1" s="184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</row>
    <row r="919" ht="15.75" customHeight="1" s="184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</row>
    <row r="920" ht="15.75" customHeight="1" s="184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</row>
    <row r="921" ht="15.75" customHeight="1" s="184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</row>
    <row r="922" ht="15.75" customHeight="1" s="184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</row>
    <row r="923" ht="15.75" customHeight="1" s="184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</row>
    <row r="924" ht="15.75" customHeight="1" s="18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</row>
    <row r="925" ht="15.75" customHeight="1" s="184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</row>
    <row r="926" ht="15.75" customHeight="1" s="184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</row>
    <row r="927" ht="15.75" customHeight="1" s="184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</row>
    <row r="928" ht="15.75" customHeight="1" s="184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</row>
    <row r="929" ht="15.75" customHeight="1" s="184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</row>
    <row r="930" ht="15.75" customHeight="1" s="184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</row>
    <row r="931" ht="15.75" customHeight="1" s="184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</row>
    <row r="932" ht="15.75" customHeight="1" s="184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</row>
    <row r="933" ht="15.75" customHeight="1" s="184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</row>
    <row r="934" ht="15.75" customHeight="1" s="18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</row>
    <row r="935" ht="15.75" customHeight="1" s="184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</row>
    <row r="936" ht="15.75" customHeight="1" s="184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</row>
    <row r="937" ht="15.75" customHeight="1" s="184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</row>
    <row r="938" ht="15.75" customHeight="1" s="184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</row>
    <row r="939" ht="15.75" customHeight="1" s="184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</row>
    <row r="940" ht="15.75" customHeight="1" s="184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</row>
    <row r="941" ht="15.75" customHeight="1" s="184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</row>
    <row r="942" ht="15.75" customHeight="1" s="184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</row>
    <row r="943" ht="15.75" customHeight="1" s="184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</row>
    <row r="944" ht="15.75" customHeight="1" s="18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</row>
    <row r="945" ht="15.75" customHeight="1" s="184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</row>
    <row r="946" ht="15.75" customHeight="1" s="184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</row>
    <row r="947" ht="15.75" customHeight="1" s="184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</row>
    <row r="948" ht="15.75" customHeight="1" s="184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</row>
    <row r="949" ht="15.75" customHeight="1" s="184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</row>
    <row r="950" ht="15.75" customHeight="1" s="184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</row>
    <row r="951" ht="15.75" customHeight="1" s="184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</row>
    <row r="952" ht="15.75" customHeight="1" s="184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</row>
    <row r="953" ht="15.75" customHeight="1" s="184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</row>
    <row r="954" ht="15.75" customHeight="1" s="18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</row>
    <row r="955" ht="15.75" customHeight="1" s="184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</row>
    <row r="956" ht="15.75" customHeight="1" s="184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</row>
    <row r="957" ht="15.75" customHeight="1" s="184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</row>
    <row r="958" ht="15.75" customHeight="1" s="184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</row>
    <row r="959" ht="15.75" customHeight="1" s="184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</row>
    <row r="960" ht="15.75" customHeight="1" s="184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</row>
    <row r="961" ht="15.75" customHeight="1" s="184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</row>
    <row r="962" ht="15.75" customHeight="1" s="184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</row>
    <row r="963" ht="15.75" customHeight="1" s="184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</row>
    <row r="964" ht="15.75" customHeight="1" s="18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</row>
    <row r="965" ht="15.75" customHeight="1" s="184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</row>
    <row r="966" ht="15.75" customHeight="1" s="184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</row>
    <row r="967" ht="15.75" customHeight="1" s="184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</row>
    <row r="968" ht="15.75" customHeight="1" s="184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</row>
    <row r="969" ht="15.75" customHeight="1" s="184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</row>
    <row r="970" ht="15.75" customHeight="1" s="184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</row>
    <row r="971" ht="15.75" customHeight="1" s="184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</row>
    <row r="972" ht="15.75" customHeight="1" s="184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</row>
    <row r="973" ht="15.75" customHeight="1" s="184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</row>
    <row r="974" ht="15.75" customHeight="1" s="18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</row>
    <row r="975" ht="15.75" customHeight="1" s="184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</row>
    <row r="976" ht="15.75" customHeight="1" s="184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</row>
    <row r="977" ht="15.75" customHeight="1" s="184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</row>
    <row r="978" ht="15.75" customHeight="1" s="184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</row>
    <row r="979" ht="15.75" customHeight="1" s="184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</row>
    <row r="980" ht="15.75" customHeight="1" s="184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</row>
    <row r="981" ht="15.75" customHeight="1" s="184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</row>
    <row r="982" ht="15.75" customHeight="1" s="184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</row>
    <row r="983" ht="15.75" customHeight="1" s="184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</row>
    <row r="984" ht="15.75" customHeight="1" s="1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</row>
    <row r="985" ht="15.75" customHeight="1" s="184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</row>
    <row r="986" ht="15.75" customHeight="1" s="184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</row>
    <row r="987" ht="15.75" customHeight="1" s="184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</row>
    <row r="988" ht="15.75" customHeight="1" s="184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</row>
    <row r="989" ht="15.75" customHeight="1" s="184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</row>
    <row r="990" ht="15.75" customHeight="1" s="184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</row>
    <row r="991" ht="15.75" customHeight="1" s="184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</row>
    <row r="992" ht="15.75" customHeight="1" s="184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</row>
    <row r="993" ht="15.75" customHeight="1" s="184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</row>
    <row r="994" ht="15.75" customHeight="1" s="18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</row>
    <row r="995" ht="15.75" customHeight="1" s="184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</row>
    <row r="996" ht="15.75" customHeight="1" s="184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</row>
    <row r="997" ht="15.75" customHeight="1" s="184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</row>
    <row r="998" ht="15.75" customHeight="1" s="184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</row>
    <row r="999" ht="15.75" customHeight="1" s="184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</row>
    <row r="1000" ht="15.75" customHeight="1" s="184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</row>
  </sheetData>
  <mergeCells count="2">
    <mergeCell ref="A6:H6"/>
    <mergeCell ref="A1:H1"/>
  </mergeCells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tabColor rgb="FFF57F17"/>
    <outlinePr summaryBelow="1" summaryRight="1"/>
    <pageSetUpPr/>
  </sheetPr>
  <dimension ref="A1:N1000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5.14" customWidth="1" style="184" min="1" max="1"/>
    <col width="11" customWidth="1" style="184" min="2" max="2"/>
    <col width="11.43" customWidth="1" style="184" min="3" max="3"/>
    <col width="29.71" customWidth="1" style="184" min="4" max="4"/>
    <col width="13.86" customWidth="1" style="184" min="5" max="5"/>
    <col width="12" customWidth="1" style="184" min="6" max="6"/>
    <col width="13.29" customWidth="1" style="184" min="7" max="7"/>
    <col width="12" customWidth="1" style="184" min="8" max="9"/>
    <col width="11.14" customWidth="1" style="184" min="10" max="10"/>
    <col width="9.57" customWidth="1" style="184" min="11" max="11"/>
    <col width="23.43" customWidth="1" style="184" min="12" max="12"/>
    <col width="13" customWidth="1" style="184" min="13" max="13"/>
  </cols>
  <sheetData>
    <row r="1" ht="15" customHeight="1" s="184">
      <c r="A1" s="230" t="inlineStr">
        <is>
          <t>📋 ALL INVESTMENT TRANSACTIONS (Crypto + Shares MF)</t>
        </is>
      </c>
      <c r="B1" s="231" t="n"/>
      <c r="C1" s="231" t="n"/>
      <c r="D1" s="231" t="n"/>
      <c r="E1" s="231" t="n"/>
      <c r="F1" s="231" t="n"/>
      <c r="G1" s="231" t="n"/>
      <c r="H1" s="231" t="n"/>
      <c r="I1" s="231" t="n"/>
      <c r="J1" s="231" t="n"/>
      <c r="K1" s="231" t="n"/>
      <c r="L1" s="231" t="n"/>
      <c r="M1" s="161" t="n"/>
      <c r="N1" s="5" t="n"/>
    </row>
    <row r="2" ht="15" customHeight="1" s="184">
      <c r="A2" s="8" t="inlineStr">
        <is>
          <t>Auto</t>
        </is>
      </c>
      <c r="B2" s="162" t="inlineStr">
        <is>
          <t>Type</t>
        </is>
      </c>
      <c r="C2" s="10" t="inlineStr">
        <is>
          <t>Select</t>
        </is>
      </c>
      <c r="D2" s="10" t="inlineStr">
        <is>
          <t>Select</t>
        </is>
      </c>
      <c r="E2" s="10" t="inlineStr">
        <is>
          <t>Select</t>
        </is>
      </c>
      <c r="F2" s="162" t="inlineStr">
        <is>
          <t>Type</t>
        </is>
      </c>
      <c r="G2" s="162" t="inlineStr">
        <is>
          <t>Type</t>
        </is>
      </c>
      <c r="H2" s="162" t="inlineStr">
        <is>
          <t>Auto</t>
        </is>
      </c>
      <c r="I2" s="162" t="inlineStr">
        <is>
          <t>Type</t>
        </is>
      </c>
      <c r="J2" s="162" t="inlineStr">
        <is>
          <t>Type</t>
        </is>
      </c>
      <c r="K2" s="8" t="inlineStr">
        <is>
          <t>Auto</t>
        </is>
      </c>
      <c r="L2" s="11" t="n"/>
      <c r="M2" s="161" t="n"/>
      <c r="N2" s="5" t="n"/>
    </row>
    <row r="3" ht="15" customHeight="1" s="184">
      <c r="A3" s="163" t="inlineStr">
        <is>
          <t>#</t>
        </is>
      </c>
      <c r="B3" s="163" t="inlineStr">
        <is>
          <t>Date</t>
        </is>
      </c>
      <c r="C3" s="163" t="inlineStr">
        <is>
          <t>Asset Type</t>
        </is>
      </c>
      <c r="D3" s="163" t="inlineStr">
        <is>
          <t>Asset Name</t>
        </is>
      </c>
      <c r="E3" s="163" t="inlineStr">
        <is>
          <t>Transaction</t>
        </is>
      </c>
      <c r="F3" s="163" t="inlineStr">
        <is>
          <t>Invest Amt</t>
        </is>
      </c>
      <c r="G3" s="163" t="inlineStr">
        <is>
          <t>Withdra Amt</t>
        </is>
      </c>
      <c r="H3" s="163" t="inlineStr">
        <is>
          <t>Fee Taken</t>
        </is>
      </c>
      <c r="I3" s="163" t="inlineStr">
        <is>
          <t>Units / Qty</t>
        </is>
      </c>
      <c r="J3" s="163" t="inlineStr">
        <is>
          <t>Price/Unit ₹</t>
        </is>
      </c>
      <c r="K3" s="163" t="inlineStr">
        <is>
          <t>Total Amt ₹</t>
        </is>
      </c>
      <c r="L3" s="11" t="n"/>
      <c r="M3" s="161" t="n"/>
      <c r="N3" s="5" t="n"/>
    </row>
    <row r="4" ht="15" customHeight="1" s="184">
      <c r="A4" s="96">
        <f>ROW()-2</f>
        <v/>
      </c>
      <c r="B4" s="15" t="n">
        <v>44421</v>
      </c>
      <c r="C4" s="164" t="inlineStr">
        <is>
          <t>Crypto</t>
        </is>
      </c>
      <c r="D4" s="165" t="n"/>
      <c r="E4" s="166" t="inlineStr">
        <is>
          <t>Buy / Invest</t>
        </is>
      </c>
      <c r="F4" s="92" t="n">
        <v>-5032</v>
      </c>
      <c r="G4" s="92" t="n">
        <v>5032</v>
      </c>
      <c r="H4" s="23">
        <f>IF(K4&lt;=0,0,IF(F4&gt;0,F4-K4,G4-K4))</f>
        <v/>
      </c>
      <c r="I4" s="167" t="n">
        <v>0</v>
      </c>
      <c r="J4" s="18" t="n">
        <v>0</v>
      </c>
      <c r="K4" s="168">
        <f>J4*I4</f>
        <v/>
      </c>
      <c r="L4" s="11" t="n"/>
      <c r="M4" s="11" t="n"/>
      <c r="N4" s="5" t="n"/>
    </row>
    <row r="5" ht="15" customHeight="1" s="184">
      <c r="A5" s="96">
        <f>ROW()-2</f>
        <v/>
      </c>
      <c r="B5" s="15" t="n">
        <v>44421</v>
      </c>
      <c r="C5" s="164" t="inlineStr">
        <is>
          <t>Crypto</t>
        </is>
      </c>
      <c r="D5" s="165" t="inlineStr">
        <is>
          <t>Bitcoin (BTC)</t>
        </is>
      </c>
      <c r="E5" s="166" t="inlineStr">
        <is>
          <t>Buy / Invest</t>
        </is>
      </c>
      <c r="F5" s="92" t="n">
        <v>5282.62</v>
      </c>
      <c r="G5" s="92" t="n">
        <v>0</v>
      </c>
      <c r="H5" s="23">
        <f>IF(K5&lt;=0,0,IF(F5&gt;0,F5-K5,G5-K5))</f>
        <v/>
      </c>
      <c r="I5" s="167" t="n">
        <v>0.001139</v>
      </c>
      <c r="J5" s="18" t="n">
        <v>4637943</v>
      </c>
      <c r="K5" s="168">
        <f>J5*I5</f>
        <v/>
      </c>
      <c r="L5" s="11" t="n"/>
      <c r="M5" s="11" t="n"/>
      <c r="N5" s="5" t="n"/>
    </row>
    <row r="6" ht="15" customHeight="1" s="184">
      <c r="A6" s="96">
        <f>ROW()-2</f>
        <v/>
      </c>
      <c r="B6" s="15" t="n">
        <v>44432</v>
      </c>
      <c r="C6" s="164" t="inlineStr">
        <is>
          <t>Crypto</t>
        </is>
      </c>
      <c r="D6" s="165" t="inlineStr">
        <is>
          <t>Polygon (MATIC)</t>
        </is>
      </c>
      <c r="E6" s="166" t="inlineStr">
        <is>
          <t>Buy / Invest</t>
        </is>
      </c>
      <c r="F6" s="92" t="n">
        <v>6941.94</v>
      </c>
      <c r="G6" s="92" t="n">
        <v>0</v>
      </c>
      <c r="H6" s="23">
        <f>IF(K6&lt;=0,0,IF(F6&gt;0,F6-K6,G6-K6))</f>
        <v/>
      </c>
      <c r="I6" s="167" t="n">
        <v>58.83</v>
      </c>
      <c r="J6" s="18" t="n">
        <v>118</v>
      </c>
      <c r="K6" s="168">
        <f>J6*I6</f>
        <v/>
      </c>
      <c r="L6" s="11" t="n"/>
      <c r="M6" s="11" t="n"/>
      <c r="N6" s="5" t="n"/>
    </row>
    <row r="7" ht="15" customHeight="1" s="184">
      <c r="A7" s="96">
        <f>ROW()-2</f>
        <v/>
      </c>
      <c r="B7" s="15" t="n">
        <v>44446</v>
      </c>
      <c r="C7" s="164" t="inlineStr">
        <is>
          <t>Crypto</t>
        </is>
      </c>
      <c r="D7" s="165" t="inlineStr">
        <is>
          <t>Cardano (ADA)</t>
        </is>
      </c>
      <c r="E7" s="166" t="inlineStr">
        <is>
          <t>Buy / Invest</t>
        </is>
      </c>
      <c r="F7" s="92" t="n">
        <v>11667.21</v>
      </c>
      <c r="G7" s="92" t="n">
        <v>0</v>
      </c>
      <c r="H7" s="23">
        <f>IF(K7&lt;=0,0,IF(F7&gt;0,F7-K7,G7-K7))</f>
        <v/>
      </c>
      <c r="I7" s="167" t="n">
        <v>40.231744</v>
      </c>
      <c r="J7" s="18" t="n">
        <v>290</v>
      </c>
      <c r="K7" s="168">
        <f>J7*I7</f>
        <v/>
      </c>
      <c r="L7" s="11" t="n"/>
      <c r="M7" s="11" t="n"/>
      <c r="N7" s="5" t="n"/>
    </row>
    <row r="8" ht="15" customHeight="1" s="184">
      <c r="A8" s="96">
        <f>ROW()-2</f>
        <v/>
      </c>
      <c r="B8" s="15" t="n">
        <v>44459</v>
      </c>
      <c r="C8" s="164" t="inlineStr">
        <is>
          <t>Crypto</t>
        </is>
      </c>
      <c r="D8" s="165" t="inlineStr">
        <is>
          <t>Polygon (MATIC)</t>
        </is>
      </c>
      <c r="E8" s="166" t="inlineStr">
        <is>
          <t>Buy / Invest</t>
        </is>
      </c>
      <c r="F8" s="92" t="n">
        <v>448.99</v>
      </c>
      <c r="G8" s="92" t="n">
        <v>0</v>
      </c>
      <c r="H8" s="23">
        <f>IF(K8&lt;=0,0,IF(F8&gt;0,F8-K8,G8-K8))</f>
        <v/>
      </c>
      <c r="I8" s="167" t="n">
        <v>5.07221048</v>
      </c>
      <c r="J8" s="18" t="n">
        <v>88.52</v>
      </c>
      <c r="K8" s="168">
        <f>J8*I8</f>
        <v/>
      </c>
      <c r="L8" s="11" t="n"/>
      <c r="M8" s="11" t="n"/>
      <c r="N8" s="5" t="n"/>
    </row>
    <row r="9" ht="15" customHeight="1" s="184">
      <c r="A9" s="96">
        <f>ROW()-2</f>
        <v/>
      </c>
      <c r="B9" s="15" t="n">
        <v>44491</v>
      </c>
      <c r="C9" s="164" t="inlineStr">
        <is>
          <t>Crypto</t>
        </is>
      </c>
      <c r="D9" s="165" t="inlineStr">
        <is>
          <t>Ethereum (ETH)</t>
        </is>
      </c>
      <c r="E9" s="166" t="inlineStr">
        <is>
          <t>Buy / Invest</t>
        </is>
      </c>
      <c r="F9" s="92" t="n">
        <v>10415.84</v>
      </c>
      <c r="G9" s="92" t="n">
        <v>0</v>
      </c>
      <c r="H9" s="23">
        <f>IF(K9&lt;=0,0,IF(F9&gt;0,F9-K9,G9-K9))</f>
        <v/>
      </c>
      <c r="I9" s="167" t="n">
        <v>0.031924</v>
      </c>
      <c r="J9" s="18" t="n">
        <v>326270</v>
      </c>
      <c r="K9" s="168">
        <f>J9*I9</f>
        <v/>
      </c>
      <c r="L9" s="11" t="n"/>
      <c r="M9" s="11" t="n"/>
      <c r="N9" s="5" t="n"/>
    </row>
    <row r="10" ht="15" customHeight="1" s="184">
      <c r="A10" s="96">
        <f>ROW()-2</f>
        <v/>
      </c>
      <c r="B10" s="15" t="n">
        <v>44535</v>
      </c>
      <c r="C10" s="164" t="inlineStr">
        <is>
          <t>Crypto</t>
        </is>
      </c>
      <c r="D10" s="165" t="n"/>
      <c r="E10" s="166" t="inlineStr">
        <is>
          <t>Buy / Invest</t>
        </is>
      </c>
      <c r="F10" s="92" t="n">
        <v>6988</v>
      </c>
      <c r="G10" s="92" t="n">
        <v>0</v>
      </c>
      <c r="H10" s="23">
        <f>IF(K10&lt;=0,0,IF(F10&gt;0,F10-K10,G10-K10))</f>
        <v/>
      </c>
      <c r="I10" s="167" t="n">
        <v>0</v>
      </c>
      <c r="J10" s="18" t="n">
        <v>0</v>
      </c>
      <c r="K10" s="168">
        <f>J10*I10</f>
        <v/>
      </c>
      <c r="L10" s="11" t="n"/>
      <c r="M10" s="11" t="n"/>
      <c r="N10" s="5" t="n"/>
    </row>
    <row r="11" ht="15" customHeight="1" s="184">
      <c r="A11" s="96">
        <f>ROW()-2</f>
        <v/>
      </c>
      <c r="B11" s="15" t="n">
        <v>44559</v>
      </c>
      <c r="C11" s="164" t="inlineStr">
        <is>
          <t>Crypto</t>
        </is>
      </c>
      <c r="D11" s="165" t="n"/>
      <c r="E11" s="166" t="inlineStr">
        <is>
          <t>Buy / Invest</t>
        </is>
      </c>
      <c r="F11" s="92" t="n">
        <v>63328</v>
      </c>
      <c r="G11" s="92" t="n">
        <v>0</v>
      </c>
      <c r="H11" s="23">
        <f>IF(K11&lt;=0,0,IF(F11&gt;0,F11-K11,G11-K11))</f>
        <v/>
      </c>
      <c r="I11" s="167" t="n">
        <v>0</v>
      </c>
      <c r="J11" s="18" t="n">
        <v>0</v>
      </c>
      <c r="K11" s="168">
        <f>J11*I11</f>
        <v/>
      </c>
      <c r="L11" s="11" t="n"/>
      <c r="M11" s="11" t="n"/>
      <c r="N11" s="5" t="n"/>
    </row>
    <row r="12" ht="15" customHeight="1" s="184">
      <c r="A12" s="96">
        <f>ROW()-2</f>
        <v/>
      </c>
      <c r="B12" s="15" t="n">
        <v>44564</v>
      </c>
      <c r="C12" s="164" t="inlineStr">
        <is>
          <t>Crypto</t>
        </is>
      </c>
      <c r="D12" s="165" t="inlineStr">
        <is>
          <t>Polygon (MATIC)</t>
        </is>
      </c>
      <c r="E12" s="166" t="inlineStr">
        <is>
          <t>Buy / Invest</t>
        </is>
      </c>
      <c r="F12" s="92" t="n">
        <v>660.9400000000001</v>
      </c>
      <c r="G12" s="92" t="n">
        <v>0</v>
      </c>
      <c r="H12" s="23">
        <f>IF(K12&lt;=0,0,IF(F12&gt;0,F12-K12,G12-K12))</f>
        <v/>
      </c>
      <c r="I12" s="167" t="n">
        <v>3.587947</v>
      </c>
      <c r="J12" s="18" t="n">
        <v>184.21</v>
      </c>
      <c r="K12" s="168">
        <f>J12*I12</f>
        <v/>
      </c>
      <c r="L12" s="11" t="n"/>
      <c r="M12" s="11" t="n"/>
      <c r="N12" s="5" t="n"/>
    </row>
    <row r="13" ht="15" customHeight="1" s="184">
      <c r="A13" s="96">
        <f>ROW()-2</f>
        <v/>
      </c>
      <c r="B13" s="15" t="n">
        <v>44777</v>
      </c>
      <c r="C13" s="164" t="inlineStr">
        <is>
          <t>Crypto</t>
        </is>
      </c>
      <c r="D13" s="165" t="inlineStr">
        <is>
          <t>Cardano (ADA)</t>
        </is>
      </c>
      <c r="E13" s="166" t="inlineStr">
        <is>
          <t>Buy / Invest</t>
        </is>
      </c>
      <c r="F13" s="92" t="n">
        <v>1623.14</v>
      </c>
      <c r="G13" s="92" t="n">
        <v>0</v>
      </c>
      <c r="H13" s="23">
        <f>IF(K13&lt;=0,0,IF(F13&gt;0,F13-K13,G13-K13))</f>
        <v/>
      </c>
      <c r="I13" s="167" t="n">
        <v>40.0577</v>
      </c>
      <c r="J13" s="18" t="n">
        <v>40.52</v>
      </c>
      <c r="K13" s="168">
        <f>J13*I13</f>
        <v/>
      </c>
      <c r="L13" s="11" t="n"/>
      <c r="M13" s="11" t="n"/>
      <c r="N13" s="5" t="n"/>
    </row>
    <row r="14" ht="15" customHeight="1" s="184">
      <c r="A14" s="96">
        <f>ROW()-2</f>
        <v/>
      </c>
      <c r="B14" s="15" t="n">
        <v>44913</v>
      </c>
      <c r="C14" s="164" t="inlineStr">
        <is>
          <t>Crypto</t>
        </is>
      </c>
      <c r="D14" s="165" t="inlineStr">
        <is>
          <t>Ethereum (ETH)</t>
        </is>
      </c>
      <c r="E14" s="166" t="inlineStr">
        <is>
          <t>Buy / Invest</t>
        </is>
      </c>
      <c r="F14" s="92" t="n">
        <v>1364.77</v>
      </c>
      <c r="G14" s="92" t="n">
        <v>0</v>
      </c>
      <c r="H14" s="23">
        <f>IF(K14&lt;=0,0,IF(F14&gt;0,F14-K14,G14-K14))</f>
        <v/>
      </c>
      <c r="I14" s="167" t="n">
        <v>0.014002</v>
      </c>
      <c r="J14" s="18" t="n">
        <v>97469.39999999999</v>
      </c>
      <c r="K14" s="168">
        <f>J14*I14</f>
        <v/>
      </c>
      <c r="L14" s="11" t="n"/>
      <c r="M14" s="11" t="n"/>
      <c r="N14" s="5" t="n"/>
    </row>
    <row r="15" ht="15" customHeight="1" s="184">
      <c r="A15" s="96">
        <f>ROW()-2</f>
        <v/>
      </c>
      <c r="B15" s="15" t="n">
        <v>44913</v>
      </c>
      <c r="C15" s="164" t="inlineStr">
        <is>
          <t>Crypto</t>
        </is>
      </c>
      <c r="D15" s="165" t="inlineStr">
        <is>
          <t>Bitcoin (BTC)</t>
        </is>
      </c>
      <c r="E15" s="166" t="inlineStr">
        <is>
          <t>Buy / Invest</t>
        </is>
      </c>
      <c r="F15" s="92" t="n">
        <v>1998.97</v>
      </c>
      <c r="G15" s="92" t="n">
        <v>0</v>
      </c>
      <c r="H15" s="23">
        <f>IF(K15&lt;=0,0,IF(F15&gt;0,F15-K15,G15-K15))</f>
        <v/>
      </c>
      <c r="I15" s="167" t="n">
        <v>0.001448</v>
      </c>
      <c r="J15" s="18" t="n">
        <v>1380506</v>
      </c>
      <c r="K15" s="168">
        <f>J15*I15</f>
        <v/>
      </c>
      <c r="L15" s="11" t="n"/>
      <c r="M15" s="11" t="n"/>
      <c r="N15" s="5" t="n"/>
    </row>
    <row r="16" ht="15" customHeight="1" s="184">
      <c r="A16" s="96">
        <f>ROW()-2</f>
        <v/>
      </c>
      <c r="B16" s="15" t="n">
        <v>44913</v>
      </c>
      <c r="C16" s="164" t="inlineStr">
        <is>
          <t>Crypto</t>
        </is>
      </c>
      <c r="D16" s="165" t="inlineStr">
        <is>
          <t>Cardano (ADA)</t>
        </is>
      </c>
      <c r="E16" s="166" t="inlineStr">
        <is>
          <t>Buy / Invest</t>
        </is>
      </c>
      <c r="F16" s="92" t="n">
        <v>0</v>
      </c>
      <c r="G16" s="92" t="n">
        <v>0</v>
      </c>
      <c r="H16" s="23">
        <f>IF(K16&lt;=0,0,IF(F16&gt;0,F16-K16,G16-K16))</f>
        <v/>
      </c>
      <c r="I16" s="167" t="n">
        <v>32.6527</v>
      </c>
      <c r="J16" s="18" t="n">
        <v>0</v>
      </c>
      <c r="K16" s="168">
        <f>J16*I16</f>
        <v/>
      </c>
      <c r="L16" s="11" t="n"/>
      <c r="M16" s="11" t="n"/>
      <c r="N16" s="5" t="n"/>
    </row>
    <row r="17" ht="15" customHeight="1" s="184">
      <c r="A17" s="96">
        <f>ROW()-2</f>
        <v/>
      </c>
      <c r="B17" s="15" t="n">
        <v>44913</v>
      </c>
      <c r="C17" s="164" t="inlineStr">
        <is>
          <t>Crypto</t>
        </is>
      </c>
      <c r="D17" s="165" t="inlineStr">
        <is>
          <t>Bitcoin (BTC)</t>
        </is>
      </c>
      <c r="E17" s="166" t="inlineStr">
        <is>
          <t>Buy / Invest</t>
        </is>
      </c>
      <c r="F17" s="92" t="n">
        <v>0</v>
      </c>
      <c r="G17" s="92" t="n">
        <v>0</v>
      </c>
      <c r="H17" s="23">
        <f>IF(K17&lt;=0,0,IF(F17&gt;0,F17-K17,G17-K17))</f>
        <v/>
      </c>
      <c r="I17" s="167" t="n">
        <v>0.000332</v>
      </c>
      <c r="J17" s="18" t="n">
        <v>0</v>
      </c>
      <c r="K17" s="168">
        <f>J17*I17</f>
        <v/>
      </c>
      <c r="L17" s="11" t="n"/>
      <c r="M17" s="11" t="n"/>
      <c r="N17" s="5" t="n"/>
    </row>
    <row r="18" ht="15" customHeight="1" s="184">
      <c r="A18" s="96">
        <f>ROW()-2</f>
        <v/>
      </c>
      <c r="B18" s="15" t="n">
        <v>44934</v>
      </c>
      <c r="C18" s="164" t="inlineStr">
        <is>
          <t>Crypto</t>
        </is>
      </c>
      <c r="D18" s="165" t="inlineStr">
        <is>
          <t>Ethereum (ETH)</t>
        </is>
      </c>
      <c r="E18" s="166" t="inlineStr">
        <is>
          <t>Buy / Invest</t>
        </is>
      </c>
      <c r="F18" s="92" t="n">
        <v>744.5700000000001</v>
      </c>
      <c r="G18" s="92" t="n">
        <v>0</v>
      </c>
      <c r="H18" s="23">
        <f>IF(K18&lt;=0,0,IF(F18&gt;0,F18-K18,G18-K18))</f>
        <v/>
      </c>
      <c r="I18" s="167" t="n">
        <v>0.0071583</v>
      </c>
      <c r="J18" s="18" t="n">
        <v>104015</v>
      </c>
      <c r="K18" s="168">
        <f>J18*I18</f>
        <v/>
      </c>
      <c r="L18" s="11" t="n"/>
      <c r="M18" s="11" t="n"/>
      <c r="N18" s="5" t="n"/>
    </row>
    <row r="19" ht="15" customHeight="1" s="184">
      <c r="A19" s="96">
        <f>ROW()-2</f>
        <v/>
      </c>
      <c r="B19" s="15" t="n">
        <v>44934</v>
      </c>
      <c r="C19" s="164" t="inlineStr">
        <is>
          <t>Crypto</t>
        </is>
      </c>
      <c r="D19" s="165" t="inlineStr">
        <is>
          <t>Bitcoin (BTC)</t>
        </is>
      </c>
      <c r="E19" s="166" t="inlineStr">
        <is>
          <t>Buy / Invest</t>
        </is>
      </c>
      <c r="F19" s="92" t="n">
        <v>1003.08</v>
      </c>
      <c r="G19" s="92" t="n">
        <v>0</v>
      </c>
      <c r="H19" s="23">
        <f>IF(K19&lt;=0,0,IF(F19&gt;0,F19-K19,G19-K19))</f>
        <v/>
      </c>
      <c r="I19" s="167" t="n">
        <v>0.000719</v>
      </c>
      <c r="J19" s="18" t="n">
        <v>1395102</v>
      </c>
      <c r="K19" s="168">
        <f>J19*I19</f>
        <v/>
      </c>
      <c r="L19" s="11" t="n"/>
      <c r="M19" s="11" t="n"/>
      <c r="N19" s="5" t="n"/>
    </row>
    <row r="20" ht="15" customHeight="1" s="184">
      <c r="A20" s="96">
        <f>ROW()-2</f>
        <v/>
      </c>
      <c r="B20" s="15" t="n">
        <v>44943</v>
      </c>
      <c r="C20" s="164" t="inlineStr">
        <is>
          <t>Crypto</t>
        </is>
      </c>
      <c r="D20" s="165" t="inlineStr">
        <is>
          <t>Polygon (MATIC)</t>
        </is>
      </c>
      <c r="E20" s="166" t="inlineStr">
        <is>
          <t>Buy / Invest</t>
        </is>
      </c>
      <c r="F20" s="92" t="n">
        <v>0</v>
      </c>
      <c r="G20" s="92" t="n">
        <v>0</v>
      </c>
      <c r="H20" s="23">
        <f>IF(K20&lt;=0,0,IF(F20&gt;0,F20-K20,G20-K20))</f>
        <v/>
      </c>
      <c r="I20" s="167" t="n">
        <v>27.5</v>
      </c>
      <c r="J20" s="18" t="n">
        <v>0</v>
      </c>
      <c r="K20" s="168">
        <f>J20*I20</f>
        <v/>
      </c>
      <c r="L20" s="11" t="n"/>
      <c r="M20" s="11" t="n"/>
      <c r="N20" s="5" t="n"/>
    </row>
    <row r="21" ht="15" customHeight="1" s="184">
      <c r="A21" s="96">
        <f>ROW()-2</f>
        <v/>
      </c>
      <c r="B21" s="15" t="n">
        <v>44967</v>
      </c>
      <c r="C21" s="164" t="inlineStr">
        <is>
          <t>Crypto</t>
        </is>
      </c>
      <c r="D21" s="165" t="inlineStr">
        <is>
          <t>Ethereum (ETH)</t>
        </is>
      </c>
      <c r="E21" s="166" t="inlineStr">
        <is>
          <t>Buy / Invest</t>
        </is>
      </c>
      <c r="F21" s="92" t="n">
        <v>717.85</v>
      </c>
      <c r="G21" s="92" t="n">
        <v>0</v>
      </c>
      <c r="H21" s="23">
        <f>IF(K21&lt;=0,0,IF(F21&gt;0,F21-K21,G21-K21))</f>
        <v/>
      </c>
      <c r="I21" s="167" t="n">
        <v>0.0056104</v>
      </c>
      <c r="J21" s="18" t="n">
        <v>127949</v>
      </c>
      <c r="K21" s="168">
        <f>J21*I21</f>
        <v/>
      </c>
      <c r="L21" s="11" t="n"/>
      <c r="M21" s="11" t="n"/>
      <c r="N21" s="5" t="n"/>
    </row>
    <row r="22" ht="15" customHeight="1" s="184">
      <c r="A22" s="96">
        <f>ROW()-2</f>
        <v/>
      </c>
      <c r="B22" s="15" t="n">
        <v>44967</v>
      </c>
      <c r="C22" s="164" t="inlineStr">
        <is>
          <t>Crypto</t>
        </is>
      </c>
      <c r="D22" s="165" t="inlineStr">
        <is>
          <t>Bitcoin (BTC)</t>
        </is>
      </c>
      <c r="E22" s="166" t="inlineStr">
        <is>
          <t>Buy / Invest</t>
        </is>
      </c>
      <c r="F22" s="92" t="n">
        <v>981.59</v>
      </c>
      <c r="G22" s="92" t="n">
        <v>0</v>
      </c>
      <c r="H22" s="23">
        <f>IF(K22&lt;=0,0,IF(F22&gt;0,F22-K22,G22-K22))</f>
        <v/>
      </c>
      <c r="I22" s="167" t="n">
        <v>0.0005447</v>
      </c>
      <c r="J22" s="18" t="n">
        <v>1802068</v>
      </c>
      <c r="K22" s="168">
        <f>J22*I22</f>
        <v/>
      </c>
      <c r="L22" s="11" t="n"/>
      <c r="M22" s="11" t="n"/>
      <c r="N22" s="5" t="n"/>
    </row>
    <row r="23" ht="15" customHeight="1" s="184">
      <c r="A23" s="96">
        <f>ROW()-2</f>
        <v/>
      </c>
      <c r="B23" s="15" t="n">
        <v>44975</v>
      </c>
      <c r="C23" s="164" t="inlineStr">
        <is>
          <t>Crypto</t>
        </is>
      </c>
      <c r="D23" s="165" t="inlineStr">
        <is>
          <t>Bitcoin (BTC)</t>
        </is>
      </c>
      <c r="E23" s="166" t="inlineStr">
        <is>
          <t>Buy / Invest</t>
        </is>
      </c>
      <c r="F23" s="92" t="n">
        <v>0</v>
      </c>
      <c r="G23" s="92" t="n">
        <v>0</v>
      </c>
      <c r="H23" s="23">
        <f>IF(K23&lt;=0,0,IF(F23&gt;0,F23-K23,G23-K23))</f>
        <v/>
      </c>
      <c r="I23" s="167" t="n">
        <v>0.0026281</v>
      </c>
      <c r="J23" s="18" t="n">
        <v>0</v>
      </c>
      <c r="K23" s="168">
        <f>J23*I23</f>
        <v/>
      </c>
      <c r="L23" s="11" t="n"/>
      <c r="M23" s="11" t="n"/>
      <c r="N23" s="5" t="n"/>
    </row>
    <row r="24" ht="15" customHeight="1" s="184">
      <c r="A24" s="96">
        <f>ROW()-2</f>
        <v/>
      </c>
      <c r="B24" s="15" t="n">
        <v>44988</v>
      </c>
      <c r="C24" s="164" t="inlineStr">
        <is>
          <t>Crypto</t>
        </is>
      </c>
      <c r="D24" s="165" t="n"/>
      <c r="E24" s="166" t="inlineStr">
        <is>
          <t>Buy / Invest</t>
        </is>
      </c>
      <c r="F24" s="92" t="n">
        <v>10000</v>
      </c>
      <c r="G24" s="92" t="n">
        <v>0</v>
      </c>
      <c r="H24" s="23">
        <f>IF(K24&lt;=0,0,IF(F24&gt;0,F24-K24,G24-K24))</f>
        <v/>
      </c>
      <c r="I24" s="167" t="n">
        <v>0</v>
      </c>
      <c r="J24" s="18" t="n">
        <v>0</v>
      </c>
      <c r="K24" s="168">
        <f>J24*I24</f>
        <v/>
      </c>
      <c r="L24" s="11" t="n"/>
      <c r="M24" s="11" t="n"/>
      <c r="N24" s="5" t="n"/>
    </row>
    <row r="25" ht="15" customHeight="1" s="184">
      <c r="A25" s="96">
        <f>ROW()-2</f>
        <v/>
      </c>
      <c r="B25" s="15" t="n">
        <v>44988</v>
      </c>
      <c r="C25" s="164" t="inlineStr">
        <is>
          <t>Crypto</t>
        </is>
      </c>
      <c r="D25" s="165" t="n"/>
      <c r="E25" s="166" t="inlineStr">
        <is>
          <t>Buy / Invest</t>
        </is>
      </c>
      <c r="F25" s="92" t="n">
        <v>2575</v>
      </c>
      <c r="G25" s="92" t="n">
        <v>0</v>
      </c>
      <c r="H25" s="23">
        <f>IF(K25&lt;=0,0,IF(F25&gt;0,F25-K25,G25-K25))</f>
        <v/>
      </c>
      <c r="I25" s="167" t="n">
        <v>0</v>
      </c>
      <c r="J25" s="18" t="n">
        <v>0</v>
      </c>
      <c r="K25" s="168">
        <f>J25*I25</f>
        <v/>
      </c>
      <c r="L25" s="11" t="n"/>
      <c r="M25" s="11" t="n"/>
      <c r="N25" s="5" t="n"/>
    </row>
    <row r="26" ht="15" customHeight="1" s="184">
      <c r="A26" s="96">
        <f>ROW()-2</f>
        <v/>
      </c>
      <c r="B26" s="15" t="n">
        <v>44998</v>
      </c>
      <c r="C26" s="164" t="inlineStr">
        <is>
          <t>Crypto</t>
        </is>
      </c>
      <c r="D26" s="165" t="inlineStr">
        <is>
          <t>Bitcoin (BTC)</t>
        </is>
      </c>
      <c r="E26" s="166" t="inlineStr">
        <is>
          <t>Buy / Invest</t>
        </is>
      </c>
      <c r="F26" s="92" t="n">
        <v>1070.22</v>
      </c>
      <c r="G26" s="92" t="n">
        <v>0</v>
      </c>
      <c r="H26" s="23">
        <f>IF(K26&lt;=0,0,IF(F26&gt;0,F26-K26,G26-K26))</f>
        <v/>
      </c>
      <c r="I26" s="167" t="n">
        <v>0.0005415</v>
      </c>
      <c r="J26" s="18" t="n">
        <v>1976402</v>
      </c>
      <c r="K26" s="168">
        <f>J26*I26</f>
        <v/>
      </c>
      <c r="L26" s="11" t="n"/>
      <c r="M26" s="11" t="n"/>
      <c r="N26" s="5" t="n"/>
    </row>
    <row r="27" ht="15" customHeight="1" s="184">
      <c r="A27" s="96">
        <f>ROW()-2</f>
        <v/>
      </c>
      <c r="B27" s="15" t="n">
        <v>44998</v>
      </c>
      <c r="C27" s="164" t="inlineStr">
        <is>
          <t>Crypto</t>
        </is>
      </c>
      <c r="D27" s="165" t="inlineStr">
        <is>
          <t>Ethereum (ETH)</t>
        </is>
      </c>
      <c r="E27" s="166" t="inlineStr">
        <is>
          <t>Buy / Invest</t>
        </is>
      </c>
      <c r="F27" s="92" t="n">
        <v>696.34</v>
      </c>
      <c r="G27" s="92" t="n">
        <v>0</v>
      </c>
      <c r="H27" s="23">
        <f>IF(K27&lt;=0,0,IF(F27&gt;0,F27-K27,G27-K27))</f>
        <v/>
      </c>
      <c r="I27" s="167" t="n">
        <v>0.005073</v>
      </c>
      <c r="J27" s="18" t="n">
        <v>137264</v>
      </c>
      <c r="K27" s="168">
        <f>J27*I27</f>
        <v/>
      </c>
      <c r="L27" s="11" t="n"/>
      <c r="M27" s="11" t="n"/>
      <c r="N27" s="5" t="n"/>
    </row>
    <row r="28" ht="15" customHeight="1" s="184">
      <c r="A28" s="96">
        <f>ROW()-2</f>
        <v/>
      </c>
      <c r="B28" s="15" t="n">
        <v>45041</v>
      </c>
      <c r="C28" s="164" t="inlineStr">
        <is>
          <t>Crypto</t>
        </is>
      </c>
      <c r="D28" s="165" t="inlineStr">
        <is>
          <t>Polygon (MATIC)</t>
        </is>
      </c>
      <c r="E28" s="166" t="inlineStr">
        <is>
          <t>Buy / Invest</t>
        </is>
      </c>
      <c r="F28" s="92" t="n">
        <v>0</v>
      </c>
      <c r="G28" s="92" t="n">
        <v>0</v>
      </c>
      <c r="H28" s="23">
        <f>IF(K28&lt;=0,0,IF(F28&gt;0,F28-K28,G28-K28))</f>
        <v/>
      </c>
      <c r="I28" s="167" t="n">
        <v>7.5</v>
      </c>
      <c r="J28" s="18" t="n">
        <v>0</v>
      </c>
      <c r="K28" s="168">
        <f>J28*I28</f>
        <v/>
      </c>
      <c r="L28" s="11" t="n"/>
      <c r="M28" s="11" t="n"/>
      <c r="N28" s="5" t="n"/>
    </row>
    <row r="29" ht="15" customHeight="1" s="184">
      <c r="A29" s="96">
        <f>ROW()-2</f>
        <v/>
      </c>
      <c r="B29" s="15" t="n">
        <v>45079</v>
      </c>
      <c r="C29" s="164" t="inlineStr">
        <is>
          <t>Crypto</t>
        </is>
      </c>
      <c r="D29" s="165" t="inlineStr">
        <is>
          <t>Ethereum (ETH)</t>
        </is>
      </c>
      <c r="E29" s="166" t="inlineStr">
        <is>
          <t>Buy / Invest</t>
        </is>
      </c>
      <c r="F29" s="92" t="n">
        <v>0</v>
      </c>
      <c r="G29" s="92" t="n">
        <v>0</v>
      </c>
      <c r="H29" s="23">
        <f>IF(K29&lt;=0,0,IF(F29&gt;0,F29-K29,G29-K29))</f>
        <v/>
      </c>
      <c r="I29" s="167" t="n">
        <v>0.001253</v>
      </c>
      <c r="J29" s="18" t="n">
        <v>0</v>
      </c>
      <c r="K29" s="168">
        <f>J29*I29</f>
        <v/>
      </c>
      <c r="L29" s="11" t="n"/>
      <c r="M29" s="11" t="n"/>
      <c r="N29" s="5" t="n"/>
    </row>
    <row r="30" ht="15" customHeight="1" s="184">
      <c r="A30" s="96">
        <f>ROW()-2</f>
        <v/>
      </c>
      <c r="B30" s="15" t="n">
        <v>45079</v>
      </c>
      <c r="C30" s="164" t="inlineStr">
        <is>
          <t>Crypto</t>
        </is>
      </c>
      <c r="D30" s="165" t="inlineStr">
        <is>
          <t>Polygon (MATIC)</t>
        </is>
      </c>
      <c r="E30" s="166" t="inlineStr">
        <is>
          <t>Sell / Redeem</t>
        </is>
      </c>
      <c r="F30" s="92" t="n">
        <v>-5032</v>
      </c>
      <c r="G30" s="92" t="n">
        <v>5032</v>
      </c>
      <c r="H30" s="23">
        <f>IF(K30&lt;=0,0,IF(F30&gt;0,F30-K30,G30-K30))</f>
        <v/>
      </c>
      <c r="I30" s="167" t="n">
        <v>-68</v>
      </c>
      <c r="J30" s="18" t="n">
        <v>74</v>
      </c>
      <c r="K30" s="168">
        <f>J30*I30</f>
        <v/>
      </c>
      <c r="L30" s="11" t="n"/>
      <c r="M30" s="11" t="n"/>
      <c r="N30" s="5" t="n"/>
    </row>
    <row r="31" ht="15" customHeight="1" s="184">
      <c r="A31" s="96">
        <f>ROW()-2</f>
        <v/>
      </c>
      <c r="B31" s="15" t="n">
        <v>45119</v>
      </c>
      <c r="C31" s="164" t="inlineStr">
        <is>
          <t>Crypto</t>
        </is>
      </c>
      <c r="D31" s="165" t="inlineStr">
        <is>
          <t>Polygon (MATIC)</t>
        </is>
      </c>
      <c r="E31" s="166" t="inlineStr">
        <is>
          <t>Buy / Invest</t>
        </is>
      </c>
      <c r="F31" s="92" t="n">
        <v>0</v>
      </c>
      <c r="G31" s="92" t="n">
        <v>0</v>
      </c>
      <c r="H31" s="23">
        <f>IF(K31&lt;=0,0,IF(F31&gt;0,F31-K31,G31-K31))</f>
        <v/>
      </c>
      <c r="I31" s="167" t="n">
        <v>3.03222</v>
      </c>
      <c r="J31" s="18" t="n">
        <v>0</v>
      </c>
      <c r="K31" s="168">
        <f>J31*I31</f>
        <v/>
      </c>
      <c r="L31" s="11" t="n"/>
      <c r="M31" s="11" t="n"/>
      <c r="N31" s="5" t="n"/>
    </row>
    <row r="32" ht="15" customHeight="1" s="184">
      <c r="A32" s="96">
        <f>ROW()-2</f>
        <v/>
      </c>
      <c r="B32" s="15" t="n">
        <v>45120</v>
      </c>
      <c r="C32" s="164" t="inlineStr">
        <is>
          <t>Crypto</t>
        </is>
      </c>
      <c r="D32" s="165" t="inlineStr">
        <is>
          <t>Ethereum (ETH)</t>
        </is>
      </c>
      <c r="E32" s="166" t="inlineStr">
        <is>
          <t>Buy / Invest</t>
        </is>
      </c>
      <c r="F32" s="92" t="n">
        <v>744.21</v>
      </c>
      <c r="G32" s="92" t="n">
        <v>0</v>
      </c>
      <c r="H32" s="23">
        <f>IF(K32&lt;=0,0,IF(F32&gt;0,F32-K32,G32-K32))</f>
        <v/>
      </c>
      <c r="I32" s="167" t="n">
        <v>0.004841</v>
      </c>
      <c r="J32" s="18" t="n">
        <v>153730</v>
      </c>
      <c r="K32" s="168">
        <f>J32*I32</f>
        <v/>
      </c>
      <c r="L32" s="11" t="n"/>
      <c r="M32" s="11" t="n"/>
      <c r="N32" s="5" t="n"/>
    </row>
    <row r="33" ht="15" customHeight="1" s="184">
      <c r="A33" s="96">
        <f>ROW()-2</f>
        <v/>
      </c>
      <c r="B33" s="15" t="n">
        <v>45120</v>
      </c>
      <c r="C33" s="164" t="inlineStr">
        <is>
          <t>Crypto</t>
        </is>
      </c>
      <c r="D33" s="165" t="inlineStr">
        <is>
          <t>Polygon (MATIC)</t>
        </is>
      </c>
      <c r="E33" s="166" t="inlineStr">
        <is>
          <t>Buy / Invest</t>
        </is>
      </c>
      <c r="F33" s="92" t="n">
        <v>0</v>
      </c>
      <c r="G33" s="92" t="n">
        <v>0</v>
      </c>
      <c r="H33" s="23">
        <f>IF(K33&lt;=0,0,IF(F33&gt;0,F33-K33,G33-K33))</f>
        <v/>
      </c>
      <c r="I33" s="167" t="n">
        <v>69.07980000000001</v>
      </c>
      <c r="J33" s="18" t="n">
        <v>0</v>
      </c>
      <c r="K33" s="168">
        <f>J33*I33</f>
        <v/>
      </c>
      <c r="L33" s="11" t="n"/>
      <c r="M33" s="11" t="n"/>
      <c r="N33" s="5" t="n"/>
    </row>
    <row r="34" ht="15" customHeight="1" s="184">
      <c r="A34" s="96">
        <f>ROW()-2</f>
        <v/>
      </c>
      <c r="B34" s="15" t="n">
        <v>45140</v>
      </c>
      <c r="C34" s="164" t="inlineStr">
        <is>
          <t>Crypto</t>
        </is>
      </c>
      <c r="D34" s="165" t="inlineStr">
        <is>
          <t>Polygon (MATIC)</t>
        </is>
      </c>
      <c r="E34" s="166" t="inlineStr">
        <is>
          <t>Buy / Invest</t>
        </is>
      </c>
      <c r="F34" s="92" t="n">
        <v>0</v>
      </c>
      <c r="G34" s="92" t="n">
        <v>0</v>
      </c>
      <c r="H34" s="23">
        <f>IF(K34&lt;=0,0,IF(F34&gt;0,F34-K34,G34-K34))</f>
        <v/>
      </c>
      <c r="I34" s="167" t="n">
        <v>18.39</v>
      </c>
      <c r="J34" s="18" t="n">
        <v>0</v>
      </c>
      <c r="K34" s="168">
        <f>J34*I34</f>
        <v/>
      </c>
      <c r="L34" s="11" t="n"/>
      <c r="M34" s="11" t="n"/>
      <c r="N34" s="5" t="n"/>
    </row>
    <row r="35" ht="15" customHeight="1" s="184">
      <c r="A35" s="96">
        <f>ROW()-2</f>
        <v/>
      </c>
      <c r="B35" s="15" t="n">
        <v>45200</v>
      </c>
      <c r="C35" s="164" t="inlineStr">
        <is>
          <t>Crypto</t>
        </is>
      </c>
      <c r="D35" s="165" t="inlineStr">
        <is>
          <t>Bitcoin (BTC)</t>
        </is>
      </c>
      <c r="E35" s="166" t="inlineStr">
        <is>
          <t>Buy / Invest</t>
        </is>
      </c>
      <c r="F35" s="92" t="n">
        <v>0</v>
      </c>
      <c r="G35" s="92" t="n">
        <v>0</v>
      </c>
      <c r="H35" s="23">
        <f>IF(K35&lt;=0,0,IF(F35&gt;0,F35-K35,G35-K35))</f>
        <v/>
      </c>
      <c r="I35" s="167" t="n">
        <v>0.00032896</v>
      </c>
      <c r="J35" s="18" t="n">
        <v>0</v>
      </c>
      <c r="K35" s="168">
        <f>J35*I35</f>
        <v/>
      </c>
      <c r="L35" s="11" t="n"/>
      <c r="M35" s="11" t="n"/>
      <c r="N35" s="5" t="n"/>
    </row>
    <row r="36" ht="15" customHeight="1" s="184">
      <c r="A36" s="96">
        <f>ROW()-2</f>
        <v/>
      </c>
      <c r="B36" s="15" t="n">
        <v>45200</v>
      </c>
      <c r="C36" s="164" t="inlineStr">
        <is>
          <t>Crypto</t>
        </is>
      </c>
      <c r="D36" s="165" t="inlineStr">
        <is>
          <t>Ethereum (ETH)</t>
        </is>
      </c>
      <c r="E36" s="166" t="inlineStr">
        <is>
          <t>Buy / Invest</t>
        </is>
      </c>
      <c r="F36" s="92" t="n">
        <v>0</v>
      </c>
      <c r="G36" s="92" t="n">
        <v>0</v>
      </c>
      <c r="H36" s="23">
        <f>IF(K36&lt;=0,0,IF(F36&gt;0,F36-K36,G36-K36))</f>
        <v/>
      </c>
      <c r="I36" s="167" t="n">
        <v>0.0014956</v>
      </c>
      <c r="J36" s="18" t="n">
        <v>0</v>
      </c>
      <c r="K36" s="168">
        <f>J36*I36</f>
        <v/>
      </c>
      <c r="L36" s="11" t="n"/>
      <c r="M36" s="11" t="n"/>
      <c r="N36" s="5" t="n"/>
    </row>
    <row r="37" ht="15" customHeight="1" s="184">
      <c r="A37" s="96">
        <f>ROW()-2</f>
        <v/>
      </c>
      <c r="B37" s="15" t="n">
        <v>45200</v>
      </c>
      <c r="C37" s="164" t="inlineStr">
        <is>
          <t>Crypto</t>
        </is>
      </c>
      <c r="D37" s="165" t="inlineStr">
        <is>
          <t>Polygon (MATIC)</t>
        </is>
      </c>
      <c r="E37" s="166" t="inlineStr">
        <is>
          <t>Buy / Invest</t>
        </is>
      </c>
      <c r="F37" s="92" t="n">
        <v>0</v>
      </c>
      <c r="G37" s="92" t="n">
        <v>0</v>
      </c>
      <c r="H37" s="23">
        <f>IF(K37&lt;=0,0,IF(F37&gt;0,F37-K37,G37-K37))</f>
        <v/>
      </c>
      <c r="I37" s="167" t="n">
        <v>24.81</v>
      </c>
      <c r="J37" s="18" t="n">
        <v>0</v>
      </c>
      <c r="K37" s="168">
        <f>J37*I37</f>
        <v/>
      </c>
      <c r="L37" s="11" t="n"/>
      <c r="M37" s="11" t="n"/>
      <c r="N37" s="5" t="n"/>
    </row>
    <row r="38" ht="15" customHeight="1" s="184">
      <c r="A38" s="96">
        <f>ROW()-2</f>
        <v/>
      </c>
      <c r="B38" s="15" t="n">
        <v>45200</v>
      </c>
      <c r="C38" s="164" t="inlineStr">
        <is>
          <t>Crypto</t>
        </is>
      </c>
      <c r="D38" s="165" t="inlineStr">
        <is>
          <t>Polygon (MATIC)</t>
        </is>
      </c>
      <c r="E38" s="166" t="inlineStr">
        <is>
          <t>Buy / Invest</t>
        </is>
      </c>
      <c r="F38" s="92" t="n">
        <v>0</v>
      </c>
      <c r="G38" s="92" t="n">
        <v>0</v>
      </c>
      <c r="H38" s="23">
        <f>IF(K38&lt;=0,0,IF(F38&gt;0,F38-K38,G38-K38))</f>
        <v/>
      </c>
      <c r="I38" s="167" t="n">
        <v>3.9948</v>
      </c>
      <c r="J38" s="18" t="n">
        <v>0</v>
      </c>
      <c r="K38" s="168">
        <f>J38*I38</f>
        <v/>
      </c>
      <c r="L38" s="11" t="n"/>
      <c r="M38" s="11" t="n"/>
      <c r="N38" s="5" t="n"/>
    </row>
    <row r="39" ht="15" customHeight="1" s="184">
      <c r="A39" s="96">
        <f>ROW()-2</f>
        <v/>
      </c>
      <c r="B39" s="15" t="n">
        <v>45200</v>
      </c>
      <c r="C39" s="164" t="inlineStr">
        <is>
          <t>Crypto</t>
        </is>
      </c>
      <c r="D39" s="165" t="inlineStr">
        <is>
          <t>Cardano (ADA)</t>
        </is>
      </c>
      <c r="E39" s="166" t="inlineStr">
        <is>
          <t>Buy / Invest</t>
        </is>
      </c>
      <c r="F39" s="92" t="n">
        <v>0</v>
      </c>
      <c r="G39" s="92" t="n">
        <v>0</v>
      </c>
      <c r="H39" s="23">
        <f>IF(K39&lt;=0,0,IF(F39&gt;0,F39-K39,G39-K39))</f>
        <v/>
      </c>
      <c r="I39" s="167" t="n">
        <v>9.442399999999999</v>
      </c>
      <c r="J39" s="18" t="n">
        <v>0</v>
      </c>
      <c r="K39" s="168">
        <f>J39*I39</f>
        <v/>
      </c>
      <c r="L39" s="11" t="n"/>
      <c r="M39" s="11" t="n"/>
      <c r="N39" s="5" t="n"/>
    </row>
    <row r="40" ht="15" customHeight="1" s="184">
      <c r="A40" s="96">
        <f>ROW()-2</f>
        <v/>
      </c>
      <c r="B40" s="15" t="n">
        <v>45240</v>
      </c>
      <c r="C40" s="164" t="inlineStr">
        <is>
          <t>Crypto</t>
        </is>
      </c>
      <c r="D40" s="165" t="inlineStr">
        <is>
          <t>Polygon (MATIC)</t>
        </is>
      </c>
      <c r="E40" s="166" t="inlineStr">
        <is>
          <t>Buy / Invest</t>
        </is>
      </c>
      <c r="F40" s="92" t="n">
        <v>0</v>
      </c>
      <c r="G40" s="92" t="n">
        <v>0</v>
      </c>
      <c r="H40" s="23">
        <f>IF(K40&lt;=0,0,IF(F40&gt;0,F40-K40,G40-K40))</f>
        <v/>
      </c>
      <c r="I40" s="167" t="n">
        <v>24.685</v>
      </c>
      <c r="J40" s="18" t="n">
        <v>0</v>
      </c>
      <c r="K40" s="168">
        <f>J40*I40</f>
        <v/>
      </c>
      <c r="L40" s="11" t="n"/>
      <c r="M40" s="11" t="n"/>
      <c r="N40" s="5" t="n"/>
    </row>
    <row r="41" ht="15" customHeight="1" s="184">
      <c r="A41" s="96">
        <f>ROW()-2</f>
        <v/>
      </c>
      <c r="B41" s="15" t="n">
        <v>45244</v>
      </c>
      <c r="C41" s="164" t="inlineStr">
        <is>
          <t>Crypto</t>
        </is>
      </c>
      <c r="D41" s="165" t="inlineStr">
        <is>
          <t>Polygon (MATIC)</t>
        </is>
      </c>
      <c r="E41" s="166" t="inlineStr">
        <is>
          <t>Sell / Redeem</t>
        </is>
      </c>
      <c r="F41" s="92" t="n">
        <v>0</v>
      </c>
      <c r="G41" s="92" t="n">
        <v>5330</v>
      </c>
      <c r="H41" s="23">
        <f>IF(K41&lt;=0,0,IF(F41&gt;0,F41-K41,G41-K41))</f>
        <v/>
      </c>
      <c r="I41" s="167" t="n">
        <v>-65</v>
      </c>
      <c r="J41" s="18" t="n">
        <v>82</v>
      </c>
      <c r="K41" s="168">
        <f>J41*I41</f>
        <v/>
      </c>
      <c r="L41" s="11" t="n"/>
      <c r="M41" s="11" t="n"/>
      <c r="N41" s="5" t="n"/>
    </row>
    <row r="42" ht="15" customHeight="1" s="184">
      <c r="A42" s="96">
        <f>ROW()-2</f>
        <v/>
      </c>
      <c r="B42" s="15" t="n">
        <v>45263</v>
      </c>
      <c r="C42" s="164" t="inlineStr">
        <is>
          <t>Crypto</t>
        </is>
      </c>
      <c r="D42" s="165" t="inlineStr">
        <is>
          <t>Polygon (MATIC)</t>
        </is>
      </c>
      <c r="E42" s="166" t="inlineStr">
        <is>
          <t>Buy / Invest</t>
        </is>
      </c>
      <c r="F42" s="92" t="n">
        <v>0</v>
      </c>
      <c r="G42" s="92" t="n">
        <v>0</v>
      </c>
      <c r="H42" s="23">
        <f>IF(K42&lt;=0,0,IF(F42&gt;0,F42-K42,G42-K42))</f>
        <v/>
      </c>
      <c r="I42" s="167" t="n">
        <v>9.99424</v>
      </c>
      <c r="J42" s="18" t="n">
        <v>0</v>
      </c>
      <c r="K42" s="168">
        <f>J42*I42</f>
        <v/>
      </c>
      <c r="L42" s="11" t="n"/>
      <c r="M42" s="11" t="n"/>
      <c r="N42" s="5" t="n"/>
    </row>
    <row r="43" ht="15" customHeight="1" s="184">
      <c r="A43" s="96">
        <f>ROW()-2</f>
        <v/>
      </c>
      <c r="B43" s="15" t="n">
        <v>45266</v>
      </c>
      <c r="C43" s="164" t="inlineStr">
        <is>
          <t>Crypto</t>
        </is>
      </c>
      <c r="D43" s="165" t="inlineStr">
        <is>
          <t>Cardano (ADA)</t>
        </is>
      </c>
      <c r="E43" s="166" t="inlineStr">
        <is>
          <t>Buy / Invest</t>
        </is>
      </c>
      <c r="F43" s="92" t="n">
        <v>0</v>
      </c>
      <c r="G43" s="92" t="n">
        <v>0</v>
      </c>
      <c r="H43" s="23">
        <f>IF(K43&lt;=0,0,IF(F43&gt;0,F43-K43,G43-K43))</f>
        <v/>
      </c>
      <c r="I43" s="167" t="n">
        <v>11.593</v>
      </c>
      <c r="J43" s="18" t="n">
        <v>0</v>
      </c>
      <c r="K43" s="168">
        <f>J43*I43</f>
        <v/>
      </c>
      <c r="L43" s="11" t="n"/>
      <c r="M43" s="11" t="n"/>
      <c r="N43" s="5" t="n"/>
    </row>
    <row r="44" ht="15" customHeight="1" s="184">
      <c r="A44" s="96">
        <f>ROW()-2</f>
        <v/>
      </c>
      <c r="B44" s="15" t="n">
        <v>45268</v>
      </c>
      <c r="C44" s="164" t="inlineStr">
        <is>
          <t>Crypto</t>
        </is>
      </c>
      <c r="D44" s="165" t="inlineStr">
        <is>
          <t>Ethereum (ETH)</t>
        </is>
      </c>
      <c r="E44" s="166" t="inlineStr">
        <is>
          <t>Buy / Invest</t>
        </is>
      </c>
      <c r="F44" s="92" t="n">
        <v>965.73</v>
      </c>
      <c r="G44" s="92" t="n">
        <v>0</v>
      </c>
      <c r="H44" s="23">
        <f>IF(K44&lt;=0,0,IF(F44&gt;0,F44-K44,G44-K44))</f>
        <v/>
      </c>
      <c r="I44" s="167" t="n">
        <v>0.00455996</v>
      </c>
      <c r="J44" s="18" t="n">
        <v>211785</v>
      </c>
      <c r="K44" s="168">
        <f>J44*I44</f>
        <v/>
      </c>
      <c r="L44" s="11" t="n"/>
      <c r="M44" s="11" t="n"/>
      <c r="N44" s="5" t="n"/>
    </row>
    <row r="45" ht="15" customHeight="1" s="184">
      <c r="A45" s="96">
        <f>ROW()-2</f>
        <v/>
      </c>
      <c r="B45" s="15" t="n">
        <v>45268</v>
      </c>
      <c r="C45" s="164" t="inlineStr">
        <is>
          <t>Crypto</t>
        </is>
      </c>
      <c r="D45" s="165" t="inlineStr">
        <is>
          <t>Bitcoin (BTC)</t>
        </is>
      </c>
      <c r="E45" s="166" t="inlineStr">
        <is>
          <t>Buy / Invest</t>
        </is>
      </c>
      <c r="F45" s="92" t="n">
        <v>918.95</v>
      </c>
      <c r="G45" s="92" t="n">
        <v>0</v>
      </c>
      <c r="H45" s="23">
        <f>IF(K45&lt;=0,0,IF(F45&gt;0,F45-K45,G45-K45))</f>
        <v/>
      </c>
      <c r="I45" s="167" t="n">
        <v>0.00025041</v>
      </c>
      <c r="J45" s="18" t="n">
        <v>3669784</v>
      </c>
      <c r="K45" s="168">
        <f>J45*I45</f>
        <v/>
      </c>
      <c r="L45" s="11" t="n"/>
      <c r="M45" s="11" t="n"/>
      <c r="N45" s="5" t="n"/>
    </row>
    <row r="46" ht="15" customHeight="1" s="184">
      <c r="A46" s="96">
        <f>ROW()-2</f>
        <v/>
      </c>
      <c r="B46" s="15" t="n">
        <v>45288</v>
      </c>
      <c r="C46" s="164" t="inlineStr">
        <is>
          <t>Crypto</t>
        </is>
      </c>
      <c r="D46" s="165" t="inlineStr">
        <is>
          <t>Cardano (ADA)</t>
        </is>
      </c>
      <c r="E46" s="166" t="inlineStr">
        <is>
          <t>Buy / Invest</t>
        </is>
      </c>
      <c r="F46" s="92" t="n">
        <v>0</v>
      </c>
      <c r="G46" s="92" t="n">
        <v>0</v>
      </c>
      <c r="H46" s="23">
        <f>IF(K46&lt;=0,0,IF(F46&gt;0,F46-K46,G46-K46))</f>
        <v/>
      </c>
      <c r="I46" s="167" t="n">
        <v>9.157999999999999</v>
      </c>
      <c r="J46" s="18" t="n">
        <v>0</v>
      </c>
      <c r="K46" s="168">
        <f>J46*I46</f>
        <v/>
      </c>
      <c r="L46" s="11" t="n"/>
      <c r="M46" s="11" t="n"/>
      <c r="N46" s="5" t="n"/>
    </row>
    <row r="47" ht="15" customHeight="1" s="184">
      <c r="A47" s="96">
        <f>ROW()-2</f>
        <v/>
      </c>
      <c r="B47" s="15" t="n">
        <v>45304</v>
      </c>
      <c r="C47" s="164" t="inlineStr">
        <is>
          <t>Crypto</t>
        </is>
      </c>
      <c r="D47" s="165" t="inlineStr">
        <is>
          <t>Bitcoin (BTC)</t>
        </is>
      </c>
      <c r="E47" s="166" t="inlineStr">
        <is>
          <t>Buy / Invest</t>
        </is>
      </c>
      <c r="F47" s="92" t="n">
        <v>999.46</v>
      </c>
      <c r="G47" s="92" t="n">
        <v>0</v>
      </c>
      <c r="H47" s="23">
        <f>IF(K47&lt;=0,0,IF(F47&gt;0,F47-K47,G47-K47))</f>
        <v/>
      </c>
      <c r="I47" s="167" t="n">
        <v>0.00024208</v>
      </c>
      <c r="J47" s="18" t="n">
        <v>4128646</v>
      </c>
      <c r="K47" s="168">
        <f>J47*I47</f>
        <v/>
      </c>
      <c r="L47" s="11" t="n"/>
      <c r="M47" s="11" t="n"/>
      <c r="N47" s="5" t="n"/>
    </row>
    <row r="48" ht="15" customHeight="1" s="184">
      <c r="A48" s="96">
        <f>ROW()-2</f>
        <v/>
      </c>
      <c r="B48" s="15" t="n">
        <v>45304</v>
      </c>
      <c r="C48" s="164" t="inlineStr">
        <is>
          <t>Crypto</t>
        </is>
      </c>
      <c r="D48" s="165" t="inlineStr">
        <is>
          <t>Polygon (MATIC)</t>
        </is>
      </c>
      <c r="E48" s="166" t="inlineStr">
        <is>
          <t>Sell / Redeem</t>
        </is>
      </c>
      <c r="F48" s="92" t="n">
        <v>0</v>
      </c>
      <c r="G48" s="92" t="n">
        <v>0</v>
      </c>
      <c r="H48" s="23">
        <f>IF(K48&lt;=0,0,IF(F48&gt;0,F48-K48,G48-K48))</f>
        <v/>
      </c>
      <c r="I48" s="167" t="n">
        <v>-82</v>
      </c>
      <c r="J48" s="18" t="n">
        <v>0</v>
      </c>
      <c r="K48" s="168">
        <f>J48*I48</f>
        <v/>
      </c>
      <c r="L48" s="11" t="n"/>
      <c r="M48" s="11" t="n"/>
      <c r="N48" s="5" t="n"/>
    </row>
    <row r="49" ht="15" customHeight="1" s="184">
      <c r="A49" s="96">
        <f>ROW()-2</f>
        <v/>
      </c>
      <c r="B49" s="15" t="n">
        <v>45307</v>
      </c>
      <c r="C49" s="164" t="inlineStr">
        <is>
          <t>Crypto</t>
        </is>
      </c>
      <c r="D49" s="165" t="inlineStr">
        <is>
          <t>Polygon (MATIC)</t>
        </is>
      </c>
      <c r="E49" s="166" t="inlineStr">
        <is>
          <t>Buy / Invest</t>
        </is>
      </c>
      <c r="F49" s="92" t="n">
        <v>965.12</v>
      </c>
      <c r="G49" s="92" t="n">
        <v>0</v>
      </c>
      <c r="H49" s="23">
        <f>IF(K49&lt;=0,0,IF(F49&gt;0,F49-K49,G49-K49))</f>
        <v/>
      </c>
      <c r="I49" s="167" t="n">
        <v>11.628</v>
      </c>
      <c r="J49" s="18" t="n">
        <v>83</v>
      </c>
      <c r="K49" s="168">
        <f>J49*I49</f>
        <v/>
      </c>
      <c r="L49" s="11" t="n"/>
      <c r="M49" s="11" t="n"/>
      <c r="N49" s="5" t="n"/>
    </row>
    <row r="50" ht="15" customHeight="1" s="184">
      <c r="A50" s="96">
        <f>ROW()-2</f>
        <v/>
      </c>
      <c r="B50" s="15" t="n">
        <v>45307</v>
      </c>
      <c r="C50" s="164" t="inlineStr">
        <is>
          <t>Crypto</t>
        </is>
      </c>
      <c r="D50" s="165" t="inlineStr">
        <is>
          <t>Cardano (ADA)</t>
        </is>
      </c>
      <c r="E50" s="166" t="inlineStr">
        <is>
          <t>Buy / Invest</t>
        </is>
      </c>
      <c r="F50" s="92" t="n">
        <v>0</v>
      </c>
      <c r="G50" s="92" t="n">
        <v>0</v>
      </c>
      <c r="H50" s="23">
        <f>IF(K50&lt;=0,0,IF(F50&gt;0,F50-K50,G50-K50))</f>
        <v/>
      </c>
      <c r="I50" s="167" t="n">
        <v>5.1853</v>
      </c>
      <c r="J50" s="18" t="n">
        <v>0</v>
      </c>
      <c r="K50" s="168">
        <f>J50*I50</f>
        <v/>
      </c>
      <c r="L50" s="11" t="n"/>
      <c r="M50" s="11" t="n"/>
      <c r="N50" s="5" t="n"/>
    </row>
    <row r="51" ht="15" customHeight="1" s="184">
      <c r="A51" s="96">
        <f>ROW()-2</f>
        <v/>
      </c>
      <c r="B51" s="15" t="n">
        <v>45307</v>
      </c>
      <c r="C51" s="164" t="inlineStr">
        <is>
          <t>Crypto</t>
        </is>
      </c>
      <c r="D51" s="165" t="inlineStr">
        <is>
          <t>Polygon (MATIC)</t>
        </is>
      </c>
      <c r="E51" s="166" t="inlineStr">
        <is>
          <t>Buy / Invest</t>
        </is>
      </c>
      <c r="F51" s="92" t="n">
        <v>0</v>
      </c>
      <c r="G51" s="92" t="n">
        <v>0</v>
      </c>
      <c r="H51" s="23">
        <f>IF(K51&lt;=0,0,IF(F51&gt;0,F51-K51,G51-K51))</f>
        <v/>
      </c>
      <c r="I51" s="167" t="n">
        <v>7.69</v>
      </c>
      <c r="J51" s="18" t="n">
        <v>0</v>
      </c>
      <c r="K51" s="168">
        <f>J51*I51</f>
        <v/>
      </c>
      <c r="L51" s="11" t="n"/>
      <c r="M51" s="11" t="n"/>
      <c r="N51" s="5" t="n"/>
    </row>
    <row r="52" ht="15" customHeight="1" s="184">
      <c r="A52" s="96">
        <f>ROW()-2</f>
        <v/>
      </c>
      <c r="B52" s="15" t="n">
        <v>45318</v>
      </c>
      <c r="C52" s="164" t="inlineStr">
        <is>
          <t>Crypto</t>
        </is>
      </c>
      <c r="D52" s="165" t="inlineStr">
        <is>
          <t>Polygon (MATIC)</t>
        </is>
      </c>
      <c r="E52" s="166" t="inlineStr">
        <is>
          <t>Buy / Invest</t>
        </is>
      </c>
      <c r="F52" s="92" t="n">
        <v>871.96</v>
      </c>
      <c r="G52" s="92" t="n">
        <v>0</v>
      </c>
      <c r="H52" s="23">
        <f>IF(K52&lt;=0,0,IF(F52&gt;0,F52-K52,G52-K52))</f>
        <v/>
      </c>
      <c r="I52" s="167" t="n">
        <v>13.7859</v>
      </c>
      <c r="J52" s="18" t="n">
        <v>63.25</v>
      </c>
      <c r="K52" s="168">
        <f>J52*I52</f>
        <v/>
      </c>
      <c r="L52" s="11" t="n"/>
      <c r="M52" s="11" t="n"/>
      <c r="N52" s="5" t="n"/>
    </row>
    <row r="53" ht="15" customHeight="1" s="184">
      <c r="A53" s="96">
        <f>ROW()-2</f>
        <v/>
      </c>
      <c r="B53" s="15" t="n">
        <v>45322</v>
      </c>
      <c r="C53" s="164" t="inlineStr">
        <is>
          <t>Shares MF</t>
        </is>
      </c>
      <c r="D53" s="165" t="inlineStr">
        <is>
          <t>SBI Savings Fund Direct Plan Growth</t>
        </is>
      </c>
      <c r="E53" s="166" t="inlineStr">
        <is>
          <t>Buy / Invest</t>
        </is>
      </c>
      <c r="F53" s="92" t="n">
        <v>14737</v>
      </c>
      <c r="G53" s="92" t="n">
        <v>0</v>
      </c>
      <c r="H53" s="23">
        <f>IF(K53&lt;=0,0,IF(F53&gt;0,F53-K53,G53-K53))</f>
        <v/>
      </c>
      <c r="I53" s="167" t="n">
        <v>369.514</v>
      </c>
      <c r="J53" s="18" t="n">
        <v>39.88</v>
      </c>
      <c r="K53" s="168">
        <f>J53*I53</f>
        <v/>
      </c>
      <c r="L53" s="11" t="n"/>
      <c r="M53" s="11" t="n"/>
      <c r="N53" s="5" t="n"/>
    </row>
    <row r="54" ht="15" customHeight="1" s="184">
      <c r="A54" s="96">
        <f>ROW()-2</f>
        <v/>
      </c>
      <c r="B54" s="15" t="n">
        <v>45326</v>
      </c>
      <c r="C54" s="164" t="inlineStr">
        <is>
          <t>Crypto</t>
        </is>
      </c>
      <c r="D54" s="165" t="inlineStr">
        <is>
          <t>Solana (SOL)</t>
        </is>
      </c>
      <c r="E54" s="166" t="inlineStr">
        <is>
          <t>Buy / Invest</t>
        </is>
      </c>
      <c r="F54" s="92" t="n">
        <v>1165.5</v>
      </c>
      <c r="G54" s="92" t="n">
        <v>0</v>
      </c>
      <c r="H54" s="23">
        <f>IF(K54&lt;=0,0,IF(F54&gt;0,F54-K54,G54-K54))</f>
        <v/>
      </c>
      <c r="I54" s="167" t="n">
        <v>0.14452729</v>
      </c>
      <c r="J54" s="18" t="n">
        <v>8067</v>
      </c>
      <c r="K54" s="168">
        <f>J54*I54</f>
        <v/>
      </c>
      <c r="L54" s="11" t="n"/>
      <c r="M54" s="11" t="n"/>
      <c r="N54" s="5" t="n"/>
    </row>
    <row r="55" ht="15" customHeight="1" s="184">
      <c r="A55" s="96">
        <f>ROW()-2</f>
        <v/>
      </c>
      <c r="B55" s="15" t="n">
        <v>45326</v>
      </c>
      <c r="C55" s="164" t="inlineStr">
        <is>
          <t>Crypto</t>
        </is>
      </c>
      <c r="D55" s="165" t="inlineStr">
        <is>
          <t>Ethereum (ETH)</t>
        </is>
      </c>
      <c r="E55" s="166" t="inlineStr">
        <is>
          <t>Buy / Invest</t>
        </is>
      </c>
      <c r="F55" s="92" t="n">
        <v>866.89</v>
      </c>
      <c r="G55" s="92" t="n">
        <v>0</v>
      </c>
      <c r="H55" s="23">
        <f>IF(K55&lt;=0,0,IF(F55&gt;0,F55-K55,G55-K55))</f>
        <v/>
      </c>
      <c r="I55" s="167" t="n">
        <v>0.0045453</v>
      </c>
      <c r="J55" s="18" t="n">
        <v>190722.23</v>
      </c>
      <c r="K55" s="168">
        <f>J55*I55</f>
        <v/>
      </c>
      <c r="L55" s="11" t="n"/>
      <c r="M55" s="11" t="n"/>
      <c r="N55" s="5" t="n"/>
    </row>
    <row r="56" ht="15" customHeight="1" s="184">
      <c r="A56" s="96">
        <f>ROW()-2</f>
        <v/>
      </c>
      <c r="B56" s="15" t="n">
        <v>45326</v>
      </c>
      <c r="C56" s="164" t="inlineStr">
        <is>
          <t>Crypto</t>
        </is>
      </c>
      <c r="D56" s="165" t="inlineStr">
        <is>
          <t>Polygon (MATIC)</t>
        </is>
      </c>
      <c r="E56" s="166" t="inlineStr">
        <is>
          <t>Buy / Invest</t>
        </is>
      </c>
      <c r="F56" s="92" t="n">
        <v>0</v>
      </c>
      <c r="G56" s="92" t="n">
        <v>0</v>
      </c>
      <c r="H56" s="23">
        <f>IF(K56&lt;=0,0,IF(F56&gt;0,F56-K56,G56-K56))</f>
        <v/>
      </c>
      <c r="I56" s="167" t="n">
        <v>1.99488</v>
      </c>
      <c r="J56" s="18" t="n">
        <v>0</v>
      </c>
      <c r="K56" s="168">
        <f>J56*I56</f>
        <v/>
      </c>
      <c r="L56" s="11" t="n"/>
      <c r="M56" s="11" t="n"/>
      <c r="N56" s="5" t="n"/>
    </row>
    <row r="57" ht="15" customHeight="1" s="184">
      <c r="A57" s="96">
        <f>ROW()-2</f>
        <v/>
      </c>
      <c r="B57" s="15" t="n">
        <v>45326</v>
      </c>
      <c r="C57" s="164" t="inlineStr">
        <is>
          <t>Crypto</t>
        </is>
      </c>
      <c r="D57" s="165" t="inlineStr">
        <is>
          <t>Cardano (ADA)</t>
        </is>
      </c>
      <c r="E57" s="166" t="inlineStr">
        <is>
          <t>Buy / Invest</t>
        </is>
      </c>
      <c r="F57" s="92" t="n">
        <v>0</v>
      </c>
      <c r="G57" s="92" t="n">
        <v>0</v>
      </c>
      <c r="H57" s="23">
        <f>IF(K57&lt;=0,0,IF(F57&gt;0,F57-K57,G57-K57))</f>
        <v/>
      </c>
      <c r="I57" s="167" t="n">
        <v>6.102466</v>
      </c>
      <c r="J57" s="18" t="n">
        <v>0</v>
      </c>
      <c r="K57" s="168">
        <f>J57*I57</f>
        <v/>
      </c>
      <c r="L57" s="11" t="n"/>
      <c r="M57" s="11" t="n"/>
      <c r="N57" s="5" t="n"/>
    </row>
    <row r="58" ht="15" customHeight="1" s="184">
      <c r="A58" s="96">
        <f>ROW()-2</f>
        <v/>
      </c>
      <c r="B58" s="15" t="n">
        <v>45326</v>
      </c>
      <c r="C58" s="164" t="inlineStr">
        <is>
          <t>Shares MF</t>
        </is>
      </c>
      <c r="D58" s="165" t="inlineStr">
        <is>
          <t>SBI Savings Fund Direct Plan Growth</t>
        </is>
      </c>
      <c r="E58" s="166" t="inlineStr">
        <is>
          <t>Buy / Invest</t>
        </is>
      </c>
      <c r="F58" s="92" t="n">
        <v>1000</v>
      </c>
      <c r="G58" s="92" t="n">
        <v>0</v>
      </c>
      <c r="H58" s="23">
        <f>IF(K58&lt;=0,0,IF(F58&gt;0,F58-K58,G58-K58))</f>
        <v/>
      </c>
      <c r="I58" s="167" t="n">
        <v>25.042</v>
      </c>
      <c r="J58" s="18" t="n">
        <v>39.9306</v>
      </c>
      <c r="K58" s="168">
        <f>J58*I58</f>
        <v/>
      </c>
      <c r="L58" s="11" t="n"/>
      <c r="M58" s="11" t="n"/>
      <c r="N58" s="5" t="n"/>
    </row>
    <row r="59" ht="15" customHeight="1" s="184">
      <c r="A59" s="96">
        <f>ROW()-2</f>
        <v/>
      </c>
      <c r="B59" s="15" t="n">
        <v>45333</v>
      </c>
      <c r="C59" s="164" t="inlineStr">
        <is>
          <t>Crypto</t>
        </is>
      </c>
      <c r="D59" s="165" t="inlineStr">
        <is>
          <t>Polygon (MATIC)</t>
        </is>
      </c>
      <c r="E59" s="166" t="inlineStr">
        <is>
          <t>Buy / Invest</t>
        </is>
      </c>
      <c r="F59" s="92" t="n">
        <v>0</v>
      </c>
      <c r="G59" s="92" t="n">
        <v>0</v>
      </c>
      <c r="H59" s="23">
        <f>IF(K59&lt;=0,0,IF(F59&gt;0,F59-K59,G59-K59))</f>
        <v/>
      </c>
      <c r="I59" s="167" t="n">
        <v>2.5001</v>
      </c>
      <c r="J59" s="18" t="n">
        <v>0</v>
      </c>
      <c r="K59" s="168">
        <f>J59*I59</f>
        <v/>
      </c>
      <c r="L59" s="11" t="n"/>
      <c r="M59" s="11" t="n"/>
      <c r="N59" s="5" t="n"/>
    </row>
    <row r="60" ht="15" customHeight="1" s="184">
      <c r="A60" s="96">
        <f>ROW()-2</f>
        <v/>
      </c>
      <c r="B60" s="15" t="n">
        <v>45346</v>
      </c>
      <c r="C60" s="164" t="inlineStr">
        <is>
          <t>Crypto</t>
        </is>
      </c>
      <c r="D60" s="165" t="inlineStr">
        <is>
          <t>Bitcoin (BTC)</t>
        </is>
      </c>
      <c r="E60" s="166" t="inlineStr">
        <is>
          <t>Buy / Invest</t>
        </is>
      </c>
      <c r="F60" s="92" t="n">
        <v>0</v>
      </c>
      <c r="G60" s="92" t="n">
        <v>0</v>
      </c>
      <c r="H60" s="23">
        <f>IF(K60&lt;=0,0,IF(F60&gt;0,F60-K60,G60-K60))</f>
        <v/>
      </c>
      <c r="I60" s="167" t="n">
        <v>4.968e-05</v>
      </c>
      <c r="J60" s="18" t="n">
        <v>0</v>
      </c>
      <c r="K60" s="168">
        <f>J60*I60</f>
        <v/>
      </c>
      <c r="L60" s="11" t="n"/>
      <c r="M60" s="11" t="n"/>
      <c r="N60" s="5" t="n"/>
    </row>
    <row r="61" ht="15" customHeight="1" s="184">
      <c r="A61" s="96">
        <f>ROW()-2</f>
        <v/>
      </c>
      <c r="B61" s="15" t="n">
        <v>45346</v>
      </c>
      <c r="C61" s="164" t="inlineStr">
        <is>
          <t>Crypto</t>
        </is>
      </c>
      <c r="D61" s="165" t="inlineStr">
        <is>
          <t>Polygon (MATIC)</t>
        </is>
      </c>
      <c r="E61" s="166" t="inlineStr">
        <is>
          <t>Buy / Invest</t>
        </is>
      </c>
      <c r="F61" s="92" t="n">
        <v>0</v>
      </c>
      <c r="G61" s="92" t="n">
        <v>0</v>
      </c>
      <c r="H61" s="23">
        <f>IF(K61&lt;=0,0,IF(F61&gt;0,F61-K61,G61-K61))</f>
        <v/>
      </c>
      <c r="I61" s="167" t="n">
        <v>2.2</v>
      </c>
      <c r="J61" s="18" t="n">
        <v>0</v>
      </c>
      <c r="K61" s="168">
        <f>J61*I61</f>
        <v/>
      </c>
      <c r="L61" s="11" t="n"/>
      <c r="M61" s="11" t="n"/>
      <c r="N61" s="5" t="n"/>
    </row>
    <row r="62" ht="15" customHeight="1" s="184">
      <c r="A62" s="96">
        <f>ROW()-2</f>
        <v/>
      </c>
      <c r="B62" s="15" t="n">
        <v>45353</v>
      </c>
      <c r="C62" s="164" t="inlineStr">
        <is>
          <t>Crypto</t>
        </is>
      </c>
      <c r="D62" s="165" t="inlineStr">
        <is>
          <t>Polygon (MATIC)</t>
        </is>
      </c>
      <c r="E62" s="166" t="inlineStr">
        <is>
          <t>Buy / Invest</t>
        </is>
      </c>
      <c r="F62" s="92" t="n">
        <v>0</v>
      </c>
      <c r="G62" s="92" t="n">
        <v>0</v>
      </c>
      <c r="H62" s="23">
        <f>IF(K62&lt;=0,0,IF(F62&gt;0,F62-K62,G62-K62))</f>
        <v/>
      </c>
      <c r="I62" s="167" t="n">
        <v>1.520171</v>
      </c>
      <c r="J62" s="18" t="n">
        <v>0</v>
      </c>
      <c r="K62" s="168">
        <f>J62*I62</f>
        <v/>
      </c>
      <c r="L62" s="11" t="n"/>
      <c r="M62" s="11" t="n"/>
      <c r="N62" s="5" t="n"/>
    </row>
    <row r="63" ht="15" customHeight="1" s="184">
      <c r="A63" s="96">
        <f>ROW()-2</f>
        <v/>
      </c>
      <c r="B63" s="15" t="n">
        <v>45354</v>
      </c>
      <c r="C63" s="164" t="inlineStr">
        <is>
          <t>Crypto</t>
        </is>
      </c>
      <c r="D63" s="165" t="inlineStr">
        <is>
          <t>Ethereum (ETH)</t>
        </is>
      </c>
      <c r="E63" s="166" t="inlineStr">
        <is>
          <t>Buy / Invest</t>
        </is>
      </c>
      <c r="F63" s="92" t="n">
        <v>950.52</v>
      </c>
      <c r="G63" s="92" t="n">
        <v>0</v>
      </c>
      <c r="H63" s="23">
        <f>IF(K63&lt;=0,0,IF(F63&gt;0,F63-K63,G63-K63))</f>
        <v/>
      </c>
      <c r="I63" s="167" t="n">
        <v>0.0032965</v>
      </c>
      <c r="J63" s="18" t="n">
        <v>288342.13</v>
      </c>
      <c r="K63" s="168">
        <f>J63*I63</f>
        <v/>
      </c>
      <c r="L63" s="11" t="n"/>
      <c r="M63" s="11" t="n"/>
      <c r="N63" s="5" t="n"/>
    </row>
    <row r="64" ht="15" customHeight="1" s="184">
      <c r="A64" s="96">
        <f>ROW()-2</f>
        <v/>
      </c>
      <c r="B64" s="15" t="n">
        <v>45354</v>
      </c>
      <c r="C64" s="164" t="inlineStr">
        <is>
          <t>Crypto</t>
        </is>
      </c>
      <c r="D64" s="165" t="inlineStr">
        <is>
          <t>Solana (SOL)</t>
        </is>
      </c>
      <c r="E64" s="166" t="inlineStr">
        <is>
          <t>Buy / Invest</t>
        </is>
      </c>
      <c r="F64" s="92" t="n">
        <v>562.83</v>
      </c>
      <c r="G64" s="92" t="n">
        <v>0</v>
      </c>
      <c r="H64" s="23">
        <f>IF(K64&lt;=0,0,IF(F64&gt;0,F64-K64,G64-K64))</f>
        <v/>
      </c>
      <c r="I64" s="167" t="n">
        <v>0.05194</v>
      </c>
      <c r="J64" s="18" t="n">
        <v>10836.1</v>
      </c>
      <c r="K64" s="168">
        <f>J64*I64</f>
        <v/>
      </c>
      <c r="L64" s="11" t="n"/>
      <c r="M64" s="11" t="n"/>
      <c r="N64" s="5" t="n"/>
    </row>
    <row r="65" ht="15" customHeight="1" s="184">
      <c r="A65" s="96">
        <f>ROW()-2</f>
        <v/>
      </c>
      <c r="B65" s="15" t="n">
        <v>45354</v>
      </c>
      <c r="C65" s="164" t="inlineStr">
        <is>
          <t>Crypto</t>
        </is>
      </c>
      <c r="D65" s="165" t="inlineStr">
        <is>
          <t>Bitcoin (BTC)</t>
        </is>
      </c>
      <c r="E65" s="166" t="inlineStr">
        <is>
          <t>Buy / Invest</t>
        </is>
      </c>
      <c r="F65" s="92" t="n">
        <v>986.61</v>
      </c>
      <c r="G65" s="92" t="n">
        <v>0</v>
      </c>
      <c r="H65" s="23">
        <f>IF(K65&lt;=0,0,IF(F65&gt;0,F65-K65,G65-K65))</f>
        <v/>
      </c>
      <c r="I65" s="167" t="n">
        <v>0.00018964</v>
      </c>
      <c r="J65" s="18" t="n">
        <v>5202564.63</v>
      </c>
      <c r="K65" s="168">
        <f>J65*I65</f>
        <v/>
      </c>
      <c r="L65" s="11" t="n"/>
      <c r="M65" s="11" t="n"/>
      <c r="N65" s="5" t="n"/>
    </row>
    <row r="66" ht="15" customHeight="1" s="184">
      <c r="A66" s="96">
        <f>ROW()-2</f>
        <v/>
      </c>
      <c r="B66" s="15" t="n">
        <v>45354</v>
      </c>
      <c r="C66" s="164" t="inlineStr">
        <is>
          <t>Crypto</t>
        </is>
      </c>
      <c r="D66" s="165" t="inlineStr">
        <is>
          <t>Bitcoin (BTC)</t>
        </is>
      </c>
      <c r="E66" s="166" t="inlineStr">
        <is>
          <t>Buy / Invest</t>
        </is>
      </c>
      <c r="F66" s="92" t="n">
        <v>0</v>
      </c>
      <c r="G66" s="92" t="n">
        <v>0</v>
      </c>
      <c r="H66" s="23">
        <f>IF(K66&lt;=0,0,IF(F66&gt;0,F66-K66,G66-K66))</f>
        <v/>
      </c>
      <c r="I66" s="167" t="n">
        <v>9.969999999999999e-06</v>
      </c>
      <c r="J66" s="18" t="n">
        <v>0</v>
      </c>
      <c r="K66" s="168">
        <f>J66*I66</f>
        <v/>
      </c>
      <c r="L66" s="11" t="n"/>
      <c r="M66" s="11" t="n"/>
      <c r="N66" s="5" t="n"/>
    </row>
    <row r="67" ht="15" customHeight="1" s="184">
      <c r="A67" s="96">
        <f>ROW()-2</f>
        <v/>
      </c>
      <c r="B67" s="15" t="n">
        <v>45358</v>
      </c>
      <c r="C67" s="164" t="inlineStr">
        <is>
          <t>Shares MF</t>
        </is>
      </c>
      <c r="D67" s="165" t="inlineStr">
        <is>
          <t>SBI Savings Fund Direct Plan Growth</t>
        </is>
      </c>
      <c r="E67" s="166" t="inlineStr">
        <is>
          <t>Buy / Invest</t>
        </is>
      </c>
      <c r="F67" s="92" t="n">
        <v>1000</v>
      </c>
      <c r="G67" s="92" t="n">
        <v>0</v>
      </c>
      <c r="H67" s="23">
        <f>IF(K67&lt;=0,0,IF(F67&gt;0,F67-K67,G67-K67))</f>
        <v/>
      </c>
      <c r="I67" s="167" t="n">
        <v>24.874</v>
      </c>
      <c r="J67" s="18" t="n">
        <v>40.20002</v>
      </c>
      <c r="K67" s="168">
        <f>J67*I67</f>
        <v/>
      </c>
      <c r="L67" s="11" t="n"/>
      <c r="M67" s="11" t="n"/>
      <c r="N67" s="5" t="n"/>
    </row>
    <row r="68" ht="15" customHeight="1" s="184">
      <c r="A68" s="96">
        <f>ROW()-2</f>
        <v/>
      </c>
      <c r="B68" s="15" t="n">
        <v>45365</v>
      </c>
      <c r="C68" s="164" t="inlineStr">
        <is>
          <t>Crypto</t>
        </is>
      </c>
      <c r="D68" s="165" t="inlineStr">
        <is>
          <t>Polygon (MATIC)</t>
        </is>
      </c>
      <c r="E68" s="166" t="inlineStr">
        <is>
          <t>Buy / Invest</t>
        </is>
      </c>
      <c r="F68" s="92" t="n">
        <v>0</v>
      </c>
      <c r="G68" s="92" t="n">
        <v>0</v>
      </c>
      <c r="H68" s="23">
        <f>IF(K68&lt;=0,0,IF(F68&gt;0,F68-K68,G68-K68))</f>
        <v/>
      </c>
      <c r="I68" s="167" t="n">
        <v>0.583769</v>
      </c>
      <c r="J68" s="18" t="n">
        <v>0</v>
      </c>
      <c r="K68" s="168">
        <f>J68*I68</f>
        <v/>
      </c>
      <c r="L68" s="11" t="n"/>
      <c r="M68" s="11" t="n"/>
      <c r="N68" s="5" t="n"/>
    </row>
    <row r="69" ht="15" customHeight="1" s="184">
      <c r="A69" s="96">
        <f>ROW()-2</f>
        <v/>
      </c>
      <c r="B69" s="15" t="n">
        <v>45384</v>
      </c>
      <c r="C69" s="164" t="inlineStr">
        <is>
          <t>Shares MF</t>
        </is>
      </c>
      <c r="D69" s="165" t="inlineStr">
        <is>
          <t>SBI Savings Fund Direct Plan Growth</t>
        </is>
      </c>
      <c r="E69" s="166" t="inlineStr">
        <is>
          <t>Buy / Invest</t>
        </is>
      </c>
      <c r="F69" s="92" t="n">
        <v>1000</v>
      </c>
      <c r="G69" s="92" t="n">
        <v>0</v>
      </c>
      <c r="H69" s="23">
        <f>IF(K69&lt;=0,0,IF(F69&gt;0,F69-K69,G69-K69))</f>
        <v/>
      </c>
      <c r="I69" s="167" t="n">
        <v>24.708</v>
      </c>
      <c r="J69" s="18" t="n">
        <v>40.4699</v>
      </c>
      <c r="K69" s="168">
        <f>J69*I69</f>
        <v/>
      </c>
      <c r="L69" s="11" t="n"/>
      <c r="M69" s="11" t="n"/>
      <c r="N69" s="5" t="n"/>
    </row>
    <row r="70" ht="15" customHeight="1" s="184">
      <c r="A70" s="96">
        <f>ROW()-2</f>
        <v/>
      </c>
      <c r="B70" s="15" t="n">
        <v>45395</v>
      </c>
      <c r="C70" s="164" t="inlineStr">
        <is>
          <t>Crypto</t>
        </is>
      </c>
      <c r="D70" s="165" t="inlineStr">
        <is>
          <t>Bitcoin (BTC)</t>
        </is>
      </c>
      <c r="E70" s="166" t="inlineStr">
        <is>
          <t>Buy / Invest</t>
        </is>
      </c>
      <c r="F70" s="92" t="n">
        <v>91.81</v>
      </c>
      <c r="G70" s="92" t="n">
        <v>0</v>
      </c>
      <c r="H70" s="23">
        <f>IF(K70&lt;=0,0,IF(F70&gt;0,F70-K70,G70-K70))</f>
        <v/>
      </c>
      <c r="I70" s="167" t="n">
        <v>1.422e-05</v>
      </c>
      <c r="J70" s="18" t="n">
        <v>6456185.19</v>
      </c>
      <c r="K70" s="168">
        <f>J70*I70</f>
        <v/>
      </c>
      <c r="L70" s="11" t="n"/>
      <c r="M70" s="11" t="n"/>
      <c r="N70" s="5" t="n"/>
    </row>
    <row r="71" ht="15" customHeight="1" s="184">
      <c r="A71" s="96">
        <f>ROW()-2</f>
        <v/>
      </c>
      <c r="B71" s="15" t="n">
        <v>45395</v>
      </c>
      <c r="C71" s="164" t="inlineStr">
        <is>
          <t>Crypto</t>
        </is>
      </c>
      <c r="D71" s="165" t="inlineStr">
        <is>
          <t>Ethereum (ETH)</t>
        </is>
      </c>
      <c r="E71" s="166" t="inlineStr">
        <is>
          <t>Buy / Invest</t>
        </is>
      </c>
      <c r="F71" s="92" t="n">
        <v>988.16</v>
      </c>
      <c r="G71" s="92" t="n">
        <v>0</v>
      </c>
      <c r="H71" s="23">
        <f>IF(K71&lt;=0,0,IF(F71&gt;0,F71-K71,G71-K71))</f>
        <v/>
      </c>
      <c r="I71" s="167" t="n">
        <v>0.00317592</v>
      </c>
      <c r="J71" s="18" t="n">
        <v>311142.7</v>
      </c>
      <c r="K71" s="168">
        <f>J71*I71</f>
        <v/>
      </c>
      <c r="L71" s="11" t="n"/>
      <c r="M71" s="11" t="n"/>
      <c r="N71" s="5" t="n"/>
    </row>
    <row r="72" ht="15" customHeight="1" s="184">
      <c r="A72" s="96">
        <f>ROW()-2</f>
        <v/>
      </c>
      <c r="B72" s="15" t="n">
        <v>45396</v>
      </c>
      <c r="C72" s="164" t="inlineStr">
        <is>
          <t>Crypto</t>
        </is>
      </c>
      <c r="D72" s="165" t="n"/>
      <c r="E72" s="166" t="inlineStr">
        <is>
          <t>Buy / Invest</t>
        </is>
      </c>
      <c r="F72" s="92" t="n">
        <v>252</v>
      </c>
      <c r="G72" s="92" t="n">
        <v>0</v>
      </c>
      <c r="H72" s="23">
        <f>IF(K72&lt;=0,0,IF(F72&gt;0,F72-K72,G72-K72))</f>
        <v/>
      </c>
      <c r="I72" s="167" t="n">
        <v>0</v>
      </c>
      <c r="J72" s="18" t="n">
        <v>0</v>
      </c>
      <c r="K72" s="168">
        <f>J72*I72</f>
        <v/>
      </c>
      <c r="L72" s="11" t="n"/>
      <c r="M72" s="11" t="n"/>
      <c r="N72" s="5" t="n"/>
    </row>
    <row r="73" ht="15" customHeight="1" s="184">
      <c r="A73" s="96">
        <f>ROW()-2</f>
        <v/>
      </c>
      <c r="B73" s="15" t="n">
        <v>45398</v>
      </c>
      <c r="C73" s="164" t="inlineStr">
        <is>
          <t>Crypto</t>
        </is>
      </c>
      <c r="D73" s="165" t="inlineStr">
        <is>
          <t>Polygon (MATIC)</t>
        </is>
      </c>
      <c r="E73" s="166" t="inlineStr">
        <is>
          <t>Buy / Invest</t>
        </is>
      </c>
      <c r="F73" s="92" t="n">
        <v>0</v>
      </c>
      <c r="G73" s="92" t="n">
        <v>0</v>
      </c>
      <c r="H73" s="23">
        <f>IF(K73&lt;=0,0,IF(F73&gt;0,F73-K73,G73-K73))</f>
        <v/>
      </c>
      <c r="I73" s="167" t="n">
        <v>46.421</v>
      </c>
      <c r="J73" s="18" t="n">
        <v>0</v>
      </c>
      <c r="K73" s="168">
        <f>J73*I73</f>
        <v/>
      </c>
      <c r="L73" s="11" t="n"/>
      <c r="M73" s="11" t="n"/>
      <c r="N73" s="5" t="n"/>
    </row>
    <row r="74" ht="15" customHeight="1" s="184">
      <c r="A74" s="96">
        <f>ROW()-2</f>
        <v/>
      </c>
      <c r="B74" s="15" t="n">
        <v>45398</v>
      </c>
      <c r="C74" s="164" t="inlineStr">
        <is>
          <t>Crypto</t>
        </is>
      </c>
      <c r="D74" s="165" t="inlineStr">
        <is>
          <t>Bitcoin (BTC)</t>
        </is>
      </c>
      <c r="E74" s="166" t="inlineStr">
        <is>
          <t>Buy / Invest</t>
        </is>
      </c>
      <c r="F74" s="92" t="n">
        <v>0</v>
      </c>
      <c r="G74" s="92" t="n">
        <v>0</v>
      </c>
      <c r="H74" s="23">
        <f>IF(K74&lt;=0,0,IF(F74&gt;0,F74-K74,G74-K74))</f>
        <v/>
      </c>
      <c r="I74" s="167" t="n">
        <v>0.00012277</v>
      </c>
      <c r="J74" s="18" t="n">
        <v>0</v>
      </c>
      <c r="K74" s="168">
        <f>J74*I74</f>
        <v/>
      </c>
      <c r="L74" s="11" t="n"/>
      <c r="M74" s="11" t="n"/>
      <c r="N74" s="5" t="n"/>
    </row>
    <row r="75" ht="15" customHeight="1" s="184">
      <c r="A75" s="96">
        <f>ROW()-2</f>
        <v/>
      </c>
      <c r="B75" s="15" t="n">
        <v>45399</v>
      </c>
      <c r="C75" s="164" t="inlineStr">
        <is>
          <t>Crypto</t>
        </is>
      </c>
      <c r="D75" s="165" t="inlineStr">
        <is>
          <t>Polygon (MATIC)</t>
        </is>
      </c>
      <c r="E75" s="166" t="inlineStr">
        <is>
          <t>Sell / Redeem</t>
        </is>
      </c>
      <c r="F75" s="92" t="n">
        <v>0</v>
      </c>
      <c r="G75" s="92" t="n">
        <v>0</v>
      </c>
      <c r="H75" s="23">
        <f>IF(K75&lt;=0,0,IF(F75&gt;0,F75-K75,G75-K75))</f>
        <v/>
      </c>
      <c r="I75" s="167" t="n">
        <v>-14.207</v>
      </c>
      <c r="J75" s="18" t="n">
        <v>0</v>
      </c>
      <c r="K75" s="168">
        <f>J75*I75</f>
        <v/>
      </c>
      <c r="L75" s="11" t="n"/>
      <c r="M75" s="11" t="n"/>
      <c r="N75" s="5" t="n"/>
    </row>
    <row r="76" ht="15" customHeight="1" s="184">
      <c r="A76" s="96">
        <f>ROW()-2</f>
        <v/>
      </c>
      <c r="B76" s="15" t="n">
        <v>45417</v>
      </c>
      <c r="C76" s="164" t="inlineStr">
        <is>
          <t>Shares MF</t>
        </is>
      </c>
      <c r="D76" s="165" t="inlineStr">
        <is>
          <t>SBI Savings Fund Direct Plan Growth</t>
        </is>
      </c>
      <c r="E76" s="166" t="inlineStr">
        <is>
          <t>Buy / Invest</t>
        </is>
      </c>
      <c r="F76" s="92" t="n">
        <v>1000</v>
      </c>
      <c r="G76" s="92" t="n">
        <v>0</v>
      </c>
      <c r="H76" s="23">
        <f>IF(K76&lt;=0,0,IF(F76&gt;0,F76-K76,G76-K76))</f>
        <v/>
      </c>
      <c r="I76" s="167" t="n">
        <v>24.541</v>
      </c>
      <c r="J76" s="18" t="n">
        <v>40.72</v>
      </c>
      <c r="K76" s="168">
        <f>J76*I76</f>
        <v/>
      </c>
      <c r="L76" s="11" t="n"/>
      <c r="M76" s="11" t="n"/>
      <c r="N76" s="5" t="n"/>
    </row>
    <row r="77" ht="15" customHeight="1" s="184">
      <c r="A77" s="96">
        <f>ROW()-2</f>
        <v/>
      </c>
      <c r="B77" s="15" t="n">
        <v>45420</v>
      </c>
      <c r="C77" s="164" t="inlineStr">
        <is>
          <t>Crypto</t>
        </is>
      </c>
      <c r="D77" s="165" t="inlineStr">
        <is>
          <t>Solana (SOL)</t>
        </is>
      </c>
      <c r="E77" s="166" t="inlineStr">
        <is>
          <t>Buy / Invest</t>
        </is>
      </c>
      <c r="F77" s="92" t="n">
        <v>0</v>
      </c>
      <c r="G77" s="92" t="n">
        <v>0</v>
      </c>
      <c r="H77" s="23">
        <f>IF(K77&lt;=0,0,IF(F77&gt;0,F77-K77,G77-K77))</f>
        <v/>
      </c>
      <c r="I77" s="167" t="n">
        <v>0.0556774</v>
      </c>
      <c r="J77" s="18" t="n">
        <v>0</v>
      </c>
      <c r="K77" s="168">
        <f>J77*I77</f>
        <v/>
      </c>
      <c r="L77" s="11" t="n"/>
      <c r="M77" s="11" t="n"/>
      <c r="N77" s="5" t="n"/>
    </row>
    <row r="78" ht="15" customHeight="1" s="184">
      <c r="A78" s="96">
        <f>ROW()-2</f>
        <v/>
      </c>
      <c r="B78" s="15" t="n">
        <v>45430</v>
      </c>
      <c r="C78" s="164" t="inlineStr">
        <is>
          <t>Crypto</t>
        </is>
      </c>
      <c r="D78" s="165" t="inlineStr">
        <is>
          <t>Solana (SOL)</t>
        </is>
      </c>
      <c r="E78" s="166" t="inlineStr">
        <is>
          <t>Buy / Invest</t>
        </is>
      </c>
      <c r="F78" s="92" t="n">
        <v>0</v>
      </c>
      <c r="G78" s="92" t="n">
        <v>0</v>
      </c>
      <c r="H78" s="23">
        <f>IF(K78&lt;=0,0,IF(F78&gt;0,F78-K78,G78-K78))</f>
        <v/>
      </c>
      <c r="I78" s="167" t="n">
        <v>0.06890300000000001</v>
      </c>
      <c r="J78" s="18" t="n">
        <v>0</v>
      </c>
      <c r="K78" s="168">
        <f>J78*I78</f>
        <v/>
      </c>
      <c r="L78" s="11" t="n"/>
      <c r="M78" s="11" t="n"/>
      <c r="N78" s="5" t="n"/>
    </row>
    <row r="79" ht="15" customHeight="1" s="184">
      <c r="A79" s="96">
        <f>ROW()-2</f>
        <v/>
      </c>
      <c r="B79" s="15" t="n">
        <v>45435</v>
      </c>
      <c r="C79" s="164" t="inlineStr">
        <is>
          <t>Crypto</t>
        </is>
      </c>
      <c r="D79" s="165" t="inlineStr">
        <is>
          <t>Bitcoin (BTC)</t>
        </is>
      </c>
      <c r="E79" s="166" t="inlineStr">
        <is>
          <t>Buy / Invest</t>
        </is>
      </c>
      <c r="F79" s="92" t="n">
        <v>0</v>
      </c>
      <c r="G79" s="92" t="n">
        <v>0</v>
      </c>
      <c r="H79" s="23">
        <f>IF(K79&lt;=0,0,IF(F79&gt;0,F79-K79,G79-K79))</f>
        <v/>
      </c>
      <c r="I79" s="167" t="n">
        <v>0.00015586</v>
      </c>
      <c r="J79" s="18" t="n">
        <v>0</v>
      </c>
      <c r="K79" s="168">
        <f>J79*I79</f>
        <v/>
      </c>
      <c r="L79" s="11" t="n"/>
      <c r="M79" s="11" t="n"/>
      <c r="N79" s="5" t="n"/>
    </row>
    <row r="80" ht="15" customHeight="1" s="184">
      <c r="A80" s="96">
        <f>ROW()-2</f>
        <v/>
      </c>
      <c r="B80" s="15" t="n">
        <v>45448</v>
      </c>
      <c r="C80" s="164" t="inlineStr">
        <is>
          <t>Shares MF</t>
        </is>
      </c>
      <c r="D80" s="165" t="inlineStr">
        <is>
          <t>SBI Savings Fund Direct Plan Growth</t>
        </is>
      </c>
      <c r="E80" s="166" t="inlineStr">
        <is>
          <t>Buy / Invest</t>
        </is>
      </c>
      <c r="F80" s="92" t="n">
        <v>4273</v>
      </c>
      <c r="G80" s="92" t="n">
        <v>0</v>
      </c>
      <c r="H80" s="23">
        <f>IF(K80&lt;=0,0,IF(F80&gt;0,F80-K80,G80-K80))</f>
        <v/>
      </c>
      <c r="I80" s="167" t="n">
        <v>104.274</v>
      </c>
      <c r="J80" s="18" t="n">
        <v>40.9767</v>
      </c>
      <c r="K80" s="168">
        <f>J80*I80</f>
        <v/>
      </c>
      <c r="L80" s="11" t="n"/>
      <c r="M80" s="11" t="n"/>
      <c r="N80" s="5" t="n"/>
    </row>
    <row r="81" ht="15" customHeight="1" s="184">
      <c r="A81" s="96">
        <f>ROW()-2</f>
        <v/>
      </c>
      <c r="B81" s="15" t="n">
        <v>45471</v>
      </c>
      <c r="C81" s="164" t="inlineStr">
        <is>
          <t>Crypto</t>
        </is>
      </c>
      <c r="D81" s="165" t="inlineStr">
        <is>
          <t>Cardano (ADA)</t>
        </is>
      </c>
      <c r="E81" s="166" t="inlineStr">
        <is>
          <t>Buy / Invest</t>
        </is>
      </c>
      <c r="F81" s="92" t="n">
        <v>0</v>
      </c>
      <c r="G81" s="92" t="n">
        <v>0</v>
      </c>
      <c r="H81" s="23">
        <f>IF(K81&lt;=0,0,IF(F81&gt;0,F81-K81,G81-K81))</f>
        <v/>
      </c>
      <c r="I81" s="167" t="n">
        <v>2.10369</v>
      </c>
      <c r="J81" s="18" t="n">
        <v>0</v>
      </c>
      <c r="K81" s="168">
        <f>J81*I81</f>
        <v/>
      </c>
      <c r="L81" s="11" t="n"/>
      <c r="M81" s="11" t="n"/>
      <c r="N81" s="5" t="n"/>
    </row>
    <row r="82" ht="15" customHeight="1" s="184">
      <c r="A82" s="96">
        <f>ROW()-2</f>
        <v/>
      </c>
      <c r="B82" s="15" t="n">
        <v>45471</v>
      </c>
      <c r="C82" s="164" t="inlineStr">
        <is>
          <t>Crypto</t>
        </is>
      </c>
      <c r="D82" s="165" t="inlineStr">
        <is>
          <t>Polygon (MATIC)</t>
        </is>
      </c>
      <c r="E82" s="166" t="inlineStr">
        <is>
          <t>Buy / Invest</t>
        </is>
      </c>
      <c r="F82" s="92" t="n">
        <v>0</v>
      </c>
      <c r="G82" s="92" t="n">
        <v>0</v>
      </c>
      <c r="H82" s="23">
        <f>IF(K82&lt;=0,0,IF(F82&gt;0,F82-K82,G82-K82))</f>
        <v/>
      </c>
      <c r="I82" s="167" t="n">
        <v>1.804</v>
      </c>
      <c r="J82" s="18" t="n">
        <v>0</v>
      </c>
      <c r="K82" s="168">
        <f>J82*I82</f>
        <v/>
      </c>
      <c r="L82" s="11" t="n"/>
      <c r="M82" s="11" t="n"/>
      <c r="N82" s="5" t="n"/>
    </row>
    <row r="83" ht="15" customHeight="1" s="184">
      <c r="A83" s="96">
        <f>ROW()-2</f>
        <v/>
      </c>
      <c r="B83" s="15" t="n">
        <v>45477</v>
      </c>
      <c r="C83" s="164" t="inlineStr">
        <is>
          <t>Crypto</t>
        </is>
      </c>
      <c r="D83" s="165" t="inlineStr">
        <is>
          <t>Ethereum (ETH)</t>
        </is>
      </c>
      <c r="E83" s="166" t="inlineStr">
        <is>
          <t>Buy / Invest</t>
        </is>
      </c>
      <c r="F83" s="92" t="n">
        <v>0</v>
      </c>
      <c r="G83" s="92" t="n">
        <v>0</v>
      </c>
      <c r="H83" s="23">
        <f>IF(K83&lt;=0,0,IF(F83&gt;0,F83-K83,G83-K83))</f>
        <v/>
      </c>
      <c r="I83" s="167" t="n">
        <v>0.010512</v>
      </c>
      <c r="J83" s="18" t="n">
        <v>0</v>
      </c>
      <c r="K83" s="168">
        <f>J83*I83</f>
        <v/>
      </c>
      <c r="L83" s="11" t="n"/>
      <c r="M83" s="11" t="n"/>
      <c r="N83" s="5" t="n"/>
    </row>
    <row r="84" ht="15" customHeight="1" s="184">
      <c r="A84" s="96">
        <f>ROW()-2</f>
        <v/>
      </c>
      <c r="B84" s="15" t="n">
        <v>45477</v>
      </c>
      <c r="C84" s="164" t="inlineStr">
        <is>
          <t>Crypto</t>
        </is>
      </c>
      <c r="D84" s="165" t="inlineStr">
        <is>
          <t>Polygon (MATIC)</t>
        </is>
      </c>
      <c r="E84" s="166" t="inlineStr">
        <is>
          <t>Buy / Invest</t>
        </is>
      </c>
      <c r="F84" s="92" t="n">
        <v>0</v>
      </c>
      <c r="G84" s="92" t="n">
        <v>0</v>
      </c>
      <c r="H84" s="23">
        <f>IF(K84&lt;=0,0,IF(F84&gt;0,F84-K84,G84-K84))</f>
        <v/>
      </c>
      <c r="I84" s="167" t="n">
        <v>32.216</v>
      </c>
      <c r="J84" s="18" t="n">
        <v>0</v>
      </c>
      <c r="K84" s="168">
        <f>J84*I84</f>
        <v/>
      </c>
      <c r="L84" s="11" t="n"/>
      <c r="M84" s="11" t="n"/>
      <c r="N84" s="5" t="n"/>
    </row>
    <row r="85" ht="15" customHeight="1" s="184">
      <c r="A85" s="96">
        <f>ROW()-2</f>
        <v/>
      </c>
      <c r="B85" s="15" t="n">
        <v>45477</v>
      </c>
      <c r="C85" s="164" t="inlineStr">
        <is>
          <t>Crypto</t>
        </is>
      </c>
      <c r="D85" s="165" t="inlineStr">
        <is>
          <t>Solana (SOL)</t>
        </is>
      </c>
      <c r="E85" s="166" t="inlineStr">
        <is>
          <t>Buy / Invest</t>
        </is>
      </c>
      <c r="F85" s="92" t="n">
        <v>0</v>
      </c>
      <c r="G85" s="92" t="n">
        <v>0</v>
      </c>
      <c r="H85" s="23">
        <f>IF(K85&lt;=0,0,IF(F85&gt;0,F85-K85,G85-K85))</f>
        <v/>
      </c>
      <c r="I85" s="167" t="n">
        <v>0.100201</v>
      </c>
      <c r="J85" s="18" t="n">
        <v>0</v>
      </c>
      <c r="K85" s="168">
        <f>J85*I85</f>
        <v/>
      </c>
      <c r="L85" s="11" t="n"/>
      <c r="M85" s="11" t="n"/>
      <c r="N85" s="5" t="n"/>
    </row>
    <row r="86" ht="15" customHeight="1" s="184">
      <c r="A86" s="96">
        <f>ROW()-2</f>
        <v/>
      </c>
      <c r="B86" s="15" t="n">
        <v>45479</v>
      </c>
      <c r="C86" s="164" t="inlineStr">
        <is>
          <t>Shares MF</t>
        </is>
      </c>
      <c r="D86" s="165" t="inlineStr">
        <is>
          <t>SBI Savings Fund Direct Plan Growth</t>
        </is>
      </c>
      <c r="E86" s="166" t="inlineStr">
        <is>
          <t>Buy / Invest</t>
        </is>
      </c>
      <c r="F86" s="92" t="n">
        <v>1000</v>
      </c>
      <c r="G86" s="92" t="n">
        <v>0</v>
      </c>
      <c r="H86" s="23">
        <f>IF(K86&lt;=0,0,IF(F86&gt;0,F86-K86,G86-K86))</f>
        <v/>
      </c>
      <c r="I86" s="167" t="n">
        <v>24.265</v>
      </c>
      <c r="J86" s="18" t="n">
        <v>41.2096</v>
      </c>
      <c r="K86" s="168">
        <f>J86*I86</f>
        <v/>
      </c>
      <c r="L86" s="11" t="n"/>
      <c r="M86" s="11" t="n"/>
      <c r="N86" s="5" t="n"/>
    </row>
    <row r="87" ht="15" customHeight="1" s="184">
      <c r="A87" s="96" t="n"/>
      <c r="B87" s="15" t="n"/>
      <c r="C87" s="164" t="n"/>
      <c r="D87" s="165" t="n"/>
      <c r="E87" s="166" t="n"/>
      <c r="F87" s="92" t="n"/>
      <c r="G87" s="92" t="n"/>
      <c r="H87" s="18" t="n"/>
      <c r="I87" s="167" t="n"/>
      <c r="J87" s="18" t="n"/>
      <c r="K87" s="168" t="n"/>
      <c r="L87" s="11" t="n"/>
      <c r="M87" s="11" t="n"/>
      <c r="N87" s="5" t="n"/>
    </row>
    <row r="88" ht="15" customHeight="1" s="184">
      <c r="A88" s="96" t="n"/>
      <c r="B88" s="15" t="n"/>
      <c r="C88" s="164" t="n"/>
      <c r="D88" s="165" t="n"/>
      <c r="E88" s="166" t="n"/>
      <c r="F88" s="92" t="n"/>
      <c r="G88" s="92" t="n"/>
      <c r="H88" s="18" t="n"/>
      <c r="I88" s="167" t="n"/>
      <c r="J88" s="18" t="n"/>
      <c r="K88" s="168" t="n"/>
      <c r="L88" s="11" t="n"/>
      <c r="M88" s="11" t="n"/>
      <c r="N88" s="5" t="n"/>
    </row>
    <row r="89" ht="15" customHeight="1" s="184">
      <c r="A89" s="96" t="n"/>
      <c r="B89" s="15" t="n"/>
      <c r="C89" s="164" t="n"/>
      <c r="D89" s="165" t="n"/>
      <c r="E89" s="166" t="n"/>
      <c r="F89" s="92" t="n"/>
      <c r="G89" s="92" t="n"/>
      <c r="H89" s="18" t="n"/>
      <c r="I89" s="167" t="n"/>
      <c r="J89" s="18" t="n"/>
      <c r="K89" s="168" t="n"/>
      <c r="L89" s="11" t="n"/>
      <c r="M89" s="11" t="n"/>
      <c r="N89" s="5" t="n"/>
    </row>
    <row r="90" ht="15" customHeight="1" s="184">
      <c r="A90" s="96" t="n"/>
      <c r="B90" s="15" t="n"/>
      <c r="C90" s="164" t="n"/>
      <c r="D90" s="165" t="n"/>
      <c r="E90" s="166" t="n"/>
      <c r="F90" s="92" t="n"/>
      <c r="G90" s="92" t="n"/>
      <c r="H90" s="18" t="n"/>
      <c r="I90" s="167" t="n"/>
      <c r="J90" s="18" t="n"/>
      <c r="K90" s="168" t="n"/>
      <c r="L90" s="11" t="n"/>
      <c r="M90" s="11" t="n"/>
      <c r="N90" s="5" t="n"/>
    </row>
    <row r="91" ht="15" customHeight="1" s="184">
      <c r="A91" s="96" t="n"/>
      <c r="B91" s="15" t="n"/>
      <c r="C91" s="164" t="n"/>
      <c r="D91" s="165" t="n"/>
      <c r="E91" s="166" t="n"/>
      <c r="F91" s="92" t="n"/>
      <c r="G91" s="92" t="n"/>
      <c r="H91" s="18" t="n"/>
      <c r="I91" s="167" t="n"/>
      <c r="J91" s="18" t="n"/>
      <c r="K91" s="168" t="n"/>
      <c r="L91" s="11" t="n"/>
      <c r="M91" s="11" t="n"/>
      <c r="N91" s="5" t="n"/>
    </row>
    <row r="92" ht="15" customHeight="1" s="184">
      <c r="A92" s="96" t="n"/>
      <c r="B92" s="15" t="n"/>
      <c r="C92" s="164" t="n"/>
      <c r="D92" s="165" t="n"/>
      <c r="E92" s="166" t="n"/>
      <c r="F92" s="92" t="n"/>
      <c r="G92" s="92" t="n"/>
      <c r="H92" s="18" t="n"/>
      <c r="I92" s="167" t="n"/>
      <c r="J92" s="18" t="n"/>
      <c r="K92" s="168" t="n"/>
      <c r="L92" s="11" t="n"/>
      <c r="M92" s="11" t="n"/>
      <c r="N92" s="5" t="n"/>
    </row>
    <row r="93" ht="15" customHeight="1" s="184">
      <c r="A93" s="96" t="n"/>
      <c r="B93" s="15" t="n"/>
      <c r="C93" s="164" t="n"/>
      <c r="D93" s="165" t="n"/>
      <c r="E93" s="166" t="n"/>
      <c r="F93" s="92" t="n"/>
      <c r="G93" s="92" t="n"/>
      <c r="H93" s="18" t="n"/>
      <c r="I93" s="167" t="n"/>
      <c r="J93" s="18" t="n"/>
      <c r="K93" s="168" t="n"/>
      <c r="L93" s="11" t="n"/>
      <c r="M93" s="11" t="n"/>
      <c r="N93" s="5" t="n"/>
    </row>
    <row r="94" ht="15" customHeight="1" s="184">
      <c r="A94" s="96" t="n"/>
      <c r="B94" s="15" t="n"/>
      <c r="C94" s="164" t="n"/>
      <c r="D94" s="165" t="n"/>
      <c r="E94" s="166" t="n"/>
      <c r="F94" s="92" t="n"/>
      <c r="G94" s="92" t="n"/>
      <c r="H94" s="18" t="n"/>
      <c r="I94" s="167" t="n"/>
      <c r="J94" s="18" t="n"/>
      <c r="K94" s="168" t="n"/>
      <c r="L94" s="11" t="n"/>
      <c r="M94" s="11" t="n"/>
      <c r="N94" s="5" t="n"/>
    </row>
    <row r="95" ht="15" customHeight="1" s="184">
      <c r="A95" s="96" t="n"/>
      <c r="B95" s="15" t="n"/>
      <c r="C95" s="164" t="n"/>
      <c r="D95" s="165" t="n"/>
      <c r="E95" s="166" t="n"/>
      <c r="F95" s="92" t="n"/>
      <c r="G95" s="92" t="n"/>
      <c r="H95" s="18" t="n"/>
      <c r="I95" s="167" t="n"/>
      <c r="J95" s="18" t="n"/>
      <c r="K95" s="168" t="n"/>
      <c r="L95" s="11" t="n"/>
      <c r="M95" s="11" t="n"/>
      <c r="N95" s="5" t="n"/>
    </row>
    <row r="96" ht="15" customHeight="1" s="184">
      <c r="A96" s="96" t="n"/>
      <c r="B96" s="15" t="n"/>
      <c r="C96" s="164" t="n"/>
      <c r="D96" s="165" t="n"/>
      <c r="E96" s="166" t="n"/>
      <c r="F96" s="92" t="n"/>
      <c r="G96" s="92" t="n"/>
      <c r="H96" s="18" t="n"/>
      <c r="I96" s="167" t="n"/>
      <c r="J96" s="18" t="n"/>
      <c r="K96" s="168" t="n"/>
      <c r="L96" s="11" t="n"/>
      <c r="M96" s="11" t="n"/>
      <c r="N96" s="5" t="n"/>
    </row>
    <row r="97" ht="15" customHeight="1" s="184">
      <c r="A97" s="96" t="n"/>
      <c r="B97" s="15" t="n"/>
      <c r="C97" s="164" t="n"/>
      <c r="D97" s="165" t="n"/>
      <c r="E97" s="166" t="n"/>
      <c r="F97" s="92" t="n"/>
      <c r="G97" s="92" t="n"/>
      <c r="H97" s="18" t="n"/>
      <c r="I97" s="167" t="n"/>
      <c r="J97" s="18" t="n"/>
      <c r="K97" s="168" t="n"/>
      <c r="L97" s="11" t="n"/>
      <c r="M97" s="11" t="n"/>
      <c r="N97" s="5" t="n"/>
    </row>
    <row r="98" ht="15" customHeight="1" s="184">
      <c r="A98" s="96" t="n"/>
      <c r="B98" s="15" t="n"/>
      <c r="C98" s="164" t="n"/>
      <c r="D98" s="165" t="n"/>
      <c r="E98" s="166" t="n"/>
      <c r="F98" s="92" t="n"/>
      <c r="G98" s="92" t="n"/>
      <c r="H98" s="18" t="n"/>
      <c r="I98" s="167" t="n"/>
      <c r="J98" s="18" t="n"/>
      <c r="K98" s="168" t="n"/>
      <c r="L98" s="11" t="n"/>
      <c r="M98" s="11" t="n"/>
      <c r="N98" s="5" t="n"/>
    </row>
    <row r="99" ht="15" customHeight="1" s="184">
      <c r="A99" s="96" t="n"/>
      <c r="B99" s="15" t="n"/>
      <c r="C99" s="164" t="n"/>
      <c r="D99" s="165" t="n"/>
      <c r="E99" s="166" t="n"/>
      <c r="F99" s="92" t="n"/>
      <c r="G99" s="92" t="n"/>
      <c r="H99" s="18" t="n"/>
      <c r="I99" s="167" t="n"/>
      <c r="J99" s="18" t="n"/>
      <c r="K99" s="168" t="n"/>
      <c r="L99" s="11" t="n"/>
      <c r="M99" s="11" t="n"/>
      <c r="N99" s="5" t="n"/>
    </row>
    <row r="100" ht="15" customHeight="1" s="184">
      <c r="A100" s="96" t="n"/>
      <c r="B100" s="15" t="n"/>
      <c r="C100" s="164" t="n"/>
      <c r="D100" s="165" t="n"/>
      <c r="E100" s="166" t="n"/>
      <c r="F100" s="92" t="n"/>
      <c r="G100" s="92" t="n"/>
      <c r="H100" s="18" t="n"/>
      <c r="I100" s="167" t="n"/>
      <c r="J100" s="18" t="n"/>
      <c r="K100" s="168" t="n"/>
      <c r="L100" s="11" t="n"/>
      <c r="M100" s="11" t="n"/>
      <c r="N100" s="5" t="n"/>
    </row>
    <row r="101" ht="15" customHeight="1" s="184">
      <c r="A101" s="96" t="n"/>
      <c r="B101" s="15" t="n"/>
      <c r="C101" s="164" t="n"/>
      <c r="D101" s="165" t="n"/>
      <c r="E101" s="166" t="n"/>
      <c r="F101" s="92" t="n"/>
      <c r="G101" s="92" t="n"/>
      <c r="H101" s="18" t="n"/>
      <c r="I101" s="167" t="n"/>
      <c r="J101" s="18" t="n"/>
      <c r="K101" s="168" t="n"/>
      <c r="L101" s="11" t="n"/>
      <c r="M101" s="11" t="n"/>
      <c r="N101" s="5" t="n"/>
    </row>
    <row r="102" ht="15" customHeight="1" s="184">
      <c r="A102" s="96" t="n"/>
      <c r="B102" s="15" t="n"/>
      <c r="C102" s="164" t="n"/>
      <c r="D102" s="165" t="n"/>
      <c r="E102" s="166" t="n"/>
      <c r="F102" s="92" t="n"/>
      <c r="G102" s="92" t="n"/>
      <c r="H102" s="18" t="n"/>
      <c r="I102" s="167" t="n"/>
      <c r="J102" s="18" t="n"/>
      <c r="K102" s="168" t="n"/>
      <c r="L102" s="11" t="n"/>
      <c r="M102" s="11" t="n"/>
      <c r="N102" s="5" t="n"/>
    </row>
    <row r="103" ht="15" customHeight="1" s="184">
      <c r="A103" s="96" t="n"/>
      <c r="B103" s="15" t="n"/>
      <c r="C103" s="164" t="n"/>
      <c r="D103" s="165" t="n"/>
      <c r="E103" s="166" t="n"/>
      <c r="F103" s="92" t="n"/>
      <c r="G103" s="92" t="n"/>
      <c r="H103" s="18" t="n"/>
      <c r="I103" s="167" t="n"/>
      <c r="J103" s="18" t="n"/>
      <c r="K103" s="168" t="n"/>
      <c r="L103" s="11" t="n"/>
      <c r="M103" s="11" t="n"/>
      <c r="N103" s="5" t="n"/>
    </row>
    <row r="104" ht="15" customHeight="1" s="184">
      <c r="A104" s="96" t="n"/>
      <c r="B104" s="15" t="n"/>
      <c r="C104" s="164" t="n"/>
      <c r="D104" s="165" t="n"/>
      <c r="E104" s="166" t="n"/>
      <c r="F104" s="92" t="n"/>
      <c r="G104" s="92" t="n"/>
      <c r="H104" s="18" t="n"/>
      <c r="I104" s="167" t="n"/>
      <c r="J104" s="18" t="n"/>
      <c r="K104" s="168" t="n"/>
      <c r="L104" s="11" t="n"/>
      <c r="M104" s="11" t="n"/>
      <c r="N104" s="5" t="n"/>
    </row>
    <row r="105" ht="15" customHeight="1" s="184">
      <c r="A105" s="96" t="n"/>
      <c r="B105" s="15" t="n"/>
      <c r="C105" s="164" t="n"/>
      <c r="D105" s="165" t="n"/>
      <c r="E105" s="166" t="n"/>
      <c r="F105" s="92" t="n"/>
      <c r="G105" s="92" t="n"/>
      <c r="H105" s="18" t="n"/>
      <c r="I105" s="167" t="n"/>
      <c r="J105" s="18" t="n"/>
      <c r="K105" s="168" t="n"/>
      <c r="L105" s="11" t="n"/>
      <c r="M105" s="11" t="n"/>
      <c r="N105" s="5" t="n"/>
    </row>
    <row r="106" ht="15" customHeight="1" s="184">
      <c r="A106" s="96" t="n"/>
      <c r="B106" s="15" t="n"/>
      <c r="C106" s="164" t="n"/>
      <c r="D106" s="165" t="n"/>
      <c r="E106" s="166" t="n"/>
      <c r="F106" s="92" t="n"/>
      <c r="G106" s="92" t="n"/>
      <c r="H106" s="18" t="n"/>
      <c r="I106" s="167" t="n"/>
      <c r="J106" s="18" t="n"/>
      <c r="K106" s="168" t="n"/>
      <c r="L106" s="11" t="n"/>
      <c r="M106" s="11" t="n"/>
      <c r="N106" s="5" t="n"/>
    </row>
    <row r="107" ht="15" customHeight="1" s="184">
      <c r="A107" s="96" t="n"/>
      <c r="B107" s="15" t="n"/>
      <c r="C107" s="164" t="n"/>
      <c r="D107" s="165" t="n"/>
      <c r="E107" s="166" t="n"/>
      <c r="F107" s="92" t="n"/>
      <c r="G107" s="92" t="n"/>
      <c r="H107" s="18" t="n"/>
      <c r="I107" s="167" t="n"/>
      <c r="J107" s="18" t="n"/>
      <c r="K107" s="168" t="n"/>
      <c r="L107" s="11" t="n"/>
      <c r="M107" s="11" t="n"/>
      <c r="N107" s="5" t="n"/>
    </row>
    <row r="108" ht="15" customHeight="1" s="184">
      <c r="A108" s="96" t="n"/>
      <c r="B108" s="15" t="n"/>
      <c r="C108" s="164" t="n"/>
      <c r="D108" s="165" t="n"/>
      <c r="E108" s="166" t="n"/>
      <c r="F108" s="92" t="n"/>
      <c r="G108" s="92" t="n"/>
      <c r="H108" s="18" t="n"/>
      <c r="I108" s="167" t="n"/>
      <c r="J108" s="18" t="n"/>
      <c r="K108" s="168" t="n"/>
      <c r="L108" s="11" t="n"/>
      <c r="M108" s="11" t="n"/>
      <c r="N108" s="5" t="n"/>
    </row>
    <row r="109" ht="15" customHeight="1" s="184">
      <c r="A109" s="96" t="n"/>
      <c r="B109" s="15" t="n"/>
      <c r="C109" s="164" t="n"/>
      <c r="D109" s="165" t="n"/>
      <c r="E109" s="166" t="n"/>
      <c r="F109" s="92" t="n"/>
      <c r="G109" s="92" t="n"/>
      <c r="H109" s="18" t="n"/>
      <c r="I109" s="167" t="n"/>
      <c r="J109" s="18" t="n"/>
      <c r="K109" s="168" t="n"/>
      <c r="L109" s="11" t="n"/>
      <c r="M109" s="11" t="n"/>
      <c r="N109" s="5" t="n"/>
    </row>
    <row r="110" ht="15" customHeight="1" s="184">
      <c r="A110" s="96" t="n"/>
      <c r="B110" s="15" t="n"/>
      <c r="C110" s="164" t="n"/>
      <c r="D110" s="165" t="n"/>
      <c r="E110" s="166" t="n"/>
      <c r="F110" s="92" t="n"/>
      <c r="G110" s="92" t="n"/>
      <c r="H110" s="18" t="n"/>
      <c r="I110" s="167" t="n"/>
      <c r="J110" s="18" t="n"/>
      <c r="K110" s="168" t="n"/>
      <c r="L110" s="11" t="n"/>
      <c r="M110" s="11" t="n"/>
      <c r="N110" s="5" t="n"/>
    </row>
    <row r="111" ht="15" customHeight="1" s="184">
      <c r="A111" s="96" t="n"/>
      <c r="B111" s="15" t="n"/>
      <c r="C111" s="164" t="n"/>
      <c r="D111" s="165" t="n"/>
      <c r="E111" s="166" t="n"/>
      <c r="F111" s="92" t="n"/>
      <c r="G111" s="92" t="n"/>
      <c r="H111" s="18" t="n"/>
      <c r="I111" s="167" t="n"/>
      <c r="J111" s="18" t="n"/>
      <c r="K111" s="168" t="n"/>
      <c r="L111" s="11" t="n"/>
      <c r="M111" s="11" t="n"/>
      <c r="N111" s="5" t="n"/>
    </row>
    <row r="112" ht="15" customHeight="1" s="184">
      <c r="A112" s="96" t="n"/>
      <c r="B112" s="15" t="n"/>
      <c r="C112" s="164" t="n"/>
      <c r="D112" s="165" t="n"/>
      <c r="E112" s="166" t="n"/>
      <c r="F112" s="92" t="n"/>
      <c r="G112" s="92" t="n"/>
      <c r="H112" s="18" t="n"/>
      <c r="I112" s="167" t="n"/>
      <c r="J112" s="18" t="n"/>
      <c r="K112" s="168" t="n"/>
      <c r="L112" s="11" t="n"/>
      <c r="M112" s="11" t="n"/>
      <c r="N112" s="5" t="n"/>
    </row>
    <row r="113" ht="15" customHeight="1" s="184">
      <c r="A113" s="96" t="n"/>
      <c r="B113" s="15" t="n"/>
      <c r="C113" s="164" t="n"/>
      <c r="D113" s="165" t="n"/>
      <c r="E113" s="166" t="n"/>
      <c r="F113" s="92" t="n"/>
      <c r="G113" s="92" t="n"/>
      <c r="H113" s="18" t="n"/>
      <c r="I113" s="167" t="n"/>
      <c r="J113" s="18" t="n"/>
      <c r="K113" s="168" t="n"/>
      <c r="L113" s="11" t="n"/>
      <c r="M113" s="11" t="n"/>
      <c r="N113" s="5" t="n"/>
    </row>
    <row r="114" ht="15" customHeight="1" s="184">
      <c r="A114" s="96" t="n"/>
      <c r="B114" s="15" t="n"/>
      <c r="C114" s="164" t="n"/>
      <c r="D114" s="165" t="n"/>
      <c r="E114" s="166" t="n"/>
      <c r="F114" s="92" t="n"/>
      <c r="G114" s="92" t="n"/>
      <c r="H114" s="18" t="n"/>
      <c r="I114" s="167" t="n"/>
      <c r="J114" s="18" t="n"/>
      <c r="K114" s="168" t="n"/>
      <c r="L114" s="11" t="n"/>
      <c r="M114" s="11" t="n"/>
      <c r="N114" s="5" t="n"/>
    </row>
    <row r="115" ht="15" customHeight="1" s="184">
      <c r="A115" s="96" t="n"/>
      <c r="B115" s="15" t="n"/>
      <c r="C115" s="164" t="n"/>
      <c r="D115" s="165" t="n"/>
      <c r="E115" s="166" t="n"/>
      <c r="F115" s="92" t="n"/>
      <c r="G115" s="92" t="n"/>
      <c r="H115" s="18" t="n"/>
      <c r="I115" s="167" t="n"/>
      <c r="J115" s="18" t="n"/>
      <c r="K115" s="168" t="n"/>
      <c r="L115" s="11" t="n"/>
      <c r="M115" s="11" t="n"/>
      <c r="N115" s="5" t="n"/>
    </row>
    <row r="116" ht="15" customHeight="1" s="184">
      <c r="A116" s="96" t="n"/>
      <c r="B116" s="15" t="n"/>
      <c r="C116" s="164" t="n"/>
      <c r="D116" s="165" t="n"/>
      <c r="E116" s="166" t="n"/>
      <c r="F116" s="92" t="n"/>
      <c r="G116" s="92" t="n"/>
      <c r="H116" s="18" t="n"/>
      <c r="I116" s="167" t="n"/>
      <c r="J116" s="18" t="n"/>
      <c r="K116" s="168" t="n"/>
      <c r="L116" s="11" t="n"/>
      <c r="M116" s="11" t="n"/>
      <c r="N116" s="5" t="n"/>
    </row>
    <row r="117" ht="15" customHeight="1" s="184">
      <c r="A117" s="96" t="n"/>
      <c r="B117" s="15" t="n"/>
      <c r="C117" s="164" t="n"/>
      <c r="D117" s="165" t="n"/>
      <c r="E117" s="166" t="n"/>
      <c r="F117" s="92" t="n"/>
      <c r="G117" s="92" t="n"/>
      <c r="H117" s="18" t="n"/>
      <c r="I117" s="167" t="n"/>
      <c r="J117" s="18" t="n"/>
      <c r="K117" s="168" t="n"/>
      <c r="L117" s="11" t="n"/>
      <c r="M117" s="11" t="n"/>
      <c r="N117" s="5" t="n"/>
    </row>
    <row r="118" ht="15" customHeight="1" s="184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11" t="n"/>
      <c r="M118" s="11" t="n"/>
      <c r="N118" s="5" t="n"/>
    </row>
    <row r="119" ht="15" customHeight="1" s="184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</row>
    <row r="120" ht="15" customHeight="1" s="184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 ht="15" customHeight="1" s="184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 ht="15" customHeight="1" s="184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 ht="15" customHeight="1" s="184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 ht="15" customHeight="1" s="18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 ht="15" customHeight="1" s="184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</row>
    <row r="126" ht="15" customHeight="1" s="184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 ht="15" customHeight="1" s="184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 ht="15" customHeight="1" s="184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 ht="15" customHeight="1" s="184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 ht="15" customHeight="1" s="184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 ht="15" customHeight="1" s="184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</row>
    <row r="132" ht="15" customHeight="1" s="184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 ht="15" customHeight="1" s="184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 ht="15" customHeight="1" s="18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 ht="15" customHeight="1" s="184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 ht="15" customHeight="1" s="184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 ht="15" customHeight="1" s="184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</row>
    <row r="138" ht="15" customHeight="1" s="184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 ht="15" customHeight="1" s="184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 ht="15" customHeight="1" s="184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 ht="15" customHeight="1" s="184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 ht="15" customHeight="1" s="184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 ht="15" customHeight="1" s="184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</row>
    <row r="144" ht="15" customHeight="1" s="18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 ht="15" customHeight="1" s="184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 ht="15" customHeight="1" s="184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 ht="15" customHeight="1" s="184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 ht="15" customHeight="1" s="184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 ht="15" customHeight="1" s="184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</row>
    <row r="150" ht="15" customHeight="1" s="184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 ht="15" customHeight="1" s="184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</row>
    <row r="152" ht="15" customHeight="1" s="184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 ht="15" customHeight="1" s="184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</row>
    <row r="154" ht="15" customHeight="1" s="18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 ht="15" customHeight="1" s="184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</row>
    <row r="156" ht="15" customHeight="1" s="184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 ht="15" customHeight="1" s="184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</row>
    <row r="158" ht="15" customHeight="1" s="184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 ht="15" customHeight="1" s="184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</row>
    <row r="160" ht="15" customHeight="1" s="184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 ht="15" customHeight="1" s="184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</row>
    <row r="162" ht="15" customHeight="1" s="184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 ht="15" customHeight="1" s="184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 ht="15" customHeight="1" s="18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 ht="15" customHeight="1" s="184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 ht="15" customHeight="1" s="184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 ht="15" customHeight="1" s="184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</row>
    <row r="168" ht="15" customHeight="1" s="184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 ht="15" customHeight="1" s="184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</row>
    <row r="170" ht="15" customHeight="1" s="184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 ht="15" customHeight="1" s="184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</row>
    <row r="172" ht="15" customHeight="1" s="184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 ht="15" customHeight="1" s="184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</row>
    <row r="174" ht="15" customHeight="1" s="18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 ht="15" customHeight="1" s="184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</row>
    <row r="176" ht="15" customHeight="1" s="184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 ht="15" customHeight="1" s="184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 ht="15" customHeight="1" s="184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 ht="15" customHeight="1" s="184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 ht="15" customHeight="1" s="184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 ht="15" customHeight="1" s="184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 ht="15" customHeight="1" s="184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 ht="15" customHeight="1" s="184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 ht="15" customHeight="1" s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 ht="15" customHeight="1" s="184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 ht="15" customHeight="1" s="184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 ht="15" customHeight="1" s="184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 ht="15" customHeight="1" s="184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 ht="15" customHeight="1" s="184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 ht="15" customHeight="1" s="184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 ht="15" customHeight="1" s="184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 ht="15" customHeight="1" s="184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 ht="15" customHeight="1" s="184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 ht="15" customHeight="1" s="18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 ht="15" customHeight="1" s="184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 ht="15" customHeight="1" s="184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 ht="15" customHeight="1" s="184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 ht="15" customHeight="1" s="184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 ht="15" customHeight="1" s="184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 ht="15" customHeight="1" s="184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 ht="15" customHeight="1" s="184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</row>
    <row r="202" ht="15" customHeight="1" s="184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</row>
    <row r="203" ht="15" customHeight="1" s="184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</row>
    <row r="204" ht="15" customHeight="1" s="18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</row>
    <row r="205" ht="15" customHeight="1" s="184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</row>
    <row r="206" ht="15" customHeight="1" s="184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</row>
    <row r="207" ht="15" customHeight="1" s="184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</row>
    <row r="208" ht="15" customHeight="1" s="184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</row>
    <row r="209" ht="15" customHeight="1" s="184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</row>
    <row r="210" ht="15" customHeight="1" s="184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</row>
    <row r="211" ht="15" customHeight="1" s="184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</row>
    <row r="212" ht="15" customHeight="1" s="184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</row>
    <row r="213" ht="15" customHeight="1" s="184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</row>
    <row r="214" ht="15" customHeight="1" s="18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</row>
    <row r="215" ht="15" customHeight="1" s="184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</row>
    <row r="216" ht="15" customHeight="1" s="184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7" ht="15" customHeight="1" s="184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</row>
    <row r="218" ht="15" customHeight="1" s="184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</row>
    <row r="219" ht="15" customHeight="1" s="184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</row>
    <row r="220" ht="15" customHeight="1" s="184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</row>
    <row r="221" ht="15" customHeight="1" s="184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</row>
    <row r="222" ht="15" customHeight="1" s="184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3" ht="15" customHeight="1" s="18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</row>
    <row r="224" ht="15" customHeight="1" s="18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</row>
    <row r="225" ht="15" customHeight="1" s="18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</row>
    <row r="226" ht="15" customHeight="1" s="18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</row>
    <row r="227" ht="15" customHeight="1" s="18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</row>
    <row r="228" ht="15" customHeight="1" s="18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</row>
    <row r="229" ht="15" customHeight="1" s="184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</row>
    <row r="230" ht="15" customHeight="1" s="184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</row>
    <row r="231" ht="15" customHeight="1" s="184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</row>
    <row r="232" ht="15" customHeight="1" s="184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</row>
    <row r="233" ht="15" customHeight="1" s="184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</row>
    <row r="234" ht="15" customHeight="1" s="18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</row>
    <row r="235" ht="15" customHeight="1" s="184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</row>
    <row r="236" ht="15" customHeight="1" s="184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</row>
    <row r="237" ht="15" customHeight="1" s="184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</row>
    <row r="238" ht="15" customHeight="1" s="184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</row>
    <row r="239" ht="15" customHeight="1" s="184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</row>
    <row r="240" ht="15" customHeight="1" s="184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</row>
    <row r="241" ht="15" customHeight="1" s="184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</row>
    <row r="242" ht="15" customHeight="1" s="18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</row>
    <row r="243" ht="15" customHeight="1" s="18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</row>
    <row r="244" ht="15" customHeight="1" s="18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5" ht="15" customHeight="1" s="184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</row>
    <row r="246" ht="15" customHeight="1" s="184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</row>
    <row r="247" ht="15" customHeight="1" s="184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</row>
    <row r="248" ht="15" customHeight="1" s="184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</row>
    <row r="249" ht="15" customHeight="1" s="184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</row>
    <row r="250" ht="15" customHeight="1" s="184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</row>
    <row r="251" ht="15" customHeight="1" s="184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</row>
    <row r="252" ht="15" customHeight="1" s="184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</row>
    <row r="253" ht="15" customHeight="1" s="184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</row>
    <row r="254" ht="15" customHeight="1" s="18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</row>
    <row r="255" ht="15" customHeight="1" s="184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</row>
    <row r="256" ht="15" customHeight="1" s="184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</row>
    <row r="257" ht="15" customHeight="1" s="184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</row>
    <row r="258" ht="15" customHeight="1" s="184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</row>
    <row r="259" ht="15" customHeight="1" s="184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</row>
    <row r="260" ht="15" customHeight="1" s="184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</row>
    <row r="261" ht="15" customHeight="1" s="184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</row>
    <row r="262" ht="15" customHeight="1" s="184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</row>
    <row r="263" ht="15" customHeight="1" s="184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</row>
    <row r="264" ht="15" customHeight="1" s="18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</row>
    <row r="265" ht="15" customHeight="1" s="184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</row>
    <row r="266" ht="15" customHeight="1" s="184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</row>
    <row r="267" ht="15" customHeight="1" s="184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</row>
    <row r="268" ht="15" customHeight="1" s="184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</row>
    <row r="269" ht="15" customHeight="1" s="184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</row>
    <row r="270" ht="15" customHeight="1" s="184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</row>
    <row r="271" ht="15" customHeight="1" s="184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</row>
    <row r="272" ht="15" customHeight="1" s="184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</row>
    <row r="273" ht="15" customHeight="1" s="184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</row>
    <row r="274" ht="15" customHeight="1" s="18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</row>
    <row r="275" ht="15" customHeight="1" s="184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</row>
    <row r="276" ht="15" customHeight="1" s="184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</row>
    <row r="277" ht="15" customHeight="1" s="184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</row>
    <row r="278" ht="15" customHeight="1" s="184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</row>
    <row r="279" ht="15" customHeight="1" s="184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</row>
    <row r="280" ht="15" customHeight="1" s="184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</row>
    <row r="281" ht="15" customHeight="1" s="184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</row>
    <row r="282" ht="15" customHeight="1" s="184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</row>
    <row r="283" ht="15" customHeight="1" s="184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</row>
    <row r="284" ht="15" customHeight="1" s="1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</row>
    <row r="285" ht="15" customHeight="1" s="184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</row>
    <row r="286" ht="15" customHeight="1" s="184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</row>
    <row r="287" ht="15.75" customHeight="1" s="184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</row>
    <row r="288" ht="15.75" customHeight="1" s="184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</row>
    <row r="289" ht="15.75" customHeight="1" s="184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</row>
    <row r="290" ht="15.75" customHeight="1" s="184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</row>
    <row r="291" ht="15.75" customHeight="1" s="184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</row>
    <row r="292" ht="15.75" customHeight="1" s="184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</row>
    <row r="293" ht="15.75" customHeight="1" s="184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</row>
    <row r="294" ht="15.75" customHeight="1" s="18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</row>
    <row r="295" ht="15.75" customHeight="1" s="184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</row>
    <row r="296" ht="15.75" customHeight="1" s="184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</row>
    <row r="297" ht="15.75" customHeight="1" s="184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</row>
    <row r="298" ht="15.75" customHeight="1" s="184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</row>
    <row r="299" ht="15.75" customHeight="1" s="184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</row>
    <row r="300" ht="15.75" customHeight="1" s="184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</row>
    <row r="301" ht="15.75" customHeight="1" s="184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</row>
    <row r="302" ht="15.75" customHeight="1" s="184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</row>
    <row r="303" ht="15.75" customHeight="1" s="184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</row>
    <row r="304" ht="15.75" customHeight="1" s="18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</row>
    <row r="305" ht="15.75" customHeight="1" s="184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</row>
    <row r="306" ht="15.75" customHeight="1" s="184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</row>
    <row r="307" ht="15.75" customHeight="1" s="184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</row>
    <row r="308" ht="15.75" customHeight="1" s="184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</row>
    <row r="309" ht="15.75" customHeight="1" s="184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</row>
    <row r="310" ht="15.75" customHeight="1" s="184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</row>
    <row r="311" ht="15.75" customHeight="1" s="184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</row>
    <row r="312" ht="15.75" customHeight="1" s="184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</row>
    <row r="313" ht="15.75" customHeight="1" s="184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</row>
    <row r="314" ht="15.75" customHeight="1" s="18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</row>
    <row r="315" ht="15.75" customHeight="1" s="184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</row>
    <row r="316" ht="15.75" customHeight="1" s="184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</row>
    <row r="317" ht="15.75" customHeight="1" s="184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</row>
    <row r="318" ht="15.75" customHeight="1" s="184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</row>
    <row r="319" ht="15.75" customHeight="1" s="184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</row>
    <row r="320" ht="15.75" customHeight="1" s="184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</row>
    <row r="321" ht="15.75" customHeight="1" s="184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</row>
    <row r="322" ht="15.75" customHeight="1" s="184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</row>
    <row r="323" ht="15.75" customHeight="1" s="184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</row>
    <row r="324" ht="15.75" customHeight="1" s="18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</row>
    <row r="325" ht="15.75" customHeight="1" s="184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</row>
    <row r="326" ht="15.75" customHeight="1" s="184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</row>
    <row r="327" ht="15.75" customHeight="1" s="184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</row>
    <row r="328" ht="15.75" customHeight="1" s="184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</row>
    <row r="329" ht="15.75" customHeight="1" s="184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</row>
    <row r="330" ht="15.75" customHeight="1" s="184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</row>
    <row r="331" ht="15.75" customHeight="1" s="184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</row>
    <row r="332" ht="15.75" customHeight="1" s="184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</row>
    <row r="333" ht="15.75" customHeight="1" s="184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</row>
    <row r="334" ht="15.75" customHeight="1" s="18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</row>
    <row r="335" ht="15.75" customHeight="1" s="184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</row>
    <row r="336" ht="15.75" customHeight="1" s="184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</row>
    <row r="337" ht="15.75" customHeight="1" s="184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</row>
    <row r="338" ht="15.75" customHeight="1" s="184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</row>
    <row r="339" ht="15.75" customHeight="1" s="184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</row>
    <row r="340" ht="15.75" customHeight="1" s="184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</row>
    <row r="341" ht="15.75" customHeight="1" s="184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</row>
    <row r="342" ht="15.75" customHeight="1" s="184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</row>
    <row r="343" ht="15.75" customHeight="1" s="184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</row>
    <row r="344" ht="15.75" customHeight="1" s="18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</row>
    <row r="345" ht="15.75" customHeight="1" s="184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</row>
    <row r="346" ht="15.75" customHeight="1" s="184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</row>
    <row r="347" ht="15.75" customHeight="1" s="184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</row>
    <row r="348" ht="15.75" customHeight="1" s="184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</row>
    <row r="349" ht="15.75" customHeight="1" s="184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</row>
    <row r="350" ht="15.75" customHeight="1" s="184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</row>
    <row r="351" ht="15.75" customHeight="1" s="184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</row>
    <row r="352" ht="15.75" customHeight="1" s="184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</row>
    <row r="353" ht="15.75" customHeight="1" s="184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</row>
    <row r="354" ht="15.75" customHeight="1" s="18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</row>
    <row r="355" ht="15.75" customHeight="1" s="184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</row>
    <row r="356" ht="15.75" customHeight="1" s="184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</row>
    <row r="357" ht="15.75" customHeight="1" s="184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</row>
    <row r="358" ht="15.75" customHeight="1" s="184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</row>
    <row r="359" ht="15.75" customHeight="1" s="184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</row>
    <row r="360" ht="15.75" customHeight="1" s="184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</row>
    <row r="361" ht="15.75" customHeight="1" s="184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</row>
    <row r="362" ht="15.75" customHeight="1" s="184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</row>
    <row r="363" ht="15.75" customHeight="1" s="184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</row>
    <row r="364" ht="15.75" customHeight="1" s="18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</row>
    <row r="365" ht="15.75" customHeight="1" s="184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</row>
    <row r="366" ht="15.75" customHeight="1" s="184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</row>
    <row r="367" ht="15.75" customHeight="1" s="184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</row>
    <row r="368" ht="15.75" customHeight="1" s="184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</row>
    <row r="369" ht="15.75" customHeight="1" s="184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</row>
    <row r="370" ht="15.75" customHeight="1" s="184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</row>
    <row r="371" ht="15.75" customHeight="1" s="184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</row>
    <row r="372" ht="15.75" customHeight="1" s="184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</row>
    <row r="373" ht="15.75" customHeight="1" s="184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</row>
    <row r="374" ht="15.75" customHeight="1" s="18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</row>
    <row r="375" ht="15.75" customHeight="1" s="184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</row>
    <row r="376" ht="15.75" customHeight="1" s="184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</row>
    <row r="377" ht="15.75" customHeight="1" s="184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</row>
    <row r="378" ht="15.75" customHeight="1" s="184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</row>
    <row r="379" ht="15.75" customHeight="1" s="184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</row>
    <row r="380" ht="15.75" customHeight="1" s="184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</row>
    <row r="381" ht="15.75" customHeight="1" s="184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</row>
    <row r="382" ht="15.75" customHeight="1" s="184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</row>
    <row r="383" ht="15.75" customHeight="1" s="184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</row>
    <row r="384" ht="15.75" customHeight="1" s="1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</row>
    <row r="385" ht="15.75" customHeight="1" s="184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</row>
    <row r="386" ht="15.75" customHeight="1" s="184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</row>
    <row r="387" ht="15.75" customHeight="1" s="184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</row>
    <row r="388" ht="15.75" customHeight="1" s="184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</row>
    <row r="389" ht="15.75" customHeight="1" s="184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</row>
    <row r="390" ht="15.75" customHeight="1" s="184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</row>
    <row r="391" ht="15.75" customHeight="1" s="184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</row>
    <row r="392" ht="15.75" customHeight="1" s="184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</row>
    <row r="393" ht="15.75" customHeight="1" s="184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</row>
    <row r="394" ht="15.75" customHeight="1" s="18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</row>
    <row r="395" ht="15.75" customHeight="1" s="184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</row>
    <row r="396" ht="15.75" customHeight="1" s="184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</row>
    <row r="397" ht="15.75" customHeight="1" s="184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</row>
    <row r="398" ht="15.75" customHeight="1" s="184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</row>
    <row r="399" ht="15.75" customHeight="1" s="184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</row>
    <row r="400" ht="15.75" customHeight="1" s="184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</row>
    <row r="401" ht="15.75" customHeight="1" s="184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</row>
    <row r="402" ht="15.75" customHeight="1" s="184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</row>
    <row r="403" ht="15.75" customHeight="1" s="184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</row>
    <row r="404" ht="15.75" customHeight="1" s="18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</row>
    <row r="405" ht="15.75" customHeight="1" s="184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</row>
    <row r="406" ht="15.75" customHeight="1" s="184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</row>
    <row r="407" ht="15.75" customHeight="1" s="184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</row>
    <row r="408" ht="15.75" customHeight="1" s="184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</row>
    <row r="409" ht="15.75" customHeight="1" s="184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</row>
    <row r="410" ht="15.75" customHeight="1" s="184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</row>
    <row r="411" ht="15.75" customHeight="1" s="184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</row>
    <row r="412" ht="15.75" customHeight="1" s="184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</row>
    <row r="413" ht="15.75" customHeight="1" s="184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</row>
    <row r="414" ht="15.75" customHeight="1" s="18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</row>
    <row r="415" ht="15.75" customHeight="1" s="184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</row>
    <row r="416" ht="15.75" customHeight="1" s="184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</row>
    <row r="417" ht="15.75" customHeight="1" s="184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</row>
    <row r="418" ht="15.75" customHeight="1" s="184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</row>
    <row r="419" ht="15.75" customHeight="1" s="184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</row>
    <row r="420" ht="15.75" customHeight="1" s="184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</row>
    <row r="421" ht="15.75" customHeight="1" s="184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</row>
    <row r="422" ht="15.75" customHeight="1" s="184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</row>
    <row r="423" ht="15.75" customHeight="1" s="184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</row>
    <row r="424" ht="15.75" customHeight="1" s="18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</row>
    <row r="425" ht="15.75" customHeight="1" s="184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</row>
    <row r="426" ht="15.75" customHeight="1" s="184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</row>
    <row r="427" ht="15.75" customHeight="1" s="184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</row>
    <row r="428" ht="15.75" customHeight="1" s="184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</row>
    <row r="429" ht="15.75" customHeight="1" s="184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</row>
    <row r="430" ht="15.75" customHeight="1" s="184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</row>
    <row r="431" ht="15.75" customHeight="1" s="184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</row>
    <row r="432" ht="15.75" customHeight="1" s="184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</row>
    <row r="433" ht="15.75" customHeight="1" s="184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</row>
    <row r="434" ht="15.75" customHeight="1" s="18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</row>
    <row r="435" ht="15.75" customHeight="1" s="184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</row>
    <row r="436" ht="15.75" customHeight="1" s="184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</row>
    <row r="437" ht="15.75" customHeight="1" s="184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</row>
    <row r="438" ht="15.75" customHeight="1" s="184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</row>
    <row r="439" ht="15.75" customHeight="1" s="184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</row>
    <row r="440" ht="15.75" customHeight="1" s="184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</row>
    <row r="441" ht="15.75" customHeight="1" s="184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</row>
    <row r="442" ht="15.75" customHeight="1" s="184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</row>
    <row r="443" ht="15.75" customHeight="1" s="184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</row>
    <row r="444" ht="15.75" customHeight="1" s="18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</row>
    <row r="445" ht="15.75" customHeight="1" s="184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</row>
    <row r="446" ht="15.75" customHeight="1" s="184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</row>
    <row r="447" ht="15.75" customHeight="1" s="184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</row>
    <row r="448" ht="15.75" customHeight="1" s="184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</row>
    <row r="449" ht="15.75" customHeight="1" s="184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</row>
    <row r="450" ht="15.75" customHeight="1" s="184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</row>
    <row r="451" ht="15.75" customHeight="1" s="184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</row>
    <row r="452" ht="15.75" customHeight="1" s="184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</row>
    <row r="453" ht="15.75" customHeight="1" s="184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</row>
    <row r="454" ht="15.75" customHeight="1" s="18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</row>
    <row r="455" ht="15.75" customHeight="1" s="184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</row>
    <row r="456" ht="15.75" customHeight="1" s="184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</row>
    <row r="457" ht="15.75" customHeight="1" s="184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</row>
    <row r="458" ht="15.75" customHeight="1" s="184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</row>
    <row r="459" ht="15.75" customHeight="1" s="184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</row>
    <row r="460" ht="15.75" customHeight="1" s="184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</row>
    <row r="461" ht="15.75" customHeight="1" s="184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</row>
    <row r="462" ht="15.75" customHeight="1" s="184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</row>
    <row r="463" ht="15.75" customHeight="1" s="184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</row>
    <row r="464" ht="15.75" customHeight="1" s="18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</row>
    <row r="465" ht="15.75" customHeight="1" s="184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</row>
    <row r="466" ht="15.75" customHeight="1" s="184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</row>
    <row r="467" ht="15.75" customHeight="1" s="184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</row>
    <row r="468" ht="15.75" customHeight="1" s="184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</row>
    <row r="469" ht="15.75" customHeight="1" s="184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</row>
    <row r="470" ht="15.75" customHeight="1" s="184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</row>
    <row r="471" ht="15.75" customHeight="1" s="184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</row>
    <row r="472" ht="15.75" customHeight="1" s="184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</row>
    <row r="473" ht="15.75" customHeight="1" s="184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</row>
    <row r="474" ht="15.75" customHeight="1" s="18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</row>
    <row r="475" ht="15.75" customHeight="1" s="184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</row>
    <row r="476" ht="15.75" customHeight="1" s="184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</row>
    <row r="477" ht="15.75" customHeight="1" s="184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</row>
    <row r="478" ht="15.75" customHeight="1" s="184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</row>
    <row r="479" ht="15.75" customHeight="1" s="184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</row>
    <row r="480" ht="15.75" customHeight="1" s="184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</row>
    <row r="481" ht="15.75" customHeight="1" s="184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</row>
    <row r="482" ht="15.75" customHeight="1" s="184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</row>
    <row r="483" ht="15.75" customHeight="1" s="184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</row>
    <row r="484" ht="15.75" customHeight="1" s="1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</row>
    <row r="485" ht="15.75" customHeight="1" s="184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</row>
    <row r="486" ht="15.75" customHeight="1" s="184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</row>
    <row r="487" ht="15.75" customHeight="1" s="184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</row>
    <row r="488" ht="15.75" customHeight="1" s="184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</row>
    <row r="489" ht="15.75" customHeight="1" s="184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</row>
    <row r="490" ht="15.75" customHeight="1" s="184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</row>
    <row r="491" ht="15.75" customHeight="1" s="184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</row>
    <row r="492" ht="15.75" customHeight="1" s="184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</row>
    <row r="493" ht="15.75" customHeight="1" s="184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</row>
    <row r="494" ht="15.75" customHeight="1" s="18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</row>
    <row r="495" ht="15.75" customHeight="1" s="184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</row>
    <row r="496" ht="15.75" customHeight="1" s="184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</row>
    <row r="497" ht="15.75" customHeight="1" s="184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</row>
    <row r="498" ht="15.75" customHeight="1" s="184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</row>
    <row r="499" ht="15.75" customHeight="1" s="184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</row>
    <row r="500" ht="15.75" customHeight="1" s="184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</row>
    <row r="501" ht="15.75" customHeight="1" s="184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</row>
    <row r="502" ht="15.75" customHeight="1" s="184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</row>
    <row r="503" ht="15.75" customHeight="1" s="184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</row>
    <row r="504" ht="15.75" customHeight="1" s="18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</row>
    <row r="505" ht="15.75" customHeight="1" s="184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</row>
    <row r="506" ht="15.75" customHeight="1" s="184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</row>
    <row r="507" ht="15.75" customHeight="1" s="184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</row>
    <row r="508" ht="15.75" customHeight="1" s="184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</row>
    <row r="509" ht="15.75" customHeight="1" s="184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</row>
    <row r="510" ht="15.75" customHeight="1" s="184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</row>
    <row r="511" ht="15.75" customHeight="1" s="184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</row>
    <row r="512" ht="15.75" customHeight="1" s="184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</row>
    <row r="513" ht="15.75" customHeight="1" s="184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</row>
    <row r="514" ht="15.75" customHeight="1" s="18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</row>
    <row r="515" ht="15.75" customHeight="1" s="184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</row>
    <row r="516" ht="15.75" customHeight="1" s="184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</row>
    <row r="517" ht="15.75" customHeight="1" s="184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</row>
    <row r="518" ht="15.75" customHeight="1" s="184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</row>
    <row r="519" ht="15.75" customHeight="1" s="184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</row>
    <row r="520" ht="15.75" customHeight="1" s="184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</row>
    <row r="521" ht="15.75" customHeight="1" s="184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</row>
    <row r="522" ht="15.75" customHeight="1" s="184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</row>
    <row r="523" ht="15.75" customHeight="1" s="184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</row>
    <row r="524" ht="15.75" customHeight="1" s="18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</row>
    <row r="525" ht="15.75" customHeight="1" s="184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</row>
    <row r="526" ht="15.75" customHeight="1" s="184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</row>
    <row r="527" ht="15.75" customHeight="1" s="184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</row>
    <row r="528" ht="15.75" customHeight="1" s="184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</row>
    <row r="529" ht="15.75" customHeight="1" s="184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</row>
    <row r="530" ht="15.75" customHeight="1" s="184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</row>
    <row r="531" ht="15.75" customHeight="1" s="184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</row>
    <row r="532" ht="15.75" customHeight="1" s="184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</row>
    <row r="533" ht="15.75" customHeight="1" s="184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</row>
    <row r="534" ht="15.75" customHeight="1" s="18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</row>
    <row r="535" ht="15.75" customHeight="1" s="184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</row>
    <row r="536" ht="15.75" customHeight="1" s="184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</row>
    <row r="537" ht="15.75" customHeight="1" s="184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</row>
    <row r="538" ht="15.75" customHeight="1" s="184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</row>
    <row r="539" ht="15.75" customHeight="1" s="184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</row>
    <row r="540" ht="15.75" customHeight="1" s="184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</row>
    <row r="541" ht="15.75" customHeight="1" s="184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</row>
    <row r="542" ht="15.75" customHeight="1" s="184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</row>
    <row r="543" ht="15.75" customHeight="1" s="184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</row>
    <row r="544" ht="15.75" customHeight="1" s="18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</row>
    <row r="545" ht="15.75" customHeight="1" s="184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</row>
    <row r="546" ht="15.75" customHeight="1" s="184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</row>
    <row r="547" ht="15.75" customHeight="1" s="184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</row>
    <row r="548" ht="15.75" customHeight="1" s="184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</row>
    <row r="549" ht="15.75" customHeight="1" s="184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</row>
    <row r="550" ht="15.75" customHeight="1" s="184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</row>
    <row r="551" ht="15.75" customHeight="1" s="184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</row>
    <row r="552" ht="15.75" customHeight="1" s="184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</row>
    <row r="553" ht="15.75" customHeight="1" s="184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</row>
    <row r="554" ht="15.75" customHeight="1" s="18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</row>
    <row r="555" ht="15.75" customHeight="1" s="184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</row>
    <row r="556" ht="15.75" customHeight="1" s="184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</row>
    <row r="557" ht="15.75" customHeight="1" s="184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</row>
    <row r="558" ht="15.75" customHeight="1" s="184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</row>
    <row r="559" ht="15.75" customHeight="1" s="184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</row>
    <row r="560" ht="15.75" customHeight="1" s="184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</row>
    <row r="561" ht="15.75" customHeight="1" s="184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</row>
    <row r="562" ht="15.75" customHeight="1" s="184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</row>
    <row r="563" ht="15.75" customHeight="1" s="184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</row>
    <row r="564" ht="15.75" customHeight="1" s="18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</row>
    <row r="565" ht="15.75" customHeight="1" s="184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</row>
    <row r="566" ht="15.75" customHeight="1" s="184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</row>
    <row r="567" ht="15.75" customHeight="1" s="184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</row>
    <row r="568" ht="15.75" customHeight="1" s="184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</row>
    <row r="569" ht="15.75" customHeight="1" s="184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</row>
    <row r="570" ht="15.75" customHeight="1" s="184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</row>
    <row r="571" ht="15.75" customHeight="1" s="184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</row>
    <row r="572" ht="15.75" customHeight="1" s="184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</row>
    <row r="573" ht="15.75" customHeight="1" s="184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</row>
    <row r="574" ht="15.75" customHeight="1" s="18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</row>
    <row r="575" ht="15.75" customHeight="1" s="184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</row>
    <row r="576" ht="15.75" customHeight="1" s="184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</row>
    <row r="577" ht="15.75" customHeight="1" s="184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</row>
    <row r="578" ht="15.75" customHeight="1" s="184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</row>
    <row r="579" ht="15.75" customHeight="1" s="184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</row>
    <row r="580" ht="15.75" customHeight="1" s="184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</row>
    <row r="581" ht="15.75" customHeight="1" s="184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</row>
    <row r="582" ht="15.75" customHeight="1" s="184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</row>
    <row r="583" ht="15.75" customHeight="1" s="184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</row>
    <row r="584" ht="15.75" customHeight="1" s="1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</row>
    <row r="585" ht="15.75" customHeight="1" s="184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</row>
    <row r="586" ht="15.75" customHeight="1" s="184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</row>
    <row r="587" ht="15.75" customHeight="1" s="184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</row>
    <row r="588" ht="15.75" customHeight="1" s="184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</row>
    <row r="589" ht="15.75" customHeight="1" s="184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</row>
    <row r="590" ht="15.75" customHeight="1" s="184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</row>
    <row r="591" ht="15.75" customHeight="1" s="184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</row>
    <row r="592" ht="15.75" customHeight="1" s="184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</row>
    <row r="593" ht="15.75" customHeight="1" s="184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</row>
    <row r="594" ht="15.75" customHeight="1" s="18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</row>
    <row r="595" ht="15.75" customHeight="1" s="184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</row>
    <row r="596" ht="15.75" customHeight="1" s="184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</row>
    <row r="597" ht="15.75" customHeight="1" s="184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</row>
    <row r="598" ht="15.75" customHeight="1" s="184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</row>
    <row r="599" ht="15.75" customHeight="1" s="184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</row>
    <row r="600" ht="15.75" customHeight="1" s="184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</row>
    <row r="601" ht="15.75" customHeight="1" s="184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</row>
    <row r="602" ht="15.75" customHeight="1" s="184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</row>
    <row r="603" ht="15.75" customHeight="1" s="184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</row>
    <row r="604" ht="15.75" customHeight="1" s="18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</row>
    <row r="605" ht="15.75" customHeight="1" s="184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</row>
    <row r="606" ht="15.75" customHeight="1" s="184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</row>
    <row r="607" ht="15.75" customHeight="1" s="184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</row>
    <row r="608" ht="15.75" customHeight="1" s="184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</row>
    <row r="609" ht="15.75" customHeight="1" s="184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</row>
    <row r="610" ht="15.75" customHeight="1" s="184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</row>
    <row r="611" ht="15.75" customHeight="1" s="184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</row>
    <row r="612" ht="15.75" customHeight="1" s="184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</row>
    <row r="613" ht="15.75" customHeight="1" s="184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</row>
    <row r="614" ht="15.75" customHeight="1" s="18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</row>
    <row r="615" ht="15.75" customHeight="1" s="184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</row>
    <row r="616" ht="15.75" customHeight="1" s="184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</row>
    <row r="617" ht="15.75" customHeight="1" s="184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</row>
    <row r="618" ht="15.75" customHeight="1" s="184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</row>
    <row r="619" ht="15.75" customHeight="1" s="184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</row>
    <row r="620" ht="15.75" customHeight="1" s="184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</row>
    <row r="621" ht="15.75" customHeight="1" s="184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</row>
    <row r="622" ht="15.75" customHeight="1" s="184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</row>
    <row r="623" ht="15.75" customHeight="1" s="184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</row>
    <row r="624" ht="15.75" customHeight="1" s="18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</row>
    <row r="625" ht="15.75" customHeight="1" s="184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</row>
    <row r="626" ht="15.75" customHeight="1" s="184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</row>
    <row r="627" ht="15.75" customHeight="1" s="184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</row>
    <row r="628" ht="15.75" customHeight="1" s="184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</row>
    <row r="629" ht="15.75" customHeight="1" s="184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</row>
    <row r="630" ht="15.75" customHeight="1" s="184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</row>
    <row r="631" ht="15.75" customHeight="1" s="184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</row>
    <row r="632" ht="15.75" customHeight="1" s="184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</row>
    <row r="633" ht="15.75" customHeight="1" s="184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</row>
    <row r="634" ht="15.75" customHeight="1" s="18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</row>
    <row r="635" ht="15.75" customHeight="1" s="184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</row>
    <row r="636" ht="15.75" customHeight="1" s="184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</row>
    <row r="637" ht="15.75" customHeight="1" s="184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</row>
    <row r="638" ht="15.75" customHeight="1" s="184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</row>
    <row r="639" ht="15.75" customHeight="1" s="184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</row>
    <row r="640" ht="15.75" customHeight="1" s="184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</row>
    <row r="641" ht="15.75" customHeight="1" s="184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</row>
    <row r="642" ht="15.75" customHeight="1" s="184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</row>
    <row r="643" ht="15.75" customHeight="1" s="184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</row>
    <row r="644" ht="15.75" customHeight="1" s="18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</row>
    <row r="645" ht="15.75" customHeight="1" s="184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</row>
    <row r="646" ht="15.75" customHeight="1" s="184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</row>
    <row r="647" ht="15.75" customHeight="1" s="184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</row>
    <row r="648" ht="15.75" customHeight="1" s="184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</row>
    <row r="649" ht="15.75" customHeight="1" s="184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</row>
    <row r="650" ht="15.75" customHeight="1" s="184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</row>
    <row r="651" ht="15.75" customHeight="1" s="184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</row>
    <row r="652" ht="15.75" customHeight="1" s="184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</row>
    <row r="653" ht="15.75" customHeight="1" s="184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</row>
    <row r="654" ht="15.75" customHeight="1" s="18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</row>
    <row r="655" ht="15.75" customHeight="1" s="184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</row>
    <row r="656" ht="15.75" customHeight="1" s="184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</row>
    <row r="657" ht="15.75" customHeight="1" s="184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</row>
    <row r="658" ht="15.75" customHeight="1" s="184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</row>
    <row r="659" ht="15.75" customHeight="1" s="184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</row>
    <row r="660" ht="15.75" customHeight="1" s="184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</row>
    <row r="661" ht="15.75" customHeight="1" s="184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</row>
    <row r="662" ht="15.75" customHeight="1" s="184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</row>
    <row r="663" ht="15.75" customHeight="1" s="184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</row>
    <row r="664" ht="15.75" customHeight="1" s="18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</row>
    <row r="665" ht="15.75" customHeight="1" s="184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</row>
    <row r="666" ht="15.75" customHeight="1" s="184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</row>
    <row r="667" ht="15.75" customHeight="1" s="184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</row>
    <row r="668" ht="15.75" customHeight="1" s="184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</row>
    <row r="669" ht="15.75" customHeight="1" s="184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</row>
    <row r="670" ht="15.75" customHeight="1" s="184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</row>
    <row r="671" ht="15.75" customHeight="1" s="184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</row>
    <row r="672" ht="15.75" customHeight="1" s="184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</row>
    <row r="673" ht="15.75" customHeight="1" s="184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</row>
    <row r="674" ht="15.75" customHeight="1" s="18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</row>
    <row r="675" ht="15.75" customHeight="1" s="184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</row>
    <row r="676" ht="15.75" customHeight="1" s="184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</row>
    <row r="677" ht="15.75" customHeight="1" s="184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</row>
    <row r="678" ht="15.75" customHeight="1" s="184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</row>
    <row r="679" ht="15.75" customHeight="1" s="184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</row>
    <row r="680" ht="15.75" customHeight="1" s="184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</row>
    <row r="681" ht="15.75" customHeight="1" s="184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</row>
    <row r="682" ht="15.75" customHeight="1" s="184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</row>
    <row r="683" ht="15.75" customHeight="1" s="184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</row>
    <row r="684" ht="15.75" customHeight="1" s="1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</row>
    <row r="685" ht="15.75" customHeight="1" s="184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</row>
    <row r="686" ht="15.75" customHeight="1" s="184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</row>
    <row r="687" ht="15.75" customHeight="1" s="184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</row>
    <row r="688" ht="15.75" customHeight="1" s="184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</row>
    <row r="689" ht="15.75" customHeight="1" s="184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</row>
    <row r="690" ht="15.75" customHeight="1" s="184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</row>
    <row r="691" ht="15.75" customHeight="1" s="184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</row>
    <row r="692" ht="15.75" customHeight="1" s="184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</row>
    <row r="693" ht="15.75" customHeight="1" s="184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</row>
    <row r="694" ht="15.75" customHeight="1" s="18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</row>
    <row r="695" ht="15.75" customHeight="1" s="184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</row>
    <row r="696" ht="15.75" customHeight="1" s="184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</row>
    <row r="697" ht="15.75" customHeight="1" s="184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</row>
    <row r="698" ht="15.75" customHeight="1" s="184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</row>
    <row r="699" ht="15.75" customHeight="1" s="184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</row>
    <row r="700" ht="15.75" customHeight="1" s="184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</row>
    <row r="701" ht="15.75" customHeight="1" s="184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</row>
    <row r="702" ht="15.75" customHeight="1" s="184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</row>
    <row r="703" ht="15.75" customHeight="1" s="184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</row>
    <row r="704" ht="15.75" customHeight="1" s="18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</row>
    <row r="705" ht="15.75" customHeight="1" s="184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</row>
    <row r="706" ht="15.75" customHeight="1" s="184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</row>
    <row r="707" ht="15.75" customHeight="1" s="184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</row>
    <row r="708" ht="15.75" customHeight="1" s="184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</row>
    <row r="709" ht="15.75" customHeight="1" s="184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</row>
    <row r="710" ht="15.75" customHeight="1" s="184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</row>
    <row r="711" ht="15.75" customHeight="1" s="184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</row>
    <row r="712" ht="15.75" customHeight="1" s="184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</row>
    <row r="713" ht="15.75" customHeight="1" s="184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</row>
    <row r="714" ht="15.75" customHeight="1" s="18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</row>
    <row r="715" ht="15.75" customHeight="1" s="184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</row>
    <row r="716" ht="15.75" customHeight="1" s="184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</row>
    <row r="717" ht="15.75" customHeight="1" s="184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</row>
    <row r="718" ht="15.75" customHeight="1" s="184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</row>
    <row r="719" ht="15.75" customHeight="1" s="184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</row>
    <row r="720" ht="15.75" customHeight="1" s="184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</row>
    <row r="721" ht="15.75" customHeight="1" s="184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</row>
    <row r="722" ht="15.75" customHeight="1" s="184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</row>
    <row r="723" ht="15.75" customHeight="1" s="184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</row>
    <row r="724" ht="15.75" customHeight="1" s="18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</row>
    <row r="725" ht="15.75" customHeight="1" s="184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</row>
    <row r="726" ht="15.75" customHeight="1" s="184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</row>
    <row r="727" ht="15.75" customHeight="1" s="184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</row>
    <row r="728" ht="15.75" customHeight="1" s="184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</row>
    <row r="729" ht="15.75" customHeight="1" s="184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</row>
    <row r="730" ht="15.75" customHeight="1" s="184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</row>
    <row r="731" ht="15.75" customHeight="1" s="184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</row>
    <row r="732" ht="15.75" customHeight="1" s="184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</row>
    <row r="733" ht="15.75" customHeight="1" s="184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</row>
    <row r="734" ht="15.75" customHeight="1" s="18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</row>
    <row r="735" ht="15.75" customHeight="1" s="184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</row>
    <row r="736" ht="15.75" customHeight="1" s="184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</row>
    <row r="737" ht="15.75" customHeight="1" s="184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</row>
    <row r="738" ht="15.75" customHeight="1" s="184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</row>
    <row r="739" ht="15.75" customHeight="1" s="184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</row>
    <row r="740" ht="15.75" customHeight="1" s="184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</row>
    <row r="741" ht="15.75" customHeight="1" s="184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</row>
    <row r="742" ht="15.75" customHeight="1" s="184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</row>
    <row r="743" ht="15.75" customHeight="1" s="184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</row>
    <row r="744" ht="15.75" customHeight="1" s="18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</row>
    <row r="745" ht="15.75" customHeight="1" s="184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</row>
    <row r="746" ht="15.75" customHeight="1" s="184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</row>
    <row r="747" ht="15.75" customHeight="1" s="184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</row>
    <row r="748" ht="15.75" customHeight="1" s="184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</row>
    <row r="749" ht="15.75" customHeight="1" s="184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</row>
    <row r="750" ht="15.75" customHeight="1" s="184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</row>
    <row r="751" ht="15.75" customHeight="1" s="184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</row>
    <row r="752" ht="15.75" customHeight="1" s="184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</row>
    <row r="753" ht="15.75" customHeight="1" s="184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</row>
    <row r="754" ht="15.75" customHeight="1" s="18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</row>
    <row r="755" ht="15.75" customHeight="1" s="184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</row>
    <row r="756" ht="15.75" customHeight="1" s="184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</row>
    <row r="757" ht="15.75" customHeight="1" s="184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</row>
    <row r="758" ht="15.75" customHeight="1" s="184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</row>
    <row r="759" ht="15.75" customHeight="1" s="184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</row>
    <row r="760" ht="15.75" customHeight="1" s="184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</row>
    <row r="761" ht="15.75" customHeight="1" s="184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</row>
    <row r="762" ht="15.75" customHeight="1" s="184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</row>
    <row r="763" ht="15.75" customHeight="1" s="184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</row>
    <row r="764" ht="15.75" customHeight="1" s="18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</row>
    <row r="765" ht="15.75" customHeight="1" s="184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</row>
    <row r="766" ht="15.75" customHeight="1" s="184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</row>
    <row r="767" ht="15.75" customHeight="1" s="184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</row>
    <row r="768" ht="15.75" customHeight="1" s="184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</row>
    <row r="769" ht="15.75" customHeight="1" s="184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</row>
    <row r="770" ht="15.75" customHeight="1" s="184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</row>
    <row r="771" ht="15.75" customHeight="1" s="184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</row>
    <row r="772" ht="15.75" customHeight="1" s="184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</row>
    <row r="773" ht="15.75" customHeight="1" s="184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</row>
    <row r="774" ht="15.75" customHeight="1" s="18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</row>
    <row r="775" ht="15.75" customHeight="1" s="184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</row>
    <row r="776" ht="15.75" customHeight="1" s="184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</row>
    <row r="777" ht="15.75" customHeight="1" s="184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</row>
    <row r="778" ht="15.75" customHeight="1" s="184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</row>
    <row r="779" ht="15.75" customHeight="1" s="184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</row>
    <row r="780" ht="15.75" customHeight="1" s="184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</row>
    <row r="781" ht="15.75" customHeight="1" s="184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</row>
    <row r="782" ht="15.75" customHeight="1" s="184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</row>
    <row r="783" ht="15.75" customHeight="1" s="184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</row>
    <row r="784" ht="15.75" customHeight="1" s="1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</row>
    <row r="785" ht="15.75" customHeight="1" s="184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</row>
    <row r="786" ht="15.75" customHeight="1" s="184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</row>
    <row r="787" ht="15.75" customHeight="1" s="184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</row>
    <row r="788" ht="15.75" customHeight="1" s="184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</row>
    <row r="789" ht="15.75" customHeight="1" s="184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</row>
    <row r="790" ht="15.75" customHeight="1" s="184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</row>
    <row r="791" ht="15.75" customHeight="1" s="184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</row>
    <row r="792" ht="15.75" customHeight="1" s="184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</row>
    <row r="793" ht="15.75" customHeight="1" s="184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</row>
    <row r="794" ht="15.75" customHeight="1" s="18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</row>
    <row r="795" ht="15.75" customHeight="1" s="184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</row>
    <row r="796" ht="15.75" customHeight="1" s="184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</row>
    <row r="797" ht="15.75" customHeight="1" s="184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</row>
    <row r="798" ht="15.75" customHeight="1" s="184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</row>
    <row r="799" ht="15.75" customHeight="1" s="184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</row>
    <row r="800" ht="15.75" customHeight="1" s="184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</row>
    <row r="801" ht="15.75" customHeight="1" s="184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</row>
    <row r="802" ht="15.75" customHeight="1" s="184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</row>
    <row r="803" ht="15.75" customHeight="1" s="184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</row>
    <row r="804" ht="15.75" customHeight="1" s="18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</row>
    <row r="805" ht="15.75" customHeight="1" s="184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</row>
    <row r="806" ht="15.75" customHeight="1" s="184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</row>
    <row r="807" ht="15.75" customHeight="1" s="184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</row>
    <row r="808" ht="15.75" customHeight="1" s="184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</row>
    <row r="809" ht="15.75" customHeight="1" s="184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</row>
    <row r="810" ht="15.75" customHeight="1" s="184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</row>
    <row r="811" ht="15.75" customHeight="1" s="184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</row>
    <row r="812" ht="15.75" customHeight="1" s="184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</row>
    <row r="813" ht="15.75" customHeight="1" s="184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</row>
    <row r="814" ht="15.75" customHeight="1" s="18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</row>
    <row r="815" ht="15.75" customHeight="1" s="184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</row>
    <row r="816" ht="15.75" customHeight="1" s="184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</row>
    <row r="817" ht="15.75" customHeight="1" s="184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</row>
    <row r="818" ht="15.75" customHeight="1" s="184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</row>
    <row r="819" ht="15.75" customHeight="1" s="184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</row>
    <row r="820" ht="15.75" customHeight="1" s="184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</row>
    <row r="821" ht="15.75" customHeight="1" s="184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</row>
    <row r="822" ht="15.75" customHeight="1" s="184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</row>
    <row r="823" ht="15.75" customHeight="1" s="184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</row>
    <row r="824" ht="15.75" customHeight="1" s="18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</row>
    <row r="825" ht="15.75" customHeight="1" s="184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</row>
    <row r="826" ht="15.75" customHeight="1" s="184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</row>
    <row r="827" ht="15.75" customHeight="1" s="184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</row>
    <row r="828" ht="15.75" customHeight="1" s="184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</row>
    <row r="829" ht="15.75" customHeight="1" s="184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</row>
    <row r="830" ht="15.75" customHeight="1" s="184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</row>
    <row r="831" ht="15.75" customHeight="1" s="184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</row>
    <row r="832" ht="15.75" customHeight="1" s="184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</row>
    <row r="833" ht="15.75" customHeight="1" s="184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</row>
    <row r="834" ht="15.75" customHeight="1" s="18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</row>
    <row r="835" ht="15.75" customHeight="1" s="184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</row>
    <row r="836" ht="15.75" customHeight="1" s="184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</row>
    <row r="837" ht="15.75" customHeight="1" s="184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</row>
    <row r="838" ht="15.75" customHeight="1" s="184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</row>
    <row r="839" ht="15.75" customHeight="1" s="184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</row>
    <row r="840" ht="15.75" customHeight="1" s="184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</row>
    <row r="841" ht="15.75" customHeight="1" s="184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</row>
    <row r="842" ht="15.75" customHeight="1" s="184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</row>
    <row r="843" ht="15.75" customHeight="1" s="184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</row>
    <row r="844" ht="15.75" customHeight="1" s="18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</row>
    <row r="845" ht="15.75" customHeight="1" s="184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</row>
    <row r="846" ht="15.75" customHeight="1" s="184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</row>
    <row r="847" ht="15.75" customHeight="1" s="184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</row>
    <row r="848" ht="15.75" customHeight="1" s="184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</row>
    <row r="849" ht="15.75" customHeight="1" s="184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</row>
    <row r="850" ht="15.75" customHeight="1" s="184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</row>
    <row r="851" ht="15.75" customHeight="1" s="184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</row>
    <row r="852" ht="15.75" customHeight="1" s="184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</row>
    <row r="853" ht="15.75" customHeight="1" s="184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</row>
    <row r="854" ht="15.75" customHeight="1" s="18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</row>
    <row r="855" ht="15.75" customHeight="1" s="184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</row>
    <row r="856" ht="15.75" customHeight="1" s="184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</row>
    <row r="857" ht="15.75" customHeight="1" s="184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</row>
    <row r="858" ht="15.75" customHeight="1" s="184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</row>
    <row r="859" ht="15.75" customHeight="1" s="184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</row>
    <row r="860" ht="15.75" customHeight="1" s="184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</row>
    <row r="861" ht="15.75" customHeight="1" s="184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</row>
    <row r="862" ht="15.75" customHeight="1" s="184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</row>
    <row r="863" ht="15.75" customHeight="1" s="184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</row>
    <row r="864" ht="15.75" customHeight="1" s="18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</row>
    <row r="865" ht="15.75" customHeight="1" s="184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</row>
    <row r="866" ht="15.75" customHeight="1" s="184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</row>
    <row r="867" ht="15.75" customHeight="1" s="184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</row>
    <row r="868" ht="15.75" customHeight="1" s="184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</row>
    <row r="869" ht="15.75" customHeight="1" s="184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</row>
    <row r="870" ht="15.75" customHeight="1" s="184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</row>
    <row r="871" ht="15.75" customHeight="1" s="184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</row>
    <row r="872" ht="15.75" customHeight="1" s="184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</row>
    <row r="873" ht="15.75" customHeight="1" s="184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</row>
    <row r="874" ht="15.75" customHeight="1" s="18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</row>
    <row r="875" ht="15.75" customHeight="1" s="184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</row>
    <row r="876" ht="15.75" customHeight="1" s="184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</row>
    <row r="877" ht="15.75" customHeight="1" s="184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</row>
    <row r="878" ht="15.75" customHeight="1" s="184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</row>
    <row r="879" ht="15.75" customHeight="1" s="184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</row>
    <row r="880" ht="15.75" customHeight="1" s="184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</row>
    <row r="881" ht="15.75" customHeight="1" s="184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</row>
    <row r="882" ht="15.75" customHeight="1" s="184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</row>
    <row r="883" ht="15.75" customHeight="1" s="184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</row>
    <row r="884" ht="15.75" customHeight="1" s="1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</row>
    <row r="885" ht="15.75" customHeight="1" s="184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</row>
    <row r="886" ht="15.75" customHeight="1" s="184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</row>
    <row r="887" ht="15.75" customHeight="1" s="184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</row>
    <row r="888" ht="15.75" customHeight="1" s="184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</row>
    <row r="889" ht="15.75" customHeight="1" s="184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</row>
    <row r="890" ht="15.75" customHeight="1" s="184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</row>
    <row r="891" ht="15.75" customHeight="1" s="184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</row>
    <row r="892" ht="15.75" customHeight="1" s="184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</row>
    <row r="893" ht="15.75" customHeight="1" s="184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</row>
    <row r="894" ht="15.75" customHeight="1" s="18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</row>
    <row r="895" ht="15.75" customHeight="1" s="184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</row>
    <row r="896" ht="15.75" customHeight="1" s="184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</row>
    <row r="897" ht="15.75" customHeight="1" s="184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</row>
    <row r="898" ht="15.75" customHeight="1" s="184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</row>
    <row r="899" ht="15.75" customHeight="1" s="184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</row>
    <row r="900" ht="15.75" customHeight="1" s="184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</row>
    <row r="901" ht="15.75" customHeight="1" s="184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</row>
    <row r="902" ht="15.75" customHeight="1" s="184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</row>
    <row r="903" ht="15.75" customHeight="1" s="184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</row>
    <row r="904" ht="15.75" customHeight="1" s="18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</row>
    <row r="905" ht="15.75" customHeight="1" s="184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</row>
    <row r="906" ht="15.75" customHeight="1" s="184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</row>
    <row r="907" ht="15.75" customHeight="1" s="184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</row>
    <row r="908" ht="15.75" customHeight="1" s="184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</row>
    <row r="909" ht="15.75" customHeight="1" s="184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</row>
    <row r="910" ht="15.75" customHeight="1" s="184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</row>
    <row r="911" ht="15.75" customHeight="1" s="184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</row>
    <row r="912" ht="15.75" customHeight="1" s="184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</row>
    <row r="913" ht="15.75" customHeight="1" s="184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</row>
    <row r="914" ht="15.75" customHeight="1" s="18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</row>
    <row r="915" ht="15.75" customHeight="1" s="184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</row>
    <row r="916" ht="15.75" customHeight="1" s="184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</row>
    <row r="917" ht="15.75" customHeight="1" s="184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</row>
    <row r="918" ht="15.75" customHeight="1" s="184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</row>
    <row r="919" ht="15.75" customHeight="1" s="184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</row>
    <row r="920" ht="15.75" customHeight="1" s="184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</row>
    <row r="921" ht="15.75" customHeight="1" s="184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</row>
    <row r="922" ht="15.75" customHeight="1" s="184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</row>
    <row r="923" ht="15.75" customHeight="1" s="184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</row>
    <row r="924" ht="15.75" customHeight="1" s="18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</row>
    <row r="925" ht="15.75" customHeight="1" s="184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</row>
    <row r="926" ht="15.75" customHeight="1" s="184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</row>
    <row r="927" ht="15.75" customHeight="1" s="184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</row>
    <row r="928" ht="15.75" customHeight="1" s="184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</row>
    <row r="929" ht="15.75" customHeight="1" s="184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</row>
    <row r="930" ht="15.75" customHeight="1" s="184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</row>
    <row r="931" ht="15.75" customHeight="1" s="184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</row>
    <row r="932" ht="15.75" customHeight="1" s="184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</row>
    <row r="933" ht="15.75" customHeight="1" s="184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</row>
    <row r="934" ht="15.75" customHeight="1" s="18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</row>
    <row r="935" ht="15.75" customHeight="1" s="184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</row>
    <row r="936" ht="15.75" customHeight="1" s="184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</row>
    <row r="937" ht="15.75" customHeight="1" s="184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</row>
    <row r="938" ht="15.75" customHeight="1" s="184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</row>
    <row r="939" ht="15.75" customHeight="1" s="184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</row>
    <row r="940" ht="15.75" customHeight="1" s="184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</row>
    <row r="941" ht="15.75" customHeight="1" s="184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</row>
    <row r="942" ht="15.75" customHeight="1" s="184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</row>
    <row r="943" ht="15.75" customHeight="1" s="184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</row>
    <row r="944" ht="15.75" customHeight="1" s="18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</row>
    <row r="945" ht="15.75" customHeight="1" s="184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</row>
    <row r="946" ht="15.75" customHeight="1" s="184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</row>
    <row r="947" ht="15.75" customHeight="1" s="184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</row>
    <row r="948" ht="15.75" customHeight="1" s="184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</row>
    <row r="949" ht="15.75" customHeight="1" s="184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</row>
    <row r="950" ht="15.75" customHeight="1" s="184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</row>
    <row r="951" ht="15.75" customHeight="1" s="184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</row>
    <row r="952" ht="15.75" customHeight="1" s="184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</row>
    <row r="953" ht="15.75" customHeight="1" s="184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</row>
    <row r="954" ht="15.75" customHeight="1" s="18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</row>
    <row r="955" ht="15.75" customHeight="1" s="184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</row>
    <row r="956" ht="15.75" customHeight="1" s="184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</row>
    <row r="957" ht="15.75" customHeight="1" s="184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</row>
    <row r="958" ht="15.75" customHeight="1" s="184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</row>
    <row r="959" ht="15.75" customHeight="1" s="184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</row>
    <row r="960" ht="15.75" customHeight="1" s="184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</row>
    <row r="961" ht="15.75" customHeight="1" s="184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</row>
    <row r="962" ht="15.75" customHeight="1" s="184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</row>
    <row r="963" ht="15.75" customHeight="1" s="184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</row>
    <row r="964" ht="15.75" customHeight="1" s="18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</row>
    <row r="965" ht="15.75" customHeight="1" s="184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</row>
    <row r="966" ht="15.75" customHeight="1" s="184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</row>
    <row r="967" ht="15.75" customHeight="1" s="184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</row>
    <row r="968" ht="15.75" customHeight="1" s="184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</row>
    <row r="969" ht="15.75" customHeight="1" s="184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</row>
    <row r="970" ht="15.75" customHeight="1" s="184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</row>
    <row r="971" ht="15.75" customHeight="1" s="184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</row>
    <row r="972" ht="15.75" customHeight="1" s="184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</row>
    <row r="973" ht="15.75" customHeight="1" s="184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</row>
    <row r="974" ht="15.75" customHeight="1" s="18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</row>
    <row r="975" ht="15.75" customHeight="1" s="184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</row>
    <row r="976" ht="15.75" customHeight="1" s="184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</row>
    <row r="977" ht="15.75" customHeight="1" s="184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</row>
    <row r="978" ht="15.75" customHeight="1" s="184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</row>
    <row r="979" ht="15.75" customHeight="1" s="184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</row>
    <row r="980" ht="15.75" customHeight="1" s="184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</row>
    <row r="981" ht="15.75" customHeight="1" s="184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</row>
    <row r="982" ht="15.75" customHeight="1" s="184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</row>
    <row r="983" ht="15.75" customHeight="1" s="184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</row>
    <row r="984" ht="15.75" customHeight="1" s="1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</row>
    <row r="985" ht="15.75" customHeight="1" s="184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</row>
    <row r="986" ht="15.75" customHeight="1" s="184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</row>
    <row r="987" ht="15.75" customHeight="1" s="184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</row>
    <row r="988" ht="15.75" customHeight="1" s="184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</row>
    <row r="989" ht="15.75" customHeight="1" s="184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</row>
    <row r="990" ht="15.75" customHeight="1" s="184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</row>
    <row r="991" ht="15.75" customHeight="1" s="184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</row>
    <row r="992" ht="15.75" customHeight="1" s="184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</row>
    <row r="993" ht="15.75" customHeight="1" s="184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</row>
    <row r="994" ht="15.75" customHeight="1" s="18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</row>
    <row r="995" ht="15.75" customHeight="1" s="184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</row>
    <row r="996" ht="15.75" customHeight="1" s="184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</row>
    <row r="997" ht="15.75" customHeight="1" s="184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</row>
    <row r="998" ht="15.75" customHeight="1" s="184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</row>
    <row r="999" ht="15.75" customHeight="1" s="184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</row>
    <row r="1000" ht="15.75" customHeight="1" s="184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</row>
  </sheetData>
  <autoFilter ref="$A$3:$L$277"/>
  <mergeCells count="1">
    <mergeCell ref="A1:L1"/>
  </mergeCells>
  <conditionalFormatting sqref="E1:E1000">
    <cfRule type="containsText" priority="1" operator="containsText" dxfId="3" text="Sell / Redeem">
      <formula>NOT(ISERROR(SEARCH(("Sell / Redeem"),(E1))))</formula>
    </cfRule>
    <cfRule type="containsText" priority="2" operator="containsText" dxfId="4" text="Buy / Invest">
      <formula>NOT(ISERROR(SEARCH(("Buy / Invest"),(E1))))</formula>
    </cfRule>
  </conditionalFormatting>
  <conditionalFormatting sqref="C1:C1000 D2:E2">
    <cfRule type="containsText" priority="3" operator="containsText" dxfId="0" text="Crypto">
      <formula>NOT(ISERROR(SEARCH(("Crypto"),(C1))))</formula>
    </cfRule>
    <cfRule type="containsText" priority="4" operator="containsText" dxfId="1" text="Shares MF">
      <formula>NOT(ISERROR(SEARCH(("Shares MF"),(C1))))</formula>
    </cfRule>
  </conditionalFormatting>
  <dataValidations count="3">
    <dataValidation sqref="E4:E492" showDropDown="0" showInputMessage="0" showErrorMessage="0" allowBlank="1" type="list">
      <formula1>"Buy / Invest,Sell / Redeem,Transfer In,Transfer Out,Airdrop / Mining"</formula1>
    </dataValidation>
    <dataValidation sqref="C4:C492" showDropDown="0" showInputMessage="0" showErrorMessage="0" allowBlank="1" type="list">
      <formula1>"Crypto,Shares MF"</formula1>
    </dataValidation>
    <dataValidation sqref="D4:D492" showDropDown="0" showInputMessage="0" showErrorMessage="0" allowBlank="1" type="list">
      <formula1>SETTINGS!$H$3:$H$12</formula1>
    </dataValidation>
  </dataValidations>
  <pageMargins left="0.75" right="0.75" top="1" bottom="1" header="0" footer="0"/>
  <pageSetup orientation="portrait" paperSize="9"/>
</worksheet>
</file>

<file path=xl/worksheets/sheet9.xml><?xml version="1.0" encoding="utf-8"?>
<worksheet xmlns="http://schemas.openxmlformats.org/spreadsheetml/2006/main">
  <sheetPr>
    <tabColor rgb="FF546E7A"/>
    <outlinePr summaryBelow="1" summaryRight="1"/>
    <pageSetUpPr/>
  </sheetPr>
  <dimension ref="A1:L1000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32.29" customWidth="1" style="184" min="1" max="1"/>
    <col width="57.71" customWidth="1" style="184" min="2" max="2"/>
    <col width="80.56999999999999" customWidth="1" style="184" min="3" max="3"/>
    <col width="15.57" customWidth="1" style="184" min="4" max="4"/>
    <col width="8.710000000000001" customWidth="1" style="184" min="5" max="5"/>
    <col width="17.71" customWidth="1" style="184" min="6" max="6"/>
    <col width="12" customWidth="1" style="184" min="7" max="7"/>
    <col width="26.29" customWidth="1" style="184" min="8" max="8"/>
    <col width="19.29" customWidth="1" style="184" min="9" max="9"/>
    <col width="14.86" customWidth="1" style="184" min="11" max="11"/>
  </cols>
  <sheetData>
    <row r="1" ht="15" customHeight="1" s="184">
      <c r="A1" s="170" t="inlineStr">
        <is>
          <t>⚙️ SETTINGS &amp; REFERENCE DATA — Do not change rows 3 onwards unless needed</t>
        </is>
      </c>
      <c r="E1" s="170" t="n"/>
      <c r="F1" s="170" t="n"/>
      <c r="G1" s="170" t="n"/>
      <c r="H1" s="170" t="n"/>
      <c r="I1" s="170" t="n"/>
      <c r="J1" s="170" t="n"/>
      <c r="K1" s="170" t="n"/>
      <c r="L1" s="5" t="n"/>
    </row>
    <row r="2" ht="15" customHeight="1" s="184">
      <c r="A2" s="171" t="inlineStr">
        <is>
          <t>EXPENSE CATEGORIES</t>
        </is>
      </c>
      <c r="B2" s="172" t="inlineStr">
        <is>
          <t>EXPENSE KEYS REFERENCE</t>
        </is>
      </c>
      <c r="C2" s="173" t="inlineStr">
        <is>
          <t>INCOME CATEGORIES</t>
        </is>
      </c>
      <c r="D2" s="174" t="inlineStr">
        <is>
          <t>ACCOUNT TYPES</t>
        </is>
      </c>
      <c r="E2" s="11" t="n"/>
      <c r="F2" s="175" t="inlineStr">
        <is>
          <t>TRANSACTION TYPES</t>
        </is>
      </c>
      <c r="G2" s="176" t="inlineStr">
        <is>
          <t>Type</t>
        </is>
      </c>
      <c r="H2" s="176" t="inlineStr">
        <is>
          <t>CRYPTO ASSETS</t>
        </is>
      </c>
      <c r="I2" s="176" t="inlineStr">
        <is>
          <t>Codes</t>
        </is>
      </c>
      <c r="J2" s="176" t="inlineStr">
        <is>
          <t>Current Price (INR)</t>
        </is>
      </c>
      <c r="K2" s="176" t="inlineStr">
        <is>
          <t>Current Price (USD)</t>
        </is>
      </c>
      <c r="L2" s="5" t="n"/>
    </row>
    <row r="3" ht="15" customHeight="1" s="184">
      <c r="A3" s="177" t="inlineStr">
        <is>
          <t>Bills &amp; Utilities</t>
        </is>
      </c>
      <c r="B3" s="178" t="inlineStr">
        <is>
          <t>Electricity Bill, Water Bill, Broadband, Mobile Recharge, DTH</t>
        </is>
      </c>
      <c r="C3" s="177" t="inlineStr">
        <is>
          <t>Job / Salary</t>
        </is>
      </c>
      <c r="D3" s="177" t="inlineStr">
        <is>
          <t>Personal SBI (Saving)</t>
        </is>
      </c>
      <c r="E3" s="11" t="n"/>
      <c r="F3" s="179" t="n"/>
      <c r="G3" s="130" t="inlineStr">
        <is>
          <t>Crypto</t>
        </is>
      </c>
      <c r="H3" s="179" t="inlineStr">
        <is>
          <t>Bitcoin (BTC)</t>
        </is>
      </c>
      <c r="I3" s="179" t="inlineStr">
        <is>
          <t>Bitcoin</t>
        </is>
      </c>
      <c r="J3" s="180">
        <f>IFERROR(__xludf.DUMMYFUNCTION("GOOGLEFINANCE(""Currency:USDINR"")*K3"),7385223.728485001)</f>
        <v/>
      </c>
      <c r="K3" s="180">
        <f>IFERROR(__xludf.DUMMYFUNCTION("GOOGLEFINANCE(""BTCUSD"")"),77287.27)</f>
        <v/>
      </c>
      <c r="L3" s="5" t="n"/>
    </row>
    <row r="4" ht="15" customHeight="1" s="184">
      <c r="A4" s="181" t="inlineStr">
        <is>
          <t>Childcare &amp; Baby Needs</t>
        </is>
      </c>
      <c r="B4" s="178" t="inlineStr">
        <is>
          <t>Diapers, Baby Food, Toys, School Stationery</t>
        </is>
      </c>
      <c r="C4" s="181" t="inlineStr">
        <is>
          <t>Side Income</t>
        </is>
      </c>
      <c r="D4" s="181" t="inlineStr">
        <is>
          <t>SBI FD</t>
        </is>
      </c>
      <c r="E4" s="11" t="n"/>
      <c r="F4" s="182" t="n"/>
      <c r="G4" s="130" t="inlineStr">
        <is>
          <t>Crypto</t>
        </is>
      </c>
      <c r="H4" s="182" t="inlineStr">
        <is>
          <t>Ethereum (ETH)</t>
        </is>
      </c>
      <c r="I4" s="182" t="inlineStr">
        <is>
          <t>Ethereum</t>
        </is>
      </c>
      <c r="J4" s="180">
        <f>IFERROR(__xludf.DUMMYFUNCTION("GOOGLEFINANCE(""Currency:USDINR"")*K4"),241971.1219857)</f>
        <v/>
      </c>
      <c r="K4" s="180">
        <f>IFERROR(__xludf.DUMMYFUNCTION("GOOGLEFINANCE(""ETHUSD"")"),2532.2574)</f>
        <v/>
      </c>
      <c r="L4" s="5" t="n"/>
    </row>
    <row r="5" ht="15" customHeight="1" s="184">
      <c r="A5" s="177" t="inlineStr">
        <is>
          <t>Commute</t>
        </is>
      </c>
      <c r="B5" s="178" t="inlineStr">
        <is>
          <t>Metro, Bus, Auto-rickshaw, Train, Ola/Uber, Fuel for commute</t>
        </is>
      </c>
      <c r="C5" s="177" t="inlineStr">
        <is>
          <t>Expense Money</t>
        </is>
      </c>
      <c r="D5" s="181" t="inlineStr">
        <is>
          <t>Kotak Bank</t>
        </is>
      </c>
      <c r="E5" s="11" t="n"/>
      <c r="F5" s="179" t="n"/>
      <c r="G5" s="130" t="inlineStr">
        <is>
          <t>Crypto</t>
        </is>
      </c>
      <c r="H5" s="179" t="inlineStr">
        <is>
          <t>Solana (SOL)</t>
        </is>
      </c>
      <c r="I5" s="179" t="inlineStr">
        <is>
          <t>Cardano</t>
        </is>
      </c>
      <c r="J5" s="180">
        <f>IFERROR(__xludf.DUMMYFUNCTION("GOOGLEFINANCE(""Currency:USDINR"")*K5"),9746.183222500002)</f>
        <v/>
      </c>
      <c r="K5" s="180">
        <f>IFERROR(__xludf.DUMMYFUNCTION("VALUE(
 REGEXEXTRACT(
  IMPORTDATA(""https://api.coinbase.com/v2/prices/SOL-USD/spot""),
  """"""amount"""":""""([0-9.]+)""""""
 )
)
"),101.995)</f>
        <v/>
      </c>
      <c r="L5" s="5" t="n"/>
    </row>
    <row r="6" ht="15" customHeight="1" s="184">
      <c r="A6" s="181" t="inlineStr">
        <is>
          <t>Education</t>
        </is>
      </c>
      <c r="B6" s="178" t="inlineStr">
        <is>
          <t>School Fees, College Tuition, Coaching Classes, Online Courses</t>
        </is>
      </c>
      <c r="C6" s="181" t="inlineStr">
        <is>
          <t>Freelance</t>
        </is>
      </c>
      <c r="D6" s="177" t="inlineStr">
        <is>
          <t>Other Bank</t>
        </is>
      </c>
      <c r="E6" s="11" t="n"/>
      <c r="F6" s="182" t="n"/>
      <c r="G6" s="130" t="inlineStr">
        <is>
          <t>Crypto</t>
        </is>
      </c>
      <c r="H6" s="182" t="inlineStr">
        <is>
          <t>Cardano (ADA)</t>
        </is>
      </c>
      <c r="I6" s="182" t="inlineStr">
        <is>
          <t>Solana</t>
        </is>
      </c>
      <c r="J6" s="180">
        <f>IFERROR(__xludf.DUMMYFUNCTION("GOOGLEFINANCE(""Currency:USDINR"")*K6"),19.963932837500003)</f>
        <v/>
      </c>
      <c r="K6" s="180">
        <f>IFERROR(__xludf.DUMMYFUNCTION("VALUE(
 REGEXEXTRACT(
  IMPORTDATA(""https://api.coinbase.com/v2/prices/ADA-USD/spot""),
  """"""amount"""":""""([0-9.]+)""""""
 )
)
"),0.208925)</f>
        <v/>
      </c>
      <c r="L6" s="5" t="n"/>
    </row>
    <row r="7" ht="15" customHeight="1" s="184">
      <c r="A7" s="177" t="inlineStr">
        <is>
          <t>Electronics &amp; Gadgets</t>
        </is>
      </c>
      <c r="B7" s="178" t="inlineStr">
        <is>
          <t>Mobile Phones, Laptops, Smartwatches, Earphones</t>
        </is>
      </c>
      <c r="C7" s="177" t="inlineStr">
        <is>
          <t>Rental Income</t>
        </is>
      </c>
      <c r="D7" s="5" t="n"/>
      <c r="E7" s="11" t="n"/>
      <c r="F7" s="179" t="n"/>
      <c r="G7" s="130" t="inlineStr">
        <is>
          <t>Crypto</t>
        </is>
      </c>
      <c r="H7" s="182" t="inlineStr">
        <is>
          <t>sBitcoin</t>
        </is>
      </c>
      <c r="I7" s="182" t="inlineStr">
        <is>
          <t>sBitcoin</t>
        </is>
      </c>
      <c r="J7" s="180">
        <f>IFERROR(__xludf.DUMMYFUNCTION("GOOGLEFINANCE(""Currency:USDINR"")*K7"),7385223.728485001)</f>
        <v/>
      </c>
      <c r="K7" s="180">
        <f>IFERROR(__xludf.DUMMYFUNCTION("GOOGLEFINANCE(""BTCUSD"")"),77287.27)</f>
        <v/>
      </c>
      <c r="L7" s="5" t="n"/>
    </row>
    <row r="8" ht="15" customHeight="1" s="184">
      <c r="A8" s="181" t="inlineStr">
        <is>
          <t>Entertainment</t>
        </is>
      </c>
      <c r="B8" s="178" t="inlineStr">
        <is>
          <t>Movies, Concerts, Video Games, Online Streaming, Events</t>
        </is>
      </c>
      <c r="C8" s="181" t="inlineStr">
        <is>
          <t>Interest</t>
        </is>
      </c>
      <c r="D8" s="11" t="n"/>
      <c r="E8" s="11" t="n"/>
      <c r="F8" s="11" t="n"/>
      <c r="G8" s="137" t="inlineStr">
        <is>
          <t>Shares &amp; MF</t>
        </is>
      </c>
      <c r="H8" s="179" t="inlineStr">
        <is>
          <t>SBI Savings Fund Direct Plan Growth</t>
        </is>
      </c>
      <c r="I8" s="179" t="inlineStr">
        <is>
          <t>SBI_SAVI_DIR_1KP6Q5V</t>
        </is>
      </c>
      <c r="J8" s="180">
        <f>IFERROR(__xludf.DUMMYFUNCTION("GOOGLEFINANCE(I8)"),48.03)</f>
        <v/>
      </c>
      <c r="K8" s="180" t="n"/>
      <c r="L8" s="5" t="n"/>
    </row>
    <row r="9" ht="15" customHeight="1" s="184">
      <c r="A9" s="177" t="inlineStr">
        <is>
          <t>Familly</t>
        </is>
      </c>
      <c r="B9" s="178" t="inlineStr">
        <is>
          <t>Parents' Allowance, Kids' School Fees, Household Help Salary</t>
        </is>
      </c>
      <c r="C9" s="177" t="inlineStr">
        <is>
          <t>Other</t>
        </is>
      </c>
      <c r="D9" s="11" t="n"/>
      <c r="E9" s="11" t="n"/>
      <c r="F9" s="11" t="n"/>
      <c r="G9" s="137" t="inlineStr">
        <is>
          <t>Shares &amp; MF</t>
        </is>
      </c>
      <c r="H9" s="182" t="inlineStr">
        <is>
          <t>SBI Gold Direct Plan Growth</t>
        </is>
      </c>
      <c r="I9" s="183" t="inlineStr">
        <is>
          <t xml:space="preserve">SBI_GOLD_DIR_1HYVO74
</t>
        </is>
      </c>
      <c r="J9" s="180">
        <f>IFERROR(__xludf.DUMMYFUNCTION("GOOGLEFINANCE(I9)"),46.2)</f>
        <v/>
      </c>
      <c r="K9" s="180" t="n"/>
      <c r="L9" s="5" t="n"/>
    </row>
    <row r="10" ht="15" customHeight="1" s="184">
      <c r="A10" s="181" t="inlineStr">
        <is>
          <t>Fitness</t>
        </is>
      </c>
      <c r="B10" s="178" t="inlineStr">
        <is>
          <t>Gym Membership, Yoga Classes, Sports Equipment, Protein Powder</t>
        </is>
      </c>
      <c r="C10" s="11" t="n"/>
      <c r="D10" s="11" t="n"/>
      <c r="E10" s="11" t="n"/>
      <c r="F10" s="11" t="n"/>
      <c r="G10" s="137" t="inlineStr">
        <is>
          <t>Shares &amp; MF</t>
        </is>
      </c>
      <c r="H10" s="179" t="inlineStr">
        <is>
          <t>SBI Silver ETF FoF Direct Growth</t>
        </is>
      </c>
      <c r="I10" s="179" t="inlineStr">
        <is>
          <t>SBI_SILV_ETF_KWJODO</t>
        </is>
      </c>
      <c r="J10" s="180">
        <f>IFERROR(__xludf.DUMMYFUNCTION("GOOGLEFINANCE(I10)"),24.17)</f>
        <v/>
      </c>
      <c r="K10" s="180" t="n"/>
      <c r="L10" s="5" t="n"/>
    </row>
    <row r="11" ht="15" customHeight="1" s="184">
      <c r="A11" s="177" t="inlineStr">
        <is>
          <t>Snacks &amp; Quick Bites</t>
        </is>
      </c>
      <c r="B11" s="178" t="inlineStr">
        <is>
          <t>Office tea/coffee, Small breaks, Bakery items, Juice, chips, biscuits</t>
        </is>
      </c>
      <c r="C11" s="11" t="n"/>
      <c r="D11" s="11" t="n"/>
      <c r="E11" s="11" t="n"/>
      <c r="F11" s="11" t="n"/>
      <c r="G11" s="5" t="n"/>
      <c r="H11" s="5" t="n"/>
      <c r="I11" s="5" t="n"/>
      <c r="K11" s="5" t="n"/>
      <c r="L11" s="5" t="n"/>
    </row>
    <row r="12" ht="15" customHeight="1" s="184">
      <c r="A12" s="181" t="inlineStr">
        <is>
          <t>Fuel</t>
        </is>
      </c>
      <c r="B12" s="178" t="inlineStr">
        <is>
          <t>Petrol, Diesel, CNG, Electric Charging Stations</t>
        </is>
      </c>
      <c r="C12" s="11" t="n"/>
      <c r="D12" s="11" t="n"/>
      <c r="E12" s="11" t="n"/>
      <c r="F12" s="11" t="n"/>
      <c r="G12" s="11" t="n"/>
      <c r="H12" s="11" t="n"/>
      <c r="I12" s="5" t="n"/>
      <c r="K12" s="5" t="n"/>
      <c r="L12" s="5" t="n"/>
    </row>
    <row r="13" ht="15" customHeight="1" s="184">
      <c r="A13" s="177" t="inlineStr">
        <is>
          <t>Gifts</t>
        </is>
      </c>
      <c r="B13" s="178" t="inlineStr">
        <is>
          <t>Birthday Gifts, Anniversary Gifts, Festival Gifts, Wedding Gifts, Gifts for Friends</t>
        </is>
      </c>
      <c r="C13" s="11" t="n"/>
      <c r="D13" s="11" t="n"/>
      <c r="E13" s="11" t="n"/>
      <c r="F13" s="11" t="n"/>
      <c r="G13" s="11" t="n"/>
      <c r="H13" s="11" t="n"/>
      <c r="I13" s="5" t="n"/>
      <c r="K13" s="5" t="n"/>
      <c r="L13" s="5" t="n"/>
    </row>
    <row r="14" ht="15" customHeight="1" s="184">
      <c r="A14" s="181" t="inlineStr">
        <is>
          <t>Groceries</t>
        </is>
      </c>
      <c r="B14" s="178" t="inlineStr">
        <is>
          <t>Vegetables, Fruits, Dairy, Meat, Frozen Food, Spices, Staples</t>
        </is>
      </c>
      <c r="C14" s="11" t="n"/>
      <c r="D14" s="11" t="n"/>
      <c r="E14" s="11" t="n"/>
      <c r="F14" s="11" t="n"/>
      <c r="G14" s="11" t="n"/>
      <c r="H14" s="11" t="n"/>
      <c r="I14" s="5" t="n"/>
      <c r="K14" s="5" t="n"/>
      <c r="L14" s="5" t="n"/>
    </row>
    <row r="15" ht="15" customHeight="1" s="184">
      <c r="A15" s="177" t="inlineStr">
        <is>
          <t>HouseHold</t>
        </is>
      </c>
      <c r="B15" s="178" t="inlineStr">
        <is>
          <t>Furniture, Cleaning Supplies, Kitchen Appliances, Home Decor</t>
        </is>
      </c>
      <c r="C15" s="11" t="n"/>
      <c r="D15" s="11" t="n"/>
      <c r="E15" s="11" t="n"/>
      <c r="F15" s="11" t="n"/>
      <c r="G15" s="11" t="n"/>
      <c r="H15" s="11" t="n"/>
      <c r="I15" s="5" t="n"/>
      <c r="K15" s="5" t="n"/>
      <c r="L15" s="5" t="n"/>
    </row>
    <row r="16" ht="15" customHeight="1" s="184">
      <c r="A16" s="181" t="inlineStr">
        <is>
          <t>Insurance</t>
        </is>
      </c>
      <c r="B16" s="178" t="inlineStr">
        <is>
          <t>Life Insurance, Health Insurance, Vehicle Insurance, Term Plans</t>
        </is>
      </c>
      <c r="C16" s="11" t="n"/>
      <c r="D16" s="11" t="n"/>
      <c r="E16" s="11" t="n"/>
      <c r="F16" s="11" t="n"/>
      <c r="G16" s="11" t="n"/>
      <c r="H16" s="11" t="n"/>
      <c r="I16" s="5" t="n"/>
      <c r="K16" s="5" t="n"/>
      <c r="L16" s="5" t="n"/>
    </row>
    <row r="17" ht="15" customHeight="1" s="184">
      <c r="A17" s="177" t="inlineStr">
        <is>
          <t>Investments</t>
        </is>
      </c>
      <c r="B17" s="178" t="inlineStr">
        <is>
          <t>Stocks, Mutual Funds, Bonds, Real Estate, Gold, Cryptocurrencies</t>
        </is>
      </c>
      <c r="C17" s="11" t="n"/>
      <c r="D17" s="11" t="n"/>
      <c r="E17" s="11" t="n"/>
      <c r="F17" s="11" t="n"/>
      <c r="G17" s="11" t="n"/>
      <c r="H17" s="11" t="n"/>
      <c r="I17" s="5" t="n"/>
      <c r="K17" s="5" t="n"/>
      <c r="L17" s="5" t="n"/>
    </row>
    <row r="18" ht="15" customHeight="1" s="184">
      <c r="A18" s="181" t="inlineStr">
        <is>
          <t>Loans Given &amp; Taken</t>
        </is>
      </c>
      <c r="B18" s="178" t="inlineStr">
        <is>
          <t>Borrowing from Friends, Lending to Family, Interest on Loan</t>
        </is>
      </c>
      <c r="C18" s="11" t="n"/>
      <c r="D18" s="11" t="n"/>
      <c r="E18" s="11" t="n"/>
      <c r="F18" s="11" t="n"/>
      <c r="G18" s="11" t="n"/>
      <c r="H18" s="11" t="n"/>
      <c r="I18" s="5" t="n"/>
      <c r="K18" s="5" t="n"/>
      <c r="L18" s="5" t="n"/>
    </row>
    <row r="19" ht="15" customHeight="1" s="184">
      <c r="A19" s="177" t="inlineStr">
        <is>
          <t>Medical</t>
        </is>
      </c>
      <c r="B19" s="178" t="inlineStr">
        <is>
          <t>Medicines, Doctor Consultation, Hospitalization, Surgery</t>
        </is>
      </c>
      <c r="C19" s="11" t="n"/>
      <c r="D19" s="11" t="n"/>
      <c r="E19" s="11" t="n"/>
      <c r="F19" s="11" t="n"/>
      <c r="G19" s="11" t="n"/>
      <c r="H19" s="11" t="n"/>
      <c r="I19" s="5" t="n"/>
      <c r="K19" s="5" t="n"/>
      <c r="L19" s="5" t="n"/>
    </row>
    <row r="20" ht="15" customHeight="1" s="184">
      <c r="A20" s="181" t="inlineStr">
        <is>
          <t>Personal Care</t>
        </is>
      </c>
      <c r="B20" s="178" t="inlineStr">
        <is>
          <t>Haircuts, Skincare, Beauty Products, Grooming Kits, Salon</t>
        </is>
      </c>
      <c r="C20" s="11" t="n"/>
      <c r="D20" s="11" t="n"/>
      <c r="E20" s="11" t="n"/>
      <c r="F20" s="11" t="n"/>
      <c r="G20" s="11" t="n"/>
      <c r="H20" s="11" t="n"/>
      <c r="I20" s="5" t="n"/>
      <c r="K20" s="5" t="n"/>
      <c r="L20" s="5" t="n"/>
    </row>
    <row r="21" ht="15" customHeight="1" s="184">
      <c r="A21" s="177" t="inlineStr">
        <is>
          <t>Rent</t>
        </is>
      </c>
      <c r="B21" s="178" t="inlineStr">
        <is>
          <t>House Rent, Office Rent, Coworking Space Rental</t>
        </is>
      </c>
      <c r="C21" s="11" t="n"/>
      <c r="D21" s="11" t="n"/>
      <c r="E21" s="11" t="n"/>
      <c r="F21" s="11" t="n"/>
      <c r="G21" s="11" t="n"/>
      <c r="H21" s="11" t="n"/>
      <c r="I21" s="5" t="n"/>
      <c r="K21" s="5" t="n"/>
      <c r="L21" s="5" t="n"/>
    </row>
    <row r="22" ht="15" customHeight="1" s="184">
      <c r="A22" s="181" t="inlineStr">
        <is>
          <t>Repair &amp; Maintenance</t>
        </is>
      </c>
      <c r="B22" s="178" t="inlineStr">
        <is>
          <t>Car Servicing, AC Repair, Plumbing, Electrical Work</t>
        </is>
      </c>
      <c r="C22" s="11" t="n"/>
      <c r="D22" s="11" t="n"/>
      <c r="E22" s="11" t="n"/>
      <c r="F22" s="11" t="n"/>
      <c r="G22" s="11" t="n"/>
      <c r="H22" s="11" t="n"/>
      <c r="I22" s="5" t="n"/>
      <c r="K22" s="5" t="n"/>
      <c r="L22" s="5" t="n"/>
    </row>
    <row r="23" ht="15" customHeight="1" s="184">
      <c r="A23" s="177" t="inlineStr">
        <is>
          <t>Restaurant &amp; Dining Out</t>
        </is>
      </c>
      <c r="B23" s="178" t="inlineStr">
        <is>
          <t>Dining Out, Fast Food, Café, Home Delivery, Street Food</t>
        </is>
      </c>
      <c r="C23" s="11" t="n"/>
      <c r="D23" s="11" t="n"/>
      <c r="E23" s="11" t="n"/>
      <c r="F23" s="11" t="n"/>
      <c r="G23" s="11" t="n"/>
      <c r="H23" s="11" t="n"/>
      <c r="I23" s="5" t="n"/>
      <c r="K23" s="5" t="n"/>
      <c r="L23" s="5" t="n"/>
    </row>
    <row r="24" ht="15" customHeight="1" s="184">
      <c r="A24" s="181" t="inlineStr">
        <is>
          <t>Self Transfers</t>
        </is>
      </c>
      <c r="B24" s="178" t="inlineStr">
        <is>
          <t>Transferring money between personal accounts, FD Deposits</t>
        </is>
      </c>
      <c r="C24" s="11" t="n"/>
      <c r="D24" s="11" t="n"/>
      <c r="E24" s="11" t="n"/>
      <c r="F24" s="11" t="n"/>
      <c r="G24" s="11" t="n"/>
      <c r="H24" s="11" t="n"/>
      <c r="I24" s="5" t="n"/>
      <c r="K24" s="5" t="n"/>
      <c r="L24" s="5" t="n"/>
    </row>
    <row r="25" ht="15" customHeight="1" s="184">
      <c r="A25" s="177" t="inlineStr">
        <is>
          <t>Shopping</t>
        </is>
      </c>
      <c r="B25" s="178" t="inlineStr">
        <is>
          <t>Clothes, Footwear, Accessories, Watches, Jewelry, Handbags</t>
        </is>
      </c>
      <c r="C25" s="11" t="n"/>
      <c r="D25" s="11" t="n"/>
      <c r="E25" s="11" t="n"/>
      <c r="F25" s="11" t="n"/>
      <c r="G25" s="11" t="n"/>
      <c r="H25" s="11" t="n"/>
      <c r="I25" s="5" t="n"/>
      <c r="K25" s="5" t="n"/>
      <c r="L25" s="5" t="n"/>
    </row>
    <row r="26" ht="15" customHeight="1" s="184">
      <c r="A26" s="181" t="inlineStr">
        <is>
          <t>Subscriptions &amp; Memberships</t>
        </is>
      </c>
      <c r="B26" s="178" t="inlineStr">
        <is>
          <t>Netflix, Spotify, Gym Membership, Magazines</t>
        </is>
      </c>
      <c r="C26" s="11" t="n"/>
      <c r="D26" s="11" t="n"/>
      <c r="E26" s="11" t="n"/>
      <c r="F26" s="11" t="n"/>
      <c r="G26" s="11" t="n"/>
      <c r="H26" s="11" t="n"/>
      <c r="I26" s="5" t="n"/>
      <c r="K26" s="5" t="n"/>
      <c r="L26" s="5" t="n"/>
    </row>
    <row r="27" ht="15" customHeight="1" s="184">
      <c r="A27" s="177" t="inlineStr">
        <is>
          <t>Travel</t>
        </is>
      </c>
      <c r="B27" s="178" t="inlineStr">
        <is>
          <t>Flight Tickets, Hotel Stays, Sightseeing, Rental Cars, Visa Fees</t>
        </is>
      </c>
      <c r="C27" s="11" t="n"/>
      <c r="D27" s="11" t="n"/>
      <c r="E27" s="11" t="n"/>
      <c r="F27" s="11" t="n"/>
      <c r="G27" s="11" t="n"/>
      <c r="H27" s="11" t="n"/>
      <c r="I27" s="5" t="n"/>
      <c r="K27" s="5" t="n"/>
      <c r="L27" s="5" t="n"/>
    </row>
    <row r="28" ht="15" customHeight="1" s="184">
      <c r="A28" s="181" t="inlineStr">
        <is>
          <t>Fines &amp; Penalties</t>
        </is>
      </c>
      <c r="B28" s="178" t="inlineStr">
        <is>
          <t>Traffic Challan, Late Fee, Overweight Ticket, etc</t>
        </is>
      </c>
      <c r="C28" s="11" t="n"/>
      <c r="D28" s="11" t="n"/>
      <c r="E28" s="11" t="n"/>
      <c r="F28" s="11" t="n"/>
      <c r="G28" s="11" t="n"/>
      <c r="H28" s="11" t="n"/>
      <c r="I28" s="5" t="n"/>
      <c r="K28" s="5" t="n"/>
      <c r="L28" s="5" t="n"/>
    </row>
    <row r="29" ht="15" customHeight="1" s="184">
      <c r="A29" s="177" t="inlineStr">
        <is>
          <t>Other</t>
        </is>
      </c>
      <c r="B29" s="178" t="n"/>
      <c r="C29" s="11" t="n"/>
      <c r="D29" s="11" t="n"/>
      <c r="E29" s="11" t="n"/>
      <c r="F29" s="11" t="n"/>
      <c r="G29" s="11" t="n"/>
      <c r="H29" s="11" t="n"/>
      <c r="I29" s="5" t="n"/>
      <c r="K29" s="5" t="n"/>
      <c r="L29" s="5" t="n"/>
    </row>
    <row r="30" ht="15" customHeight="1" s="184">
      <c r="A30" s="181" t="n"/>
      <c r="B30" s="178" t="n"/>
      <c r="C30" s="11" t="n"/>
      <c r="D30" s="11" t="n"/>
      <c r="E30" s="11" t="n"/>
      <c r="F30" s="11" t="n"/>
      <c r="G30" s="11" t="n"/>
      <c r="H30" s="11" t="n"/>
      <c r="I30" s="5" t="n"/>
      <c r="K30" s="5" t="n"/>
      <c r="L30" s="5" t="n"/>
    </row>
    <row r="31" ht="15" customHeight="1" s="184">
      <c r="A31" s="177" t="n"/>
      <c r="B31" s="178" t="n"/>
      <c r="C31" s="11" t="n"/>
      <c r="D31" s="11" t="n"/>
      <c r="E31" s="11" t="n"/>
      <c r="F31" s="11" t="n"/>
      <c r="G31" s="11" t="n"/>
      <c r="H31" s="11" t="n"/>
      <c r="I31" s="5" t="n"/>
      <c r="K31" s="5" t="n"/>
      <c r="L31" s="5" t="n"/>
    </row>
    <row r="32" ht="15" customHeight="1" s="184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5" t="n"/>
      <c r="L32" s="5" t="n"/>
    </row>
    <row r="33" ht="15" customHeight="1" s="184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 ht="15" customHeight="1" s="18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 ht="15" customHeight="1" s="184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15" customHeight="1" s="184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 ht="15" customHeight="1" s="184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 ht="15" customHeight="1" s="184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 ht="15" customHeight="1" s="184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15" customHeight="1" s="184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 ht="15" customHeight="1" s="184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 ht="15" customHeight="1" s="184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 ht="15" customHeight="1" s="184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15" customHeight="1" s="18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 ht="15" customHeight="1" s="184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15" customHeight="1" s="184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 ht="15" customHeight="1" s="184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 ht="15" customHeight="1" s="184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 ht="15" customHeight="1" s="184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15" customHeight="1" s="184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 ht="15" customHeight="1" s="184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15" customHeight="1" s="184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 ht="15" customHeight="1" s="184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15" customHeight="1" s="18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 ht="15" customHeight="1" s="184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 ht="15" customHeight="1" s="184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 ht="15" customHeight="1" s="184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 ht="15" customHeight="1" s="184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 ht="15" customHeight="1" s="184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15" customHeight="1" s="184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</row>
    <row r="61" ht="15" customHeight="1" s="184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15" customHeight="1" s="184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</row>
    <row r="63" ht="15" customHeight="1" s="184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 ht="15" customHeight="1" s="18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</row>
    <row r="65" ht="15" customHeight="1" s="184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 ht="15" customHeight="1" s="184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</row>
    <row r="67" ht="15" customHeight="1" s="184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15" customHeight="1" s="184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</row>
    <row r="69" ht="15" customHeight="1" s="184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15" customHeight="1" s="184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</row>
    <row r="71" ht="15" customHeight="1" s="184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 ht="15" customHeight="1" s="184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 ht="15" customHeight="1" s="184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 ht="15" customHeight="1" s="18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 ht="15" customHeight="1" s="184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 ht="15" customHeight="1" s="184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</row>
    <row r="77" ht="15" customHeight="1" s="184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 ht="15" customHeight="1" s="184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</row>
    <row r="79" ht="15" customHeight="1" s="184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 ht="15" customHeight="1" s="184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</row>
    <row r="81" ht="15" customHeight="1" s="184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</row>
    <row r="82" ht="15" customHeight="1" s="184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 ht="15" customHeight="1" s="184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</row>
    <row r="84" ht="15" customHeight="1" s="1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</row>
    <row r="85" ht="15" customHeight="1" s="184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 ht="15" customHeight="1" s="184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</row>
    <row r="87" ht="15" customHeight="1" s="184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</row>
    <row r="88" ht="15" customHeight="1" s="184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</row>
    <row r="89" ht="15" customHeight="1" s="184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</row>
    <row r="90" ht="15" customHeight="1" s="184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</row>
    <row r="91" ht="15" customHeight="1" s="184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</row>
    <row r="92" ht="15" customHeight="1" s="184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</row>
    <row r="93" ht="15" customHeight="1" s="184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</row>
    <row r="94" ht="15" customHeight="1" s="18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</row>
    <row r="95" ht="15" customHeight="1" s="184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</row>
    <row r="96" ht="15" customHeight="1" s="184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</row>
    <row r="97" ht="15" customHeight="1" s="184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 ht="15" customHeight="1" s="184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</row>
    <row r="99" ht="15" customHeight="1" s="184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</row>
    <row r="100" ht="15" customHeight="1" s="184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</row>
    <row r="101" ht="15" customHeight="1" s="184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</row>
    <row r="102" ht="15" customHeight="1" s="184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</row>
    <row r="103" ht="15" customHeight="1" s="184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</row>
    <row r="104" ht="15" customHeight="1" s="18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</row>
    <row r="105" ht="15" customHeight="1" s="184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</row>
    <row r="106" ht="15" customHeight="1" s="184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</row>
    <row r="107" ht="15" customHeight="1" s="184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</row>
    <row r="108" ht="15" customHeight="1" s="184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</row>
    <row r="109" ht="15" customHeight="1" s="184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</row>
    <row r="110" ht="15" customHeight="1" s="184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</row>
    <row r="111" ht="15" customHeight="1" s="184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</row>
    <row r="112" ht="15" customHeight="1" s="184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 ht="15" customHeight="1" s="184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</row>
    <row r="114" ht="15" customHeight="1" s="18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</row>
    <row r="115" ht="15" customHeight="1" s="184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</row>
    <row r="116" ht="15" customHeight="1" s="184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</row>
    <row r="117" ht="15" customHeight="1" s="184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</row>
    <row r="118" ht="15" customHeight="1" s="184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</row>
    <row r="119" ht="15" customHeight="1" s="184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</row>
    <row r="120" ht="15" customHeight="1" s="184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</row>
    <row r="121" ht="15" customHeight="1" s="184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</row>
    <row r="122" ht="15" customHeight="1" s="184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</row>
    <row r="123" ht="15" customHeight="1" s="184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</row>
    <row r="124" ht="15" customHeight="1" s="18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</row>
    <row r="125" ht="15" customHeight="1" s="184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</row>
    <row r="126" ht="15" customHeight="1" s="184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</row>
    <row r="127" ht="15" customHeight="1" s="184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</row>
    <row r="128" ht="15" customHeight="1" s="184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</row>
    <row r="129" ht="15" customHeight="1" s="184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</row>
    <row r="130" ht="15" customHeight="1" s="184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</row>
    <row r="131" ht="15" customHeight="1" s="184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</row>
    <row r="132" ht="15" customHeight="1" s="184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</row>
    <row r="133" ht="15" customHeight="1" s="184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</row>
    <row r="134" ht="15" customHeight="1" s="18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</row>
    <row r="135" ht="15" customHeight="1" s="184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</row>
    <row r="136" ht="15" customHeight="1" s="184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</row>
    <row r="137" ht="15" customHeight="1" s="184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</row>
    <row r="138" ht="15" customHeight="1" s="184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</row>
    <row r="139" ht="15" customHeight="1" s="184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</row>
    <row r="140" ht="15" customHeight="1" s="184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</row>
    <row r="141" ht="15" customHeight="1" s="184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</row>
    <row r="142" ht="15" customHeight="1" s="184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</row>
    <row r="143" ht="15" customHeight="1" s="184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</row>
    <row r="144" ht="15" customHeight="1" s="18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</row>
    <row r="145" ht="15" customHeight="1" s="184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</row>
    <row r="146" ht="15" customHeight="1" s="184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</row>
    <row r="147" ht="15" customHeight="1" s="184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</row>
    <row r="148" ht="15" customHeight="1" s="184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</row>
    <row r="149" ht="15" customHeight="1" s="184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</row>
    <row r="150" ht="15" customHeight="1" s="184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</row>
    <row r="151" ht="15" customHeight="1" s="184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</row>
    <row r="152" ht="15" customHeight="1" s="184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</row>
    <row r="153" ht="15" customHeight="1" s="184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</row>
    <row r="154" ht="15" customHeight="1" s="18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</row>
    <row r="155" ht="15" customHeight="1" s="184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</row>
    <row r="156" ht="15" customHeight="1" s="184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</row>
    <row r="157" ht="15" customHeight="1" s="184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</row>
    <row r="158" ht="15" customHeight="1" s="184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</row>
    <row r="159" ht="15" customHeight="1" s="184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</row>
    <row r="160" ht="15" customHeight="1" s="184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</row>
    <row r="161" ht="15" customHeight="1" s="184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</row>
    <row r="162" ht="15" customHeight="1" s="184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</row>
    <row r="163" ht="15" customHeight="1" s="184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</row>
    <row r="164" ht="15" customHeight="1" s="18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</row>
    <row r="165" ht="15" customHeight="1" s="184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</row>
    <row r="166" ht="15" customHeight="1" s="184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</row>
    <row r="167" ht="15" customHeight="1" s="184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</row>
    <row r="168" ht="15" customHeight="1" s="184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</row>
    <row r="169" ht="15" customHeight="1" s="184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</row>
    <row r="170" ht="15" customHeight="1" s="184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</row>
    <row r="171" ht="15" customHeight="1" s="184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</row>
    <row r="172" ht="15" customHeight="1" s="184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</row>
    <row r="173" ht="15" customHeight="1" s="184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</row>
    <row r="174" ht="15" customHeight="1" s="18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</row>
    <row r="175" ht="15" customHeight="1" s="184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</row>
    <row r="176" ht="15" customHeight="1" s="184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</row>
    <row r="177" ht="15" customHeight="1" s="184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</row>
    <row r="178" ht="15" customHeight="1" s="184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</row>
    <row r="179" ht="15" customHeight="1" s="184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</row>
    <row r="180" ht="15" customHeight="1" s="184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</row>
    <row r="181" ht="15" customHeight="1" s="184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</row>
    <row r="182" ht="15" customHeight="1" s="184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</row>
    <row r="183" ht="15" customHeight="1" s="184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</row>
    <row r="184" ht="15" customHeight="1" s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</row>
    <row r="185" ht="15" customHeight="1" s="184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</row>
    <row r="186" ht="15" customHeight="1" s="184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</row>
    <row r="187" ht="15" customHeight="1" s="184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</row>
    <row r="188" ht="15" customHeight="1" s="184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</row>
    <row r="189" ht="15" customHeight="1" s="184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</row>
    <row r="190" ht="15" customHeight="1" s="184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</row>
    <row r="191" ht="15" customHeight="1" s="184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</row>
    <row r="192" ht="15" customHeight="1" s="184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</row>
    <row r="193" ht="15" customHeight="1" s="184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</row>
    <row r="194" ht="15" customHeight="1" s="18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</row>
    <row r="195" ht="15" customHeight="1" s="184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</row>
    <row r="196" ht="15" customHeight="1" s="184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</row>
    <row r="197" ht="15" customHeight="1" s="184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</row>
    <row r="198" ht="15" customHeight="1" s="184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</row>
    <row r="199" ht="15" customHeight="1" s="184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</row>
    <row r="200" ht="15" customHeight="1" s="184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</row>
    <row r="201" ht="15" customHeight="1" s="184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</row>
    <row r="202" ht="15" customHeight="1" s="184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</row>
    <row r="203" ht="15" customHeight="1" s="184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</row>
    <row r="204" ht="15" customHeight="1" s="18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</row>
    <row r="205" ht="15" customHeight="1" s="184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</row>
    <row r="206" ht="15" customHeight="1" s="184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</row>
    <row r="207" ht="15" customHeight="1" s="184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</row>
    <row r="208" ht="15" customHeight="1" s="184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</row>
    <row r="209" ht="15" customHeight="1" s="184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</row>
    <row r="210" ht="15" customHeight="1" s="184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</row>
    <row r="211" ht="15" customHeight="1" s="184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</row>
    <row r="212" ht="15" customHeight="1" s="184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</row>
    <row r="213" ht="15" customHeight="1" s="184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</row>
    <row r="214" ht="15" customHeight="1" s="18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</row>
    <row r="215" ht="15" customHeight="1" s="184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</row>
    <row r="216" ht="15" customHeight="1" s="184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</row>
    <row r="217" ht="15" customHeight="1" s="184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</row>
    <row r="218" ht="15" customHeight="1" s="184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</row>
    <row r="219" ht="15" customHeight="1" s="184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</row>
    <row r="220" ht="15" customHeight="1" s="184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</row>
    <row r="221" ht="15" customHeight="1" s="184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</row>
    <row r="222" ht="15" customHeight="1" s="184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</row>
    <row r="223" ht="15" customHeight="1" s="184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</row>
    <row r="224" ht="15" customHeight="1" s="18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</row>
    <row r="225" ht="15" customHeight="1" s="184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</row>
    <row r="226" ht="15" customHeight="1" s="184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</row>
    <row r="227" ht="15" customHeight="1" s="184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</row>
    <row r="228" ht="15" customHeight="1" s="184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</row>
    <row r="229" ht="15" customHeight="1" s="184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</row>
    <row r="230" ht="15.75" customHeight="1" s="184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K230" s="5" t="n"/>
      <c r="L230" s="5" t="n"/>
    </row>
    <row r="231" ht="15.75" customHeight="1" s="184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K231" s="5" t="n"/>
      <c r="L231" s="5" t="n"/>
    </row>
    <row r="232" ht="15.75" customHeight="1" s="184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K232" s="5" t="n"/>
      <c r="L232" s="5" t="n"/>
    </row>
    <row r="233" ht="15.75" customHeight="1" s="184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K233" s="5" t="n"/>
      <c r="L233" s="5" t="n"/>
    </row>
    <row r="234" ht="15.75" customHeight="1" s="18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K234" s="5" t="n"/>
      <c r="L234" s="5" t="n"/>
    </row>
    <row r="235" ht="15.75" customHeight="1" s="184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K235" s="5" t="n"/>
      <c r="L235" s="5" t="n"/>
    </row>
    <row r="236" ht="15.75" customHeight="1" s="184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K236" s="5" t="n"/>
      <c r="L236" s="5" t="n"/>
    </row>
    <row r="237" ht="15.75" customHeight="1" s="184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K237" s="5" t="n"/>
      <c r="L237" s="5" t="n"/>
    </row>
    <row r="238" ht="15.75" customHeight="1" s="184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K238" s="5" t="n"/>
      <c r="L238" s="5" t="n"/>
    </row>
    <row r="239" ht="15.75" customHeight="1" s="184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K239" s="5" t="n"/>
      <c r="L239" s="5" t="n"/>
    </row>
    <row r="240" ht="15.75" customHeight="1" s="184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K240" s="5" t="n"/>
      <c r="L240" s="5" t="n"/>
    </row>
    <row r="241" ht="15.75" customHeight="1" s="184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K241" s="5" t="n"/>
      <c r="L241" s="5" t="n"/>
    </row>
    <row r="242" ht="15.75" customHeight="1" s="184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K242" s="5" t="n"/>
      <c r="L242" s="5" t="n"/>
    </row>
    <row r="243" ht="15.75" customHeight="1" s="184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K243" s="5" t="n"/>
      <c r="L243" s="5" t="n"/>
    </row>
    <row r="244" ht="15.75" customHeight="1" s="18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K244" s="5" t="n"/>
      <c r="L244" s="5" t="n"/>
    </row>
    <row r="245" ht="15.75" customHeight="1" s="184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K245" s="5" t="n"/>
      <c r="L245" s="5" t="n"/>
    </row>
    <row r="246" ht="15.75" customHeight="1" s="184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K246" s="5" t="n"/>
      <c r="L246" s="5" t="n"/>
    </row>
    <row r="247" ht="15.75" customHeight="1" s="184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K247" s="5" t="n"/>
      <c r="L247" s="5" t="n"/>
    </row>
    <row r="248" ht="15.75" customHeight="1" s="184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K248" s="5" t="n"/>
      <c r="L248" s="5" t="n"/>
    </row>
    <row r="249" ht="15.75" customHeight="1" s="184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K249" s="5" t="n"/>
      <c r="L249" s="5" t="n"/>
    </row>
    <row r="250" ht="15.75" customHeight="1" s="184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K250" s="5" t="n"/>
      <c r="L250" s="5" t="n"/>
    </row>
    <row r="251" ht="15.75" customHeight="1" s="184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K251" s="5" t="n"/>
      <c r="L251" s="5" t="n"/>
    </row>
    <row r="252" ht="15.75" customHeight="1" s="184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K252" s="5" t="n"/>
      <c r="L252" s="5" t="n"/>
    </row>
    <row r="253" ht="15.75" customHeight="1" s="184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K253" s="5" t="n"/>
      <c r="L253" s="5" t="n"/>
    </row>
    <row r="254" ht="15.75" customHeight="1" s="18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K254" s="5" t="n"/>
      <c r="L254" s="5" t="n"/>
    </row>
    <row r="255" ht="15.75" customHeight="1" s="184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K255" s="5" t="n"/>
      <c r="L255" s="5" t="n"/>
    </row>
    <row r="256" ht="15.75" customHeight="1" s="184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K256" s="5" t="n"/>
      <c r="L256" s="5" t="n"/>
    </row>
    <row r="257" ht="15.75" customHeight="1" s="184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K257" s="5" t="n"/>
      <c r="L257" s="5" t="n"/>
    </row>
    <row r="258" ht="15.75" customHeight="1" s="184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K258" s="5" t="n"/>
      <c r="L258" s="5" t="n"/>
    </row>
    <row r="259" ht="15.75" customHeight="1" s="184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K259" s="5" t="n"/>
      <c r="L259" s="5" t="n"/>
    </row>
    <row r="260" ht="15.75" customHeight="1" s="184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K260" s="5" t="n"/>
      <c r="L260" s="5" t="n"/>
    </row>
    <row r="261" ht="15.75" customHeight="1" s="184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K261" s="5" t="n"/>
      <c r="L261" s="5" t="n"/>
    </row>
    <row r="262" ht="15.75" customHeight="1" s="184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K262" s="5" t="n"/>
      <c r="L262" s="5" t="n"/>
    </row>
    <row r="263" ht="15.75" customHeight="1" s="184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K263" s="5" t="n"/>
      <c r="L263" s="5" t="n"/>
    </row>
    <row r="264" ht="15.75" customHeight="1" s="18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K264" s="5" t="n"/>
      <c r="L264" s="5" t="n"/>
    </row>
    <row r="265" ht="15.75" customHeight="1" s="184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K265" s="5" t="n"/>
      <c r="L265" s="5" t="n"/>
    </row>
    <row r="266" ht="15.75" customHeight="1" s="184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K266" s="5" t="n"/>
      <c r="L266" s="5" t="n"/>
    </row>
    <row r="267" ht="15.75" customHeight="1" s="184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K267" s="5" t="n"/>
      <c r="L267" s="5" t="n"/>
    </row>
    <row r="268" ht="15.75" customHeight="1" s="184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K268" s="5" t="n"/>
      <c r="L268" s="5" t="n"/>
    </row>
    <row r="269" ht="15.75" customHeight="1" s="184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K269" s="5" t="n"/>
      <c r="L269" s="5" t="n"/>
    </row>
    <row r="270" ht="15.75" customHeight="1" s="184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K270" s="5" t="n"/>
      <c r="L270" s="5" t="n"/>
    </row>
    <row r="271" ht="15.75" customHeight="1" s="184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K271" s="5" t="n"/>
      <c r="L271" s="5" t="n"/>
    </row>
    <row r="272" ht="15.75" customHeight="1" s="184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K272" s="5" t="n"/>
      <c r="L272" s="5" t="n"/>
    </row>
    <row r="273" ht="15.75" customHeight="1" s="184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K273" s="5" t="n"/>
      <c r="L273" s="5" t="n"/>
    </row>
    <row r="274" ht="15.75" customHeight="1" s="18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K274" s="5" t="n"/>
      <c r="L274" s="5" t="n"/>
    </row>
    <row r="275" ht="15.75" customHeight="1" s="184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K275" s="5" t="n"/>
      <c r="L275" s="5" t="n"/>
    </row>
    <row r="276" ht="15.75" customHeight="1" s="184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K276" s="5" t="n"/>
      <c r="L276" s="5" t="n"/>
    </row>
    <row r="277" ht="15.75" customHeight="1" s="184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K277" s="5" t="n"/>
      <c r="L277" s="5" t="n"/>
    </row>
    <row r="278" ht="15.75" customHeight="1" s="184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K278" s="5" t="n"/>
      <c r="L278" s="5" t="n"/>
    </row>
    <row r="279" ht="15.75" customHeight="1" s="184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K279" s="5" t="n"/>
      <c r="L279" s="5" t="n"/>
    </row>
    <row r="280" ht="15.75" customHeight="1" s="184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K280" s="5" t="n"/>
      <c r="L280" s="5" t="n"/>
    </row>
    <row r="281" ht="15.75" customHeight="1" s="184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K281" s="5" t="n"/>
      <c r="L281" s="5" t="n"/>
    </row>
    <row r="282" ht="15.75" customHeight="1" s="184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K282" s="5" t="n"/>
      <c r="L282" s="5" t="n"/>
    </row>
    <row r="283" ht="15.75" customHeight="1" s="184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K283" s="5" t="n"/>
      <c r="L283" s="5" t="n"/>
    </row>
    <row r="284" ht="15.75" customHeight="1" s="1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K284" s="5" t="n"/>
      <c r="L284" s="5" t="n"/>
    </row>
    <row r="285" ht="15.75" customHeight="1" s="184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K285" s="5" t="n"/>
      <c r="L285" s="5" t="n"/>
    </row>
    <row r="286" ht="15.75" customHeight="1" s="184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K286" s="5" t="n"/>
      <c r="L286" s="5" t="n"/>
    </row>
    <row r="287" ht="15.75" customHeight="1" s="184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K287" s="5" t="n"/>
      <c r="L287" s="5" t="n"/>
    </row>
    <row r="288" ht="15.75" customHeight="1" s="184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K288" s="5" t="n"/>
      <c r="L288" s="5" t="n"/>
    </row>
    <row r="289" ht="15.75" customHeight="1" s="184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K289" s="5" t="n"/>
      <c r="L289" s="5" t="n"/>
    </row>
    <row r="290" ht="15.75" customHeight="1" s="184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K290" s="5" t="n"/>
      <c r="L290" s="5" t="n"/>
    </row>
    <row r="291" ht="15.75" customHeight="1" s="184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K291" s="5" t="n"/>
      <c r="L291" s="5" t="n"/>
    </row>
    <row r="292" ht="15.75" customHeight="1" s="184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K292" s="5" t="n"/>
      <c r="L292" s="5" t="n"/>
    </row>
    <row r="293" ht="15.75" customHeight="1" s="184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K293" s="5" t="n"/>
      <c r="L293" s="5" t="n"/>
    </row>
    <row r="294" ht="15.75" customHeight="1" s="18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K294" s="5" t="n"/>
      <c r="L294" s="5" t="n"/>
    </row>
    <row r="295" ht="15.75" customHeight="1" s="184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K295" s="5" t="n"/>
      <c r="L295" s="5" t="n"/>
    </row>
    <row r="296" ht="15.75" customHeight="1" s="184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K296" s="5" t="n"/>
      <c r="L296" s="5" t="n"/>
    </row>
    <row r="297" ht="15.75" customHeight="1" s="184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K297" s="5" t="n"/>
      <c r="L297" s="5" t="n"/>
    </row>
    <row r="298" ht="15.75" customHeight="1" s="184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K298" s="5" t="n"/>
      <c r="L298" s="5" t="n"/>
    </row>
    <row r="299" ht="15.75" customHeight="1" s="184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K299" s="5" t="n"/>
      <c r="L299" s="5" t="n"/>
    </row>
    <row r="300" ht="15.75" customHeight="1" s="184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K300" s="5" t="n"/>
      <c r="L300" s="5" t="n"/>
    </row>
    <row r="301" ht="15.75" customHeight="1" s="184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K301" s="5" t="n"/>
      <c r="L301" s="5" t="n"/>
    </row>
    <row r="302" ht="15.75" customHeight="1" s="184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K302" s="5" t="n"/>
      <c r="L302" s="5" t="n"/>
    </row>
    <row r="303" ht="15.75" customHeight="1" s="184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K303" s="5" t="n"/>
      <c r="L303" s="5" t="n"/>
    </row>
    <row r="304" ht="15.75" customHeight="1" s="18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K304" s="5" t="n"/>
      <c r="L304" s="5" t="n"/>
    </row>
    <row r="305" ht="15.75" customHeight="1" s="184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K305" s="5" t="n"/>
      <c r="L305" s="5" t="n"/>
    </row>
    <row r="306" ht="15.75" customHeight="1" s="184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K306" s="5" t="n"/>
      <c r="L306" s="5" t="n"/>
    </row>
    <row r="307" ht="15.75" customHeight="1" s="184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K307" s="5" t="n"/>
      <c r="L307" s="5" t="n"/>
    </row>
    <row r="308" ht="15.75" customHeight="1" s="184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K308" s="5" t="n"/>
      <c r="L308" s="5" t="n"/>
    </row>
    <row r="309" ht="15.75" customHeight="1" s="184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K309" s="5" t="n"/>
      <c r="L309" s="5" t="n"/>
    </row>
    <row r="310" ht="15.75" customHeight="1" s="184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K310" s="5" t="n"/>
      <c r="L310" s="5" t="n"/>
    </row>
    <row r="311" ht="15.75" customHeight="1" s="184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K311" s="5" t="n"/>
      <c r="L311" s="5" t="n"/>
    </row>
    <row r="312" ht="15.75" customHeight="1" s="184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K312" s="5" t="n"/>
      <c r="L312" s="5" t="n"/>
    </row>
    <row r="313" ht="15.75" customHeight="1" s="184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K313" s="5" t="n"/>
      <c r="L313" s="5" t="n"/>
    </row>
    <row r="314" ht="15.75" customHeight="1" s="18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K314" s="5" t="n"/>
      <c r="L314" s="5" t="n"/>
    </row>
    <row r="315" ht="15.75" customHeight="1" s="184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K315" s="5" t="n"/>
      <c r="L315" s="5" t="n"/>
    </row>
    <row r="316" ht="15.75" customHeight="1" s="184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K316" s="5" t="n"/>
      <c r="L316" s="5" t="n"/>
    </row>
    <row r="317" ht="15.75" customHeight="1" s="184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K317" s="5" t="n"/>
      <c r="L317" s="5" t="n"/>
    </row>
    <row r="318" ht="15.75" customHeight="1" s="184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K318" s="5" t="n"/>
      <c r="L318" s="5" t="n"/>
    </row>
    <row r="319" ht="15.75" customHeight="1" s="184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K319" s="5" t="n"/>
      <c r="L319" s="5" t="n"/>
    </row>
    <row r="320" ht="15.75" customHeight="1" s="184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K320" s="5" t="n"/>
      <c r="L320" s="5" t="n"/>
    </row>
    <row r="321" ht="15.75" customHeight="1" s="184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K321" s="5" t="n"/>
      <c r="L321" s="5" t="n"/>
    </row>
    <row r="322" ht="15.75" customHeight="1" s="184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K322" s="5" t="n"/>
      <c r="L322" s="5" t="n"/>
    </row>
    <row r="323" ht="15.75" customHeight="1" s="184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K323" s="5" t="n"/>
      <c r="L323" s="5" t="n"/>
    </row>
    <row r="324" ht="15.75" customHeight="1" s="18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K324" s="5" t="n"/>
      <c r="L324" s="5" t="n"/>
    </row>
    <row r="325" ht="15.75" customHeight="1" s="184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K325" s="5" t="n"/>
      <c r="L325" s="5" t="n"/>
    </row>
    <row r="326" ht="15.75" customHeight="1" s="184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K326" s="5" t="n"/>
      <c r="L326" s="5" t="n"/>
    </row>
    <row r="327" ht="15.75" customHeight="1" s="184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K327" s="5" t="n"/>
      <c r="L327" s="5" t="n"/>
    </row>
    <row r="328" ht="15.75" customHeight="1" s="184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K328" s="5" t="n"/>
      <c r="L328" s="5" t="n"/>
    </row>
    <row r="329" ht="15.75" customHeight="1" s="184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K329" s="5" t="n"/>
      <c r="L329" s="5" t="n"/>
    </row>
    <row r="330" ht="15.75" customHeight="1" s="184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K330" s="5" t="n"/>
      <c r="L330" s="5" t="n"/>
    </row>
    <row r="331" ht="15.75" customHeight="1" s="184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K331" s="5" t="n"/>
      <c r="L331" s="5" t="n"/>
    </row>
    <row r="332" ht="15.75" customHeight="1" s="184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K332" s="5" t="n"/>
      <c r="L332" s="5" t="n"/>
    </row>
    <row r="333" ht="15.75" customHeight="1" s="184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K333" s="5" t="n"/>
      <c r="L333" s="5" t="n"/>
    </row>
    <row r="334" ht="15.75" customHeight="1" s="18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K334" s="5" t="n"/>
      <c r="L334" s="5" t="n"/>
    </row>
    <row r="335" ht="15.75" customHeight="1" s="184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K335" s="5" t="n"/>
      <c r="L335" s="5" t="n"/>
    </row>
    <row r="336" ht="15.75" customHeight="1" s="184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K336" s="5" t="n"/>
      <c r="L336" s="5" t="n"/>
    </row>
    <row r="337" ht="15.75" customHeight="1" s="184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K337" s="5" t="n"/>
      <c r="L337" s="5" t="n"/>
    </row>
    <row r="338" ht="15.75" customHeight="1" s="184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K338" s="5" t="n"/>
      <c r="L338" s="5" t="n"/>
    </row>
    <row r="339" ht="15.75" customHeight="1" s="184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K339" s="5" t="n"/>
      <c r="L339" s="5" t="n"/>
    </row>
    <row r="340" ht="15.75" customHeight="1" s="184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K340" s="5" t="n"/>
      <c r="L340" s="5" t="n"/>
    </row>
    <row r="341" ht="15.75" customHeight="1" s="184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K341" s="5" t="n"/>
      <c r="L341" s="5" t="n"/>
    </row>
    <row r="342" ht="15.75" customHeight="1" s="184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K342" s="5" t="n"/>
      <c r="L342" s="5" t="n"/>
    </row>
    <row r="343" ht="15.75" customHeight="1" s="184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K343" s="5" t="n"/>
      <c r="L343" s="5" t="n"/>
    </row>
    <row r="344" ht="15.75" customHeight="1" s="18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K344" s="5" t="n"/>
      <c r="L344" s="5" t="n"/>
    </row>
    <row r="345" ht="15.75" customHeight="1" s="184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K345" s="5" t="n"/>
      <c r="L345" s="5" t="n"/>
    </row>
    <row r="346" ht="15.75" customHeight="1" s="184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K346" s="5" t="n"/>
      <c r="L346" s="5" t="n"/>
    </row>
    <row r="347" ht="15.75" customHeight="1" s="184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K347" s="5" t="n"/>
      <c r="L347" s="5" t="n"/>
    </row>
    <row r="348" ht="15.75" customHeight="1" s="184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K348" s="5" t="n"/>
      <c r="L348" s="5" t="n"/>
    </row>
    <row r="349" ht="15.75" customHeight="1" s="184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K349" s="5" t="n"/>
      <c r="L349" s="5" t="n"/>
    </row>
    <row r="350" ht="15.75" customHeight="1" s="184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K350" s="5" t="n"/>
      <c r="L350" s="5" t="n"/>
    </row>
    <row r="351" ht="15.75" customHeight="1" s="184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K351" s="5" t="n"/>
      <c r="L351" s="5" t="n"/>
    </row>
    <row r="352" ht="15.75" customHeight="1" s="184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K352" s="5" t="n"/>
      <c r="L352" s="5" t="n"/>
    </row>
    <row r="353" ht="15.75" customHeight="1" s="184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K353" s="5" t="n"/>
      <c r="L353" s="5" t="n"/>
    </row>
    <row r="354" ht="15.75" customHeight="1" s="18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K354" s="5" t="n"/>
      <c r="L354" s="5" t="n"/>
    </row>
    <row r="355" ht="15.75" customHeight="1" s="184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K355" s="5" t="n"/>
      <c r="L355" s="5" t="n"/>
    </row>
    <row r="356" ht="15.75" customHeight="1" s="184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K356" s="5" t="n"/>
      <c r="L356" s="5" t="n"/>
    </row>
    <row r="357" ht="15.75" customHeight="1" s="184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K357" s="5" t="n"/>
      <c r="L357" s="5" t="n"/>
    </row>
    <row r="358" ht="15.75" customHeight="1" s="184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K358" s="5" t="n"/>
      <c r="L358" s="5" t="n"/>
    </row>
    <row r="359" ht="15.75" customHeight="1" s="184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K359" s="5" t="n"/>
      <c r="L359" s="5" t="n"/>
    </row>
    <row r="360" ht="15.75" customHeight="1" s="184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K360" s="5" t="n"/>
      <c r="L360" s="5" t="n"/>
    </row>
    <row r="361" ht="15.75" customHeight="1" s="184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K361" s="5" t="n"/>
      <c r="L361" s="5" t="n"/>
    </row>
    <row r="362" ht="15.75" customHeight="1" s="184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K362" s="5" t="n"/>
      <c r="L362" s="5" t="n"/>
    </row>
    <row r="363" ht="15.75" customHeight="1" s="184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K363" s="5" t="n"/>
      <c r="L363" s="5" t="n"/>
    </row>
    <row r="364" ht="15.75" customHeight="1" s="18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K364" s="5" t="n"/>
      <c r="L364" s="5" t="n"/>
    </row>
    <row r="365" ht="15.75" customHeight="1" s="184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K365" s="5" t="n"/>
      <c r="L365" s="5" t="n"/>
    </row>
    <row r="366" ht="15.75" customHeight="1" s="184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K366" s="5" t="n"/>
      <c r="L366" s="5" t="n"/>
    </row>
    <row r="367" ht="15.75" customHeight="1" s="184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K367" s="5" t="n"/>
      <c r="L367" s="5" t="n"/>
    </row>
    <row r="368" ht="15.75" customHeight="1" s="184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K368" s="5" t="n"/>
      <c r="L368" s="5" t="n"/>
    </row>
    <row r="369" ht="15.75" customHeight="1" s="184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K369" s="5" t="n"/>
      <c r="L369" s="5" t="n"/>
    </row>
    <row r="370" ht="15.75" customHeight="1" s="184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K370" s="5" t="n"/>
      <c r="L370" s="5" t="n"/>
    </row>
    <row r="371" ht="15.75" customHeight="1" s="184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K371" s="5" t="n"/>
      <c r="L371" s="5" t="n"/>
    </row>
    <row r="372" ht="15.75" customHeight="1" s="184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K372" s="5" t="n"/>
      <c r="L372" s="5" t="n"/>
    </row>
    <row r="373" ht="15.75" customHeight="1" s="184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K373" s="5" t="n"/>
      <c r="L373" s="5" t="n"/>
    </row>
    <row r="374" ht="15.75" customHeight="1" s="18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K374" s="5" t="n"/>
      <c r="L374" s="5" t="n"/>
    </row>
    <row r="375" ht="15.75" customHeight="1" s="184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K375" s="5" t="n"/>
      <c r="L375" s="5" t="n"/>
    </row>
    <row r="376" ht="15.75" customHeight="1" s="184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K376" s="5" t="n"/>
      <c r="L376" s="5" t="n"/>
    </row>
    <row r="377" ht="15.75" customHeight="1" s="184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K377" s="5" t="n"/>
      <c r="L377" s="5" t="n"/>
    </row>
    <row r="378" ht="15.75" customHeight="1" s="184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K378" s="5" t="n"/>
      <c r="L378" s="5" t="n"/>
    </row>
    <row r="379" ht="15.75" customHeight="1" s="184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K379" s="5" t="n"/>
      <c r="L379" s="5" t="n"/>
    </row>
    <row r="380" ht="15.75" customHeight="1" s="184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K380" s="5" t="n"/>
      <c r="L380" s="5" t="n"/>
    </row>
    <row r="381" ht="15.75" customHeight="1" s="184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K381" s="5" t="n"/>
      <c r="L381" s="5" t="n"/>
    </row>
    <row r="382" ht="15.75" customHeight="1" s="184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K382" s="5" t="n"/>
      <c r="L382" s="5" t="n"/>
    </row>
    <row r="383" ht="15.75" customHeight="1" s="184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K383" s="5" t="n"/>
      <c r="L383" s="5" t="n"/>
    </row>
    <row r="384" ht="15.75" customHeight="1" s="1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K384" s="5" t="n"/>
      <c r="L384" s="5" t="n"/>
    </row>
    <row r="385" ht="15.75" customHeight="1" s="184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K385" s="5" t="n"/>
      <c r="L385" s="5" t="n"/>
    </row>
    <row r="386" ht="15.75" customHeight="1" s="184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K386" s="5" t="n"/>
      <c r="L386" s="5" t="n"/>
    </row>
    <row r="387" ht="15.75" customHeight="1" s="184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K387" s="5" t="n"/>
      <c r="L387" s="5" t="n"/>
    </row>
    <row r="388" ht="15.75" customHeight="1" s="184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K388" s="5" t="n"/>
      <c r="L388" s="5" t="n"/>
    </row>
    <row r="389" ht="15.75" customHeight="1" s="184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K389" s="5" t="n"/>
      <c r="L389" s="5" t="n"/>
    </row>
    <row r="390" ht="15.75" customHeight="1" s="184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K390" s="5" t="n"/>
      <c r="L390" s="5" t="n"/>
    </row>
    <row r="391" ht="15.75" customHeight="1" s="184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K391" s="5" t="n"/>
      <c r="L391" s="5" t="n"/>
    </row>
    <row r="392" ht="15.75" customHeight="1" s="184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K392" s="5" t="n"/>
      <c r="L392" s="5" t="n"/>
    </row>
    <row r="393" ht="15.75" customHeight="1" s="184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K393" s="5" t="n"/>
      <c r="L393" s="5" t="n"/>
    </row>
    <row r="394" ht="15.75" customHeight="1" s="18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K394" s="5" t="n"/>
      <c r="L394" s="5" t="n"/>
    </row>
    <row r="395" ht="15.75" customHeight="1" s="184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K395" s="5" t="n"/>
      <c r="L395" s="5" t="n"/>
    </row>
    <row r="396" ht="15.75" customHeight="1" s="184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K396" s="5" t="n"/>
      <c r="L396" s="5" t="n"/>
    </row>
    <row r="397" ht="15.75" customHeight="1" s="184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K397" s="5" t="n"/>
      <c r="L397" s="5" t="n"/>
    </row>
    <row r="398" ht="15.75" customHeight="1" s="184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K398" s="5" t="n"/>
      <c r="L398" s="5" t="n"/>
    </row>
    <row r="399" ht="15.75" customHeight="1" s="184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K399" s="5" t="n"/>
      <c r="L399" s="5" t="n"/>
    </row>
    <row r="400" ht="15.75" customHeight="1" s="184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K400" s="5" t="n"/>
      <c r="L400" s="5" t="n"/>
    </row>
    <row r="401" ht="15.75" customHeight="1" s="184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K401" s="5" t="n"/>
      <c r="L401" s="5" t="n"/>
    </row>
    <row r="402" ht="15.75" customHeight="1" s="184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K402" s="5" t="n"/>
      <c r="L402" s="5" t="n"/>
    </row>
    <row r="403" ht="15.75" customHeight="1" s="184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K403" s="5" t="n"/>
      <c r="L403" s="5" t="n"/>
    </row>
    <row r="404" ht="15.75" customHeight="1" s="18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K404" s="5" t="n"/>
      <c r="L404" s="5" t="n"/>
    </row>
    <row r="405" ht="15.75" customHeight="1" s="184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K405" s="5" t="n"/>
      <c r="L405" s="5" t="n"/>
    </row>
    <row r="406" ht="15.75" customHeight="1" s="184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K406" s="5" t="n"/>
      <c r="L406" s="5" t="n"/>
    </row>
    <row r="407" ht="15.75" customHeight="1" s="184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K407" s="5" t="n"/>
      <c r="L407" s="5" t="n"/>
    </row>
    <row r="408" ht="15.75" customHeight="1" s="184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K408" s="5" t="n"/>
      <c r="L408" s="5" t="n"/>
    </row>
    <row r="409" ht="15.75" customHeight="1" s="184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K409" s="5" t="n"/>
      <c r="L409" s="5" t="n"/>
    </row>
    <row r="410" ht="15.75" customHeight="1" s="184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K410" s="5" t="n"/>
      <c r="L410" s="5" t="n"/>
    </row>
    <row r="411" ht="15.75" customHeight="1" s="184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K411" s="5" t="n"/>
      <c r="L411" s="5" t="n"/>
    </row>
    <row r="412" ht="15.75" customHeight="1" s="184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K412" s="5" t="n"/>
      <c r="L412" s="5" t="n"/>
    </row>
    <row r="413" ht="15.75" customHeight="1" s="184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K413" s="5" t="n"/>
      <c r="L413" s="5" t="n"/>
    </row>
    <row r="414" ht="15.75" customHeight="1" s="18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K414" s="5" t="n"/>
      <c r="L414" s="5" t="n"/>
    </row>
    <row r="415" ht="15.75" customHeight="1" s="184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K415" s="5" t="n"/>
      <c r="L415" s="5" t="n"/>
    </row>
    <row r="416" ht="15.75" customHeight="1" s="184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K416" s="5" t="n"/>
      <c r="L416" s="5" t="n"/>
    </row>
    <row r="417" ht="15.75" customHeight="1" s="184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K417" s="5" t="n"/>
      <c r="L417" s="5" t="n"/>
    </row>
    <row r="418" ht="15.75" customHeight="1" s="184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K418" s="5" t="n"/>
      <c r="L418" s="5" t="n"/>
    </row>
    <row r="419" ht="15.75" customHeight="1" s="184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K419" s="5" t="n"/>
      <c r="L419" s="5" t="n"/>
    </row>
    <row r="420" ht="15.75" customHeight="1" s="184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K420" s="5" t="n"/>
      <c r="L420" s="5" t="n"/>
    </row>
    <row r="421" ht="15.75" customHeight="1" s="184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K421" s="5" t="n"/>
      <c r="L421" s="5" t="n"/>
    </row>
    <row r="422" ht="15.75" customHeight="1" s="184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K422" s="5" t="n"/>
      <c r="L422" s="5" t="n"/>
    </row>
    <row r="423" ht="15.75" customHeight="1" s="184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K423" s="5" t="n"/>
      <c r="L423" s="5" t="n"/>
    </row>
    <row r="424" ht="15.75" customHeight="1" s="18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K424" s="5" t="n"/>
      <c r="L424" s="5" t="n"/>
    </row>
    <row r="425" ht="15.75" customHeight="1" s="184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K425" s="5" t="n"/>
      <c r="L425" s="5" t="n"/>
    </row>
    <row r="426" ht="15.75" customHeight="1" s="184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K426" s="5" t="n"/>
      <c r="L426" s="5" t="n"/>
    </row>
    <row r="427" ht="15.75" customHeight="1" s="184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K427" s="5" t="n"/>
      <c r="L427" s="5" t="n"/>
    </row>
    <row r="428" ht="15.75" customHeight="1" s="184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K428" s="5" t="n"/>
      <c r="L428" s="5" t="n"/>
    </row>
    <row r="429" ht="15.75" customHeight="1" s="184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K429" s="5" t="n"/>
      <c r="L429" s="5" t="n"/>
    </row>
    <row r="430" ht="15.75" customHeight="1" s="184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K430" s="5" t="n"/>
      <c r="L430" s="5" t="n"/>
    </row>
    <row r="431" ht="15.75" customHeight="1" s="184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K431" s="5" t="n"/>
      <c r="L431" s="5" t="n"/>
    </row>
    <row r="432" ht="15.75" customHeight="1" s="184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K432" s="5" t="n"/>
      <c r="L432" s="5" t="n"/>
    </row>
    <row r="433" ht="15.75" customHeight="1" s="184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K433" s="5" t="n"/>
      <c r="L433" s="5" t="n"/>
    </row>
    <row r="434" ht="15.75" customHeight="1" s="18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K434" s="5" t="n"/>
      <c r="L434" s="5" t="n"/>
    </row>
    <row r="435" ht="15.75" customHeight="1" s="184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K435" s="5" t="n"/>
      <c r="L435" s="5" t="n"/>
    </row>
    <row r="436" ht="15.75" customHeight="1" s="184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K436" s="5" t="n"/>
      <c r="L436" s="5" t="n"/>
    </row>
    <row r="437" ht="15.75" customHeight="1" s="184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K437" s="5" t="n"/>
      <c r="L437" s="5" t="n"/>
    </row>
    <row r="438" ht="15.75" customHeight="1" s="184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K438" s="5" t="n"/>
      <c r="L438" s="5" t="n"/>
    </row>
    <row r="439" ht="15.75" customHeight="1" s="184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K439" s="5" t="n"/>
      <c r="L439" s="5" t="n"/>
    </row>
    <row r="440" ht="15.75" customHeight="1" s="184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K440" s="5" t="n"/>
      <c r="L440" s="5" t="n"/>
    </row>
    <row r="441" ht="15.75" customHeight="1" s="184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K441" s="5" t="n"/>
      <c r="L441" s="5" t="n"/>
    </row>
    <row r="442" ht="15.75" customHeight="1" s="184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K442" s="5" t="n"/>
      <c r="L442" s="5" t="n"/>
    </row>
    <row r="443" ht="15.75" customHeight="1" s="184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K443" s="5" t="n"/>
      <c r="L443" s="5" t="n"/>
    </row>
    <row r="444" ht="15.75" customHeight="1" s="18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K444" s="5" t="n"/>
      <c r="L444" s="5" t="n"/>
    </row>
    <row r="445" ht="15.75" customHeight="1" s="184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K445" s="5" t="n"/>
      <c r="L445" s="5" t="n"/>
    </row>
    <row r="446" ht="15.75" customHeight="1" s="184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K446" s="5" t="n"/>
      <c r="L446" s="5" t="n"/>
    </row>
    <row r="447" ht="15.75" customHeight="1" s="184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K447" s="5" t="n"/>
      <c r="L447" s="5" t="n"/>
    </row>
    <row r="448" ht="15.75" customHeight="1" s="184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K448" s="5" t="n"/>
      <c r="L448" s="5" t="n"/>
    </row>
    <row r="449" ht="15.75" customHeight="1" s="184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K449" s="5" t="n"/>
      <c r="L449" s="5" t="n"/>
    </row>
    <row r="450" ht="15.75" customHeight="1" s="184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K450" s="5" t="n"/>
      <c r="L450" s="5" t="n"/>
    </row>
    <row r="451" ht="15.75" customHeight="1" s="184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K451" s="5" t="n"/>
      <c r="L451" s="5" t="n"/>
    </row>
    <row r="452" ht="15.75" customHeight="1" s="184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K452" s="5" t="n"/>
      <c r="L452" s="5" t="n"/>
    </row>
    <row r="453" ht="15.75" customHeight="1" s="184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K453" s="5" t="n"/>
      <c r="L453" s="5" t="n"/>
    </row>
    <row r="454" ht="15.75" customHeight="1" s="18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K454" s="5" t="n"/>
      <c r="L454" s="5" t="n"/>
    </row>
    <row r="455" ht="15.75" customHeight="1" s="184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K455" s="5" t="n"/>
      <c r="L455" s="5" t="n"/>
    </row>
    <row r="456" ht="15.75" customHeight="1" s="184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K456" s="5" t="n"/>
      <c r="L456" s="5" t="n"/>
    </row>
    <row r="457" ht="15.75" customHeight="1" s="184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K457" s="5" t="n"/>
      <c r="L457" s="5" t="n"/>
    </row>
    <row r="458" ht="15.75" customHeight="1" s="184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K458" s="5" t="n"/>
      <c r="L458" s="5" t="n"/>
    </row>
    <row r="459" ht="15.75" customHeight="1" s="184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K459" s="5" t="n"/>
      <c r="L459" s="5" t="n"/>
    </row>
    <row r="460" ht="15.75" customHeight="1" s="184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K460" s="5" t="n"/>
      <c r="L460" s="5" t="n"/>
    </row>
    <row r="461" ht="15.75" customHeight="1" s="184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K461" s="5" t="n"/>
      <c r="L461" s="5" t="n"/>
    </row>
    <row r="462" ht="15.75" customHeight="1" s="184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K462" s="5" t="n"/>
      <c r="L462" s="5" t="n"/>
    </row>
    <row r="463" ht="15.75" customHeight="1" s="184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K463" s="5" t="n"/>
      <c r="L463" s="5" t="n"/>
    </row>
    <row r="464" ht="15.75" customHeight="1" s="18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K464" s="5" t="n"/>
      <c r="L464" s="5" t="n"/>
    </row>
    <row r="465" ht="15.75" customHeight="1" s="184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K465" s="5" t="n"/>
      <c r="L465" s="5" t="n"/>
    </row>
    <row r="466" ht="15.75" customHeight="1" s="184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K466" s="5" t="n"/>
      <c r="L466" s="5" t="n"/>
    </row>
    <row r="467" ht="15.75" customHeight="1" s="184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K467" s="5" t="n"/>
      <c r="L467" s="5" t="n"/>
    </row>
    <row r="468" ht="15.75" customHeight="1" s="184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K468" s="5" t="n"/>
      <c r="L468" s="5" t="n"/>
    </row>
    <row r="469" ht="15.75" customHeight="1" s="184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K469" s="5" t="n"/>
      <c r="L469" s="5" t="n"/>
    </row>
    <row r="470" ht="15.75" customHeight="1" s="184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K470" s="5" t="n"/>
      <c r="L470" s="5" t="n"/>
    </row>
    <row r="471" ht="15.75" customHeight="1" s="184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K471" s="5" t="n"/>
      <c r="L471" s="5" t="n"/>
    </row>
    <row r="472" ht="15.75" customHeight="1" s="184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K472" s="5" t="n"/>
      <c r="L472" s="5" t="n"/>
    </row>
    <row r="473" ht="15.75" customHeight="1" s="184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K473" s="5" t="n"/>
      <c r="L473" s="5" t="n"/>
    </row>
    <row r="474" ht="15.75" customHeight="1" s="18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K474" s="5" t="n"/>
      <c r="L474" s="5" t="n"/>
    </row>
    <row r="475" ht="15.75" customHeight="1" s="184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K475" s="5" t="n"/>
      <c r="L475" s="5" t="n"/>
    </row>
    <row r="476" ht="15.75" customHeight="1" s="184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K476" s="5" t="n"/>
      <c r="L476" s="5" t="n"/>
    </row>
    <row r="477" ht="15.75" customHeight="1" s="184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K477" s="5" t="n"/>
      <c r="L477" s="5" t="n"/>
    </row>
    <row r="478" ht="15.75" customHeight="1" s="184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K478" s="5" t="n"/>
      <c r="L478" s="5" t="n"/>
    </row>
    <row r="479" ht="15.75" customHeight="1" s="184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K479" s="5" t="n"/>
      <c r="L479" s="5" t="n"/>
    </row>
    <row r="480" ht="15.75" customHeight="1" s="184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K480" s="5" t="n"/>
      <c r="L480" s="5" t="n"/>
    </row>
    <row r="481" ht="15.75" customHeight="1" s="184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K481" s="5" t="n"/>
      <c r="L481" s="5" t="n"/>
    </row>
    <row r="482" ht="15.75" customHeight="1" s="184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K482" s="5" t="n"/>
      <c r="L482" s="5" t="n"/>
    </row>
    <row r="483" ht="15.75" customHeight="1" s="184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K483" s="5" t="n"/>
      <c r="L483" s="5" t="n"/>
    </row>
    <row r="484" ht="15.75" customHeight="1" s="1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K484" s="5" t="n"/>
      <c r="L484" s="5" t="n"/>
    </row>
    <row r="485" ht="15.75" customHeight="1" s="184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K485" s="5" t="n"/>
      <c r="L485" s="5" t="n"/>
    </row>
    <row r="486" ht="15.75" customHeight="1" s="184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K486" s="5" t="n"/>
      <c r="L486" s="5" t="n"/>
    </row>
    <row r="487" ht="15.75" customHeight="1" s="184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K487" s="5" t="n"/>
      <c r="L487" s="5" t="n"/>
    </row>
    <row r="488" ht="15.75" customHeight="1" s="184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K488" s="5" t="n"/>
      <c r="L488" s="5" t="n"/>
    </row>
    <row r="489" ht="15.75" customHeight="1" s="184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K489" s="5" t="n"/>
      <c r="L489" s="5" t="n"/>
    </row>
    <row r="490" ht="15.75" customHeight="1" s="184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K490" s="5" t="n"/>
      <c r="L490" s="5" t="n"/>
    </row>
    <row r="491" ht="15.75" customHeight="1" s="184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K491" s="5" t="n"/>
      <c r="L491" s="5" t="n"/>
    </row>
    <row r="492" ht="15.75" customHeight="1" s="184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K492" s="5" t="n"/>
      <c r="L492" s="5" t="n"/>
    </row>
    <row r="493" ht="15.75" customHeight="1" s="184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K493" s="5" t="n"/>
      <c r="L493" s="5" t="n"/>
    </row>
    <row r="494" ht="15.75" customHeight="1" s="18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K494" s="5" t="n"/>
      <c r="L494" s="5" t="n"/>
    </row>
    <row r="495" ht="15.75" customHeight="1" s="184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K495" s="5" t="n"/>
      <c r="L495" s="5" t="n"/>
    </row>
    <row r="496" ht="15.75" customHeight="1" s="184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K496" s="5" t="n"/>
      <c r="L496" s="5" t="n"/>
    </row>
    <row r="497" ht="15.75" customHeight="1" s="184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K497" s="5" t="n"/>
      <c r="L497" s="5" t="n"/>
    </row>
    <row r="498" ht="15.75" customHeight="1" s="184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K498" s="5" t="n"/>
      <c r="L498" s="5" t="n"/>
    </row>
    <row r="499" ht="15.75" customHeight="1" s="184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K499" s="5" t="n"/>
      <c r="L499" s="5" t="n"/>
    </row>
    <row r="500" ht="15.75" customHeight="1" s="184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K500" s="5" t="n"/>
      <c r="L500" s="5" t="n"/>
    </row>
    <row r="501" ht="15.75" customHeight="1" s="184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K501" s="5" t="n"/>
      <c r="L501" s="5" t="n"/>
    </row>
    <row r="502" ht="15.75" customHeight="1" s="184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K502" s="5" t="n"/>
      <c r="L502" s="5" t="n"/>
    </row>
    <row r="503" ht="15.75" customHeight="1" s="184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K503" s="5" t="n"/>
      <c r="L503" s="5" t="n"/>
    </row>
    <row r="504" ht="15.75" customHeight="1" s="18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K504" s="5" t="n"/>
      <c r="L504" s="5" t="n"/>
    </row>
    <row r="505" ht="15.75" customHeight="1" s="184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K505" s="5" t="n"/>
      <c r="L505" s="5" t="n"/>
    </row>
    <row r="506" ht="15.75" customHeight="1" s="184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K506" s="5" t="n"/>
      <c r="L506" s="5" t="n"/>
    </row>
    <row r="507" ht="15.75" customHeight="1" s="184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K507" s="5" t="n"/>
      <c r="L507" s="5" t="n"/>
    </row>
    <row r="508" ht="15.75" customHeight="1" s="184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K508" s="5" t="n"/>
      <c r="L508" s="5" t="n"/>
    </row>
    <row r="509" ht="15.75" customHeight="1" s="184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K509" s="5" t="n"/>
      <c r="L509" s="5" t="n"/>
    </row>
    <row r="510" ht="15.75" customHeight="1" s="184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K510" s="5" t="n"/>
      <c r="L510" s="5" t="n"/>
    </row>
    <row r="511" ht="15.75" customHeight="1" s="184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K511" s="5" t="n"/>
      <c r="L511" s="5" t="n"/>
    </row>
    <row r="512" ht="15.75" customHeight="1" s="184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K512" s="5" t="n"/>
      <c r="L512" s="5" t="n"/>
    </row>
    <row r="513" ht="15.75" customHeight="1" s="184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K513" s="5" t="n"/>
      <c r="L513" s="5" t="n"/>
    </row>
    <row r="514" ht="15.75" customHeight="1" s="18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K514" s="5" t="n"/>
      <c r="L514" s="5" t="n"/>
    </row>
    <row r="515" ht="15.75" customHeight="1" s="184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K515" s="5" t="n"/>
      <c r="L515" s="5" t="n"/>
    </row>
    <row r="516" ht="15.75" customHeight="1" s="184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K516" s="5" t="n"/>
      <c r="L516" s="5" t="n"/>
    </row>
    <row r="517" ht="15.75" customHeight="1" s="184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K517" s="5" t="n"/>
      <c r="L517" s="5" t="n"/>
    </row>
    <row r="518" ht="15.75" customHeight="1" s="184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K518" s="5" t="n"/>
      <c r="L518" s="5" t="n"/>
    </row>
    <row r="519" ht="15.75" customHeight="1" s="184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K519" s="5" t="n"/>
      <c r="L519" s="5" t="n"/>
    </row>
    <row r="520" ht="15.75" customHeight="1" s="184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K520" s="5" t="n"/>
      <c r="L520" s="5" t="n"/>
    </row>
    <row r="521" ht="15.75" customHeight="1" s="184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K521" s="5" t="n"/>
      <c r="L521" s="5" t="n"/>
    </row>
    <row r="522" ht="15.75" customHeight="1" s="184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K522" s="5" t="n"/>
      <c r="L522" s="5" t="n"/>
    </row>
    <row r="523" ht="15.75" customHeight="1" s="184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K523" s="5" t="n"/>
      <c r="L523" s="5" t="n"/>
    </row>
    <row r="524" ht="15.75" customHeight="1" s="18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K524" s="5" t="n"/>
      <c r="L524" s="5" t="n"/>
    </row>
    <row r="525" ht="15.75" customHeight="1" s="184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K525" s="5" t="n"/>
      <c r="L525" s="5" t="n"/>
    </row>
    <row r="526" ht="15.75" customHeight="1" s="184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K526" s="5" t="n"/>
      <c r="L526" s="5" t="n"/>
    </row>
    <row r="527" ht="15.75" customHeight="1" s="184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K527" s="5" t="n"/>
      <c r="L527" s="5" t="n"/>
    </row>
    <row r="528" ht="15.75" customHeight="1" s="184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K528" s="5" t="n"/>
      <c r="L528" s="5" t="n"/>
    </row>
    <row r="529" ht="15.75" customHeight="1" s="184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K529" s="5" t="n"/>
      <c r="L529" s="5" t="n"/>
    </row>
    <row r="530" ht="15.75" customHeight="1" s="184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K530" s="5" t="n"/>
      <c r="L530" s="5" t="n"/>
    </row>
    <row r="531" ht="15.75" customHeight="1" s="184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K531" s="5" t="n"/>
      <c r="L531" s="5" t="n"/>
    </row>
    <row r="532" ht="15.75" customHeight="1" s="184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K532" s="5" t="n"/>
      <c r="L532" s="5" t="n"/>
    </row>
    <row r="533" ht="15.75" customHeight="1" s="184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K533" s="5" t="n"/>
      <c r="L533" s="5" t="n"/>
    </row>
    <row r="534" ht="15.75" customHeight="1" s="18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K534" s="5" t="n"/>
      <c r="L534" s="5" t="n"/>
    </row>
    <row r="535" ht="15.75" customHeight="1" s="184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K535" s="5" t="n"/>
      <c r="L535" s="5" t="n"/>
    </row>
    <row r="536" ht="15.75" customHeight="1" s="184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K536" s="5" t="n"/>
      <c r="L536" s="5" t="n"/>
    </row>
    <row r="537" ht="15.75" customHeight="1" s="184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K537" s="5" t="n"/>
      <c r="L537" s="5" t="n"/>
    </row>
    <row r="538" ht="15.75" customHeight="1" s="184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K538" s="5" t="n"/>
      <c r="L538" s="5" t="n"/>
    </row>
    <row r="539" ht="15.75" customHeight="1" s="184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K539" s="5" t="n"/>
      <c r="L539" s="5" t="n"/>
    </row>
    <row r="540" ht="15.75" customHeight="1" s="184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K540" s="5" t="n"/>
      <c r="L540" s="5" t="n"/>
    </row>
    <row r="541" ht="15.75" customHeight="1" s="184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K541" s="5" t="n"/>
      <c r="L541" s="5" t="n"/>
    </row>
    <row r="542" ht="15.75" customHeight="1" s="184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K542" s="5" t="n"/>
      <c r="L542" s="5" t="n"/>
    </row>
    <row r="543" ht="15.75" customHeight="1" s="184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K543" s="5" t="n"/>
      <c r="L543" s="5" t="n"/>
    </row>
    <row r="544" ht="15.75" customHeight="1" s="18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K544" s="5" t="n"/>
      <c r="L544" s="5" t="n"/>
    </row>
    <row r="545" ht="15.75" customHeight="1" s="184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K545" s="5" t="n"/>
      <c r="L545" s="5" t="n"/>
    </row>
    <row r="546" ht="15.75" customHeight="1" s="184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K546" s="5" t="n"/>
      <c r="L546" s="5" t="n"/>
    </row>
    <row r="547" ht="15.75" customHeight="1" s="184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K547" s="5" t="n"/>
      <c r="L547" s="5" t="n"/>
    </row>
    <row r="548" ht="15.75" customHeight="1" s="184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K548" s="5" t="n"/>
      <c r="L548" s="5" t="n"/>
    </row>
    <row r="549" ht="15.75" customHeight="1" s="184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K549" s="5" t="n"/>
      <c r="L549" s="5" t="n"/>
    </row>
    <row r="550" ht="15.75" customHeight="1" s="184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K550" s="5" t="n"/>
      <c r="L550" s="5" t="n"/>
    </row>
    <row r="551" ht="15.75" customHeight="1" s="184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K551" s="5" t="n"/>
      <c r="L551" s="5" t="n"/>
    </row>
    <row r="552" ht="15.75" customHeight="1" s="184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K552" s="5" t="n"/>
      <c r="L552" s="5" t="n"/>
    </row>
    <row r="553" ht="15.75" customHeight="1" s="184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K553" s="5" t="n"/>
      <c r="L553" s="5" t="n"/>
    </row>
    <row r="554" ht="15.75" customHeight="1" s="18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K554" s="5" t="n"/>
      <c r="L554" s="5" t="n"/>
    </row>
    <row r="555" ht="15.75" customHeight="1" s="184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K555" s="5" t="n"/>
      <c r="L555" s="5" t="n"/>
    </row>
    <row r="556" ht="15.75" customHeight="1" s="184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K556" s="5" t="n"/>
      <c r="L556" s="5" t="n"/>
    </row>
    <row r="557" ht="15.75" customHeight="1" s="184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K557" s="5" t="n"/>
      <c r="L557" s="5" t="n"/>
    </row>
    <row r="558" ht="15.75" customHeight="1" s="184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K558" s="5" t="n"/>
      <c r="L558" s="5" t="n"/>
    </row>
    <row r="559" ht="15.75" customHeight="1" s="184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K559" s="5" t="n"/>
      <c r="L559" s="5" t="n"/>
    </row>
    <row r="560" ht="15.75" customHeight="1" s="184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K560" s="5" t="n"/>
      <c r="L560" s="5" t="n"/>
    </row>
    <row r="561" ht="15.75" customHeight="1" s="184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K561" s="5" t="n"/>
      <c r="L561" s="5" t="n"/>
    </row>
    <row r="562" ht="15.75" customHeight="1" s="184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K562" s="5" t="n"/>
      <c r="L562" s="5" t="n"/>
    </row>
    <row r="563" ht="15.75" customHeight="1" s="184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K563" s="5" t="n"/>
      <c r="L563" s="5" t="n"/>
    </row>
    <row r="564" ht="15.75" customHeight="1" s="18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K564" s="5" t="n"/>
      <c r="L564" s="5" t="n"/>
    </row>
    <row r="565" ht="15.75" customHeight="1" s="184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K565" s="5" t="n"/>
      <c r="L565" s="5" t="n"/>
    </row>
    <row r="566" ht="15.75" customHeight="1" s="184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K566" s="5" t="n"/>
      <c r="L566" s="5" t="n"/>
    </row>
    <row r="567" ht="15.75" customHeight="1" s="184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K567" s="5" t="n"/>
      <c r="L567" s="5" t="n"/>
    </row>
    <row r="568" ht="15.75" customHeight="1" s="184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K568" s="5" t="n"/>
      <c r="L568" s="5" t="n"/>
    </row>
    <row r="569" ht="15.75" customHeight="1" s="184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K569" s="5" t="n"/>
      <c r="L569" s="5" t="n"/>
    </row>
    <row r="570" ht="15.75" customHeight="1" s="184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K570" s="5" t="n"/>
      <c r="L570" s="5" t="n"/>
    </row>
    <row r="571" ht="15.75" customHeight="1" s="184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K571" s="5" t="n"/>
      <c r="L571" s="5" t="n"/>
    </row>
    <row r="572" ht="15.75" customHeight="1" s="184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K572" s="5" t="n"/>
      <c r="L572" s="5" t="n"/>
    </row>
    <row r="573" ht="15.75" customHeight="1" s="184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K573" s="5" t="n"/>
      <c r="L573" s="5" t="n"/>
    </row>
    <row r="574" ht="15.75" customHeight="1" s="18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K574" s="5" t="n"/>
      <c r="L574" s="5" t="n"/>
    </row>
    <row r="575" ht="15.75" customHeight="1" s="184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K575" s="5" t="n"/>
      <c r="L575" s="5" t="n"/>
    </row>
    <row r="576" ht="15.75" customHeight="1" s="184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K576" s="5" t="n"/>
      <c r="L576" s="5" t="n"/>
    </row>
    <row r="577" ht="15.75" customHeight="1" s="184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K577" s="5" t="n"/>
      <c r="L577" s="5" t="n"/>
    </row>
    <row r="578" ht="15.75" customHeight="1" s="184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K578" s="5" t="n"/>
      <c r="L578" s="5" t="n"/>
    </row>
    <row r="579" ht="15.75" customHeight="1" s="184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K579" s="5" t="n"/>
      <c r="L579" s="5" t="n"/>
    </row>
    <row r="580" ht="15.75" customHeight="1" s="184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K580" s="5" t="n"/>
      <c r="L580" s="5" t="n"/>
    </row>
    <row r="581" ht="15.75" customHeight="1" s="184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K581" s="5" t="n"/>
      <c r="L581" s="5" t="n"/>
    </row>
    <row r="582" ht="15.75" customHeight="1" s="184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K582" s="5" t="n"/>
      <c r="L582" s="5" t="n"/>
    </row>
    <row r="583" ht="15.75" customHeight="1" s="184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K583" s="5" t="n"/>
      <c r="L583" s="5" t="n"/>
    </row>
    <row r="584" ht="15.75" customHeight="1" s="1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K584" s="5" t="n"/>
      <c r="L584" s="5" t="n"/>
    </row>
    <row r="585" ht="15.75" customHeight="1" s="184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K585" s="5" t="n"/>
      <c r="L585" s="5" t="n"/>
    </row>
    <row r="586" ht="15.75" customHeight="1" s="184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K586" s="5" t="n"/>
      <c r="L586" s="5" t="n"/>
    </row>
    <row r="587" ht="15.75" customHeight="1" s="184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K587" s="5" t="n"/>
      <c r="L587" s="5" t="n"/>
    </row>
    <row r="588" ht="15.75" customHeight="1" s="184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K588" s="5" t="n"/>
      <c r="L588" s="5" t="n"/>
    </row>
    <row r="589" ht="15.75" customHeight="1" s="184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K589" s="5" t="n"/>
      <c r="L589" s="5" t="n"/>
    </row>
    <row r="590" ht="15.75" customHeight="1" s="184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K590" s="5" t="n"/>
      <c r="L590" s="5" t="n"/>
    </row>
    <row r="591" ht="15.75" customHeight="1" s="184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K591" s="5" t="n"/>
      <c r="L591" s="5" t="n"/>
    </row>
    <row r="592" ht="15.75" customHeight="1" s="184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K592" s="5" t="n"/>
      <c r="L592" s="5" t="n"/>
    </row>
    <row r="593" ht="15.75" customHeight="1" s="184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K593" s="5" t="n"/>
      <c r="L593" s="5" t="n"/>
    </row>
    <row r="594" ht="15.75" customHeight="1" s="18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K594" s="5" t="n"/>
      <c r="L594" s="5" t="n"/>
    </row>
    <row r="595" ht="15.75" customHeight="1" s="184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K595" s="5" t="n"/>
      <c r="L595" s="5" t="n"/>
    </row>
    <row r="596" ht="15.75" customHeight="1" s="184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K596" s="5" t="n"/>
      <c r="L596" s="5" t="n"/>
    </row>
    <row r="597" ht="15.75" customHeight="1" s="184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K597" s="5" t="n"/>
      <c r="L597" s="5" t="n"/>
    </row>
    <row r="598" ht="15.75" customHeight="1" s="184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K598" s="5" t="n"/>
      <c r="L598" s="5" t="n"/>
    </row>
    <row r="599" ht="15.75" customHeight="1" s="184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K599" s="5" t="n"/>
      <c r="L599" s="5" t="n"/>
    </row>
    <row r="600" ht="15.75" customHeight="1" s="184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K600" s="5" t="n"/>
      <c r="L600" s="5" t="n"/>
    </row>
    <row r="601" ht="15.75" customHeight="1" s="184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K601" s="5" t="n"/>
      <c r="L601" s="5" t="n"/>
    </row>
    <row r="602" ht="15.75" customHeight="1" s="184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K602" s="5" t="n"/>
      <c r="L602" s="5" t="n"/>
    </row>
    <row r="603" ht="15.75" customHeight="1" s="184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K603" s="5" t="n"/>
      <c r="L603" s="5" t="n"/>
    </row>
    <row r="604" ht="15.75" customHeight="1" s="18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K604" s="5" t="n"/>
      <c r="L604" s="5" t="n"/>
    </row>
    <row r="605" ht="15.75" customHeight="1" s="184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K605" s="5" t="n"/>
      <c r="L605" s="5" t="n"/>
    </row>
    <row r="606" ht="15.75" customHeight="1" s="184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K606" s="5" t="n"/>
      <c r="L606" s="5" t="n"/>
    </row>
    <row r="607" ht="15.75" customHeight="1" s="184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K607" s="5" t="n"/>
      <c r="L607" s="5" t="n"/>
    </row>
    <row r="608" ht="15.75" customHeight="1" s="184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K608" s="5" t="n"/>
      <c r="L608" s="5" t="n"/>
    </row>
    <row r="609" ht="15.75" customHeight="1" s="184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K609" s="5" t="n"/>
      <c r="L609" s="5" t="n"/>
    </row>
    <row r="610" ht="15.75" customHeight="1" s="184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K610" s="5" t="n"/>
      <c r="L610" s="5" t="n"/>
    </row>
    <row r="611" ht="15.75" customHeight="1" s="184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K611" s="5" t="n"/>
      <c r="L611" s="5" t="n"/>
    </row>
    <row r="612" ht="15.75" customHeight="1" s="184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K612" s="5" t="n"/>
      <c r="L612" s="5" t="n"/>
    </row>
    <row r="613" ht="15.75" customHeight="1" s="184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K613" s="5" t="n"/>
      <c r="L613" s="5" t="n"/>
    </row>
    <row r="614" ht="15.75" customHeight="1" s="18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K614" s="5" t="n"/>
      <c r="L614" s="5" t="n"/>
    </row>
    <row r="615" ht="15.75" customHeight="1" s="184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K615" s="5" t="n"/>
      <c r="L615" s="5" t="n"/>
    </row>
    <row r="616" ht="15.75" customHeight="1" s="184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K616" s="5" t="n"/>
      <c r="L616" s="5" t="n"/>
    </row>
    <row r="617" ht="15.75" customHeight="1" s="184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K617" s="5" t="n"/>
      <c r="L617" s="5" t="n"/>
    </row>
    <row r="618" ht="15.75" customHeight="1" s="184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K618" s="5" t="n"/>
      <c r="L618" s="5" t="n"/>
    </row>
    <row r="619" ht="15.75" customHeight="1" s="184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K619" s="5" t="n"/>
      <c r="L619" s="5" t="n"/>
    </row>
    <row r="620" ht="15.75" customHeight="1" s="184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K620" s="5" t="n"/>
      <c r="L620" s="5" t="n"/>
    </row>
    <row r="621" ht="15.75" customHeight="1" s="184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K621" s="5" t="n"/>
      <c r="L621" s="5" t="n"/>
    </row>
    <row r="622" ht="15.75" customHeight="1" s="184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K622" s="5" t="n"/>
      <c r="L622" s="5" t="n"/>
    </row>
    <row r="623" ht="15.75" customHeight="1" s="184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K623" s="5" t="n"/>
      <c r="L623" s="5" t="n"/>
    </row>
    <row r="624" ht="15.75" customHeight="1" s="18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K624" s="5" t="n"/>
      <c r="L624" s="5" t="n"/>
    </row>
    <row r="625" ht="15.75" customHeight="1" s="184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K625" s="5" t="n"/>
      <c r="L625" s="5" t="n"/>
    </row>
    <row r="626" ht="15.75" customHeight="1" s="184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K626" s="5" t="n"/>
      <c r="L626" s="5" t="n"/>
    </row>
    <row r="627" ht="15.75" customHeight="1" s="184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K627" s="5" t="n"/>
      <c r="L627" s="5" t="n"/>
    </row>
    <row r="628" ht="15.75" customHeight="1" s="184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K628" s="5" t="n"/>
      <c r="L628" s="5" t="n"/>
    </row>
    <row r="629" ht="15.75" customHeight="1" s="184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K629" s="5" t="n"/>
      <c r="L629" s="5" t="n"/>
    </row>
    <row r="630" ht="15.75" customHeight="1" s="184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K630" s="5" t="n"/>
      <c r="L630" s="5" t="n"/>
    </row>
    <row r="631" ht="15.75" customHeight="1" s="184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K631" s="5" t="n"/>
      <c r="L631" s="5" t="n"/>
    </row>
    <row r="632" ht="15.75" customHeight="1" s="184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K632" s="5" t="n"/>
      <c r="L632" s="5" t="n"/>
    </row>
    <row r="633" ht="15.75" customHeight="1" s="184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K633" s="5" t="n"/>
      <c r="L633" s="5" t="n"/>
    </row>
    <row r="634" ht="15.75" customHeight="1" s="18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K634" s="5" t="n"/>
      <c r="L634" s="5" t="n"/>
    </row>
    <row r="635" ht="15.75" customHeight="1" s="184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K635" s="5" t="n"/>
      <c r="L635" s="5" t="n"/>
    </row>
    <row r="636" ht="15.75" customHeight="1" s="184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K636" s="5" t="n"/>
      <c r="L636" s="5" t="n"/>
    </row>
    <row r="637" ht="15.75" customHeight="1" s="184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K637" s="5" t="n"/>
      <c r="L637" s="5" t="n"/>
    </row>
    <row r="638" ht="15.75" customHeight="1" s="184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K638" s="5" t="n"/>
      <c r="L638" s="5" t="n"/>
    </row>
    <row r="639" ht="15.75" customHeight="1" s="184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K639" s="5" t="n"/>
      <c r="L639" s="5" t="n"/>
    </row>
    <row r="640" ht="15.75" customHeight="1" s="184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K640" s="5" t="n"/>
      <c r="L640" s="5" t="n"/>
    </row>
    <row r="641" ht="15.75" customHeight="1" s="184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K641" s="5" t="n"/>
      <c r="L641" s="5" t="n"/>
    </row>
    <row r="642" ht="15.75" customHeight="1" s="184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K642" s="5" t="n"/>
      <c r="L642" s="5" t="n"/>
    </row>
    <row r="643" ht="15.75" customHeight="1" s="184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K643" s="5" t="n"/>
      <c r="L643" s="5" t="n"/>
    </row>
    <row r="644" ht="15.75" customHeight="1" s="18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K644" s="5" t="n"/>
      <c r="L644" s="5" t="n"/>
    </row>
    <row r="645" ht="15.75" customHeight="1" s="184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K645" s="5" t="n"/>
      <c r="L645" s="5" t="n"/>
    </row>
    <row r="646" ht="15.75" customHeight="1" s="184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K646" s="5" t="n"/>
      <c r="L646" s="5" t="n"/>
    </row>
    <row r="647" ht="15.75" customHeight="1" s="184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K647" s="5" t="n"/>
      <c r="L647" s="5" t="n"/>
    </row>
    <row r="648" ht="15.75" customHeight="1" s="184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K648" s="5" t="n"/>
      <c r="L648" s="5" t="n"/>
    </row>
    <row r="649" ht="15.75" customHeight="1" s="184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K649" s="5" t="n"/>
      <c r="L649" s="5" t="n"/>
    </row>
    <row r="650" ht="15.75" customHeight="1" s="184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K650" s="5" t="n"/>
      <c r="L650" s="5" t="n"/>
    </row>
    <row r="651" ht="15.75" customHeight="1" s="184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K651" s="5" t="n"/>
      <c r="L651" s="5" t="n"/>
    </row>
    <row r="652" ht="15.75" customHeight="1" s="184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K652" s="5" t="n"/>
      <c r="L652" s="5" t="n"/>
    </row>
    <row r="653" ht="15.75" customHeight="1" s="184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K653" s="5" t="n"/>
      <c r="L653" s="5" t="n"/>
    </row>
    <row r="654" ht="15.75" customHeight="1" s="18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K654" s="5" t="n"/>
      <c r="L654" s="5" t="n"/>
    </row>
    <row r="655" ht="15.75" customHeight="1" s="184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K655" s="5" t="n"/>
      <c r="L655" s="5" t="n"/>
    </row>
    <row r="656" ht="15.75" customHeight="1" s="184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K656" s="5" t="n"/>
      <c r="L656" s="5" t="n"/>
    </row>
    <row r="657" ht="15.75" customHeight="1" s="184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K657" s="5" t="n"/>
      <c r="L657" s="5" t="n"/>
    </row>
    <row r="658" ht="15.75" customHeight="1" s="184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K658" s="5" t="n"/>
      <c r="L658" s="5" t="n"/>
    </row>
    <row r="659" ht="15.75" customHeight="1" s="184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K659" s="5" t="n"/>
      <c r="L659" s="5" t="n"/>
    </row>
    <row r="660" ht="15.75" customHeight="1" s="184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K660" s="5" t="n"/>
      <c r="L660" s="5" t="n"/>
    </row>
    <row r="661" ht="15.75" customHeight="1" s="184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K661" s="5" t="n"/>
      <c r="L661" s="5" t="n"/>
    </row>
    <row r="662" ht="15.75" customHeight="1" s="184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K662" s="5" t="n"/>
      <c r="L662" s="5" t="n"/>
    </row>
    <row r="663" ht="15.75" customHeight="1" s="184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K663" s="5" t="n"/>
      <c r="L663" s="5" t="n"/>
    </row>
    <row r="664" ht="15.75" customHeight="1" s="18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K664" s="5" t="n"/>
      <c r="L664" s="5" t="n"/>
    </row>
    <row r="665" ht="15.75" customHeight="1" s="184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K665" s="5" t="n"/>
      <c r="L665" s="5" t="n"/>
    </row>
    <row r="666" ht="15.75" customHeight="1" s="184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K666" s="5" t="n"/>
      <c r="L666" s="5" t="n"/>
    </row>
    <row r="667" ht="15.75" customHeight="1" s="184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K667" s="5" t="n"/>
      <c r="L667" s="5" t="n"/>
    </row>
    <row r="668" ht="15.75" customHeight="1" s="184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K668" s="5" t="n"/>
      <c r="L668" s="5" t="n"/>
    </row>
    <row r="669" ht="15.75" customHeight="1" s="184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K669" s="5" t="n"/>
      <c r="L669" s="5" t="n"/>
    </row>
    <row r="670" ht="15.75" customHeight="1" s="184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K670" s="5" t="n"/>
      <c r="L670" s="5" t="n"/>
    </row>
    <row r="671" ht="15.75" customHeight="1" s="184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K671" s="5" t="n"/>
      <c r="L671" s="5" t="n"/>
    </row>
    <row r="672" ht="15.75" customHeight="1" s="184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K672" s="5" t="n"/>
      <c r="L672" s="5" t="n"/>
    </row>
    <row r="673" ht="15.75" customHeight="1" s="184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K673" s="5" t="n"/>
      <c r="L673" s="5" t="n"/>
    </row>
    <row r="674" ht="15.75" customHeight="1" s="18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K674" s="5" t="n"/>
      <c r="L674" s="5" t="n"/>
    </row>
    <row r="675" ht="15.75" customHeight="1" s="184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K675" s="5" t="n"/>
      <c r="L675" s="5" t="n"/>
    </row>
    <row r="676" ht="15.75" customHeight="1" s="184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K676" s="5" t="n"/>
      <c r="L676" s="5" t="n"/>
    </row>
    <row r="677" ht="15.75" customHeight="1" s="184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K677" s="5" t="n"/>
      <c r="L677" s="5" t="n"/>
    </row>
    <row r="678" ht="15.75" customHeight="1" s="184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K678" s="5" t="n"/>
      <c r="L678" s="5" t="n"/>
    </row>
    <row r="679" ht="15.75" customHeight="1" s="184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K679" s="5" t="n"/>
      <c r="L679" s="5" t="n"/>
    </row>
    <row r="680" ht="15.75" customHeight="1" s="184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K680" s="5" t="n"/>
      <c r="L680" s="5" t="n"/>
    </row>
    <row r="681" ht="15.75" customHeight="1" s="184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K681" s="5" t="n"/>
      <c r="L681" s="5" t="n"/>
    </row>
    <row r="682" ht="15.75" customHeight="1" s="184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K682" s="5" t="n"/>
      <c r="L682" s="5" t="n"/>
    </row>
    <row r="683" ht="15.75" customHeight="1" s="184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K683" s="5" t="n"/>
      <c r="L683" s="5" t="n"/>
    </row>
    <row r="684" ht="15.75" customHeight="1" s="1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K684" s="5" t="n"/>
      <c r="L684" s="5" t="n"/>
    </row>
    <row r="685" ht="15.75" customHeight="1" s="184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K685" s="5" t="n"/>
      <c r="L685" s="5" t="n"/>
    </row>
    <row r="686" ht="15.75" customHeight="1" s="184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K686" s="5" t="n"/>
      <c r="L686" s="5" t="n"/>
    </row>
    <row r="687" ht="15.75" customHeight="1" s="184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K687" s="5" t="n"/>
      <c r="L687" s="5" t="n"/>
    </row>
    <row r="688" ht="15.75" customHeight="1" s="184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K688" s="5" t="n"/>
      <c r="L688" s="5" t="n"/>
    </row>
    <row r="689" ht="15.75" customHeight="1" s="184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K689" s="5" t="n"/>
      <c r="L689" s="5" t="n"/>
    </row>
    <row r="690" ht="15.75" customHeight="1" s="184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K690" s="5" t="n"/>
      <c r="L690" s="5" t="n"/>
    </row>
    <row r="691" ht="15.75" customHeight="1" s="184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K691" s="5" t="n"/>
      <c r="L691" s="5" t="n"/>
    </row>
    <row r="692" ht="15.75" customHeight="1" s="184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K692" s="5" t="n"/>
      <c r="L692" s="5" t="n"/>
    </row>
    <row r="693" ht="15.75" customHeight="1" s="184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K693" s="5" t="n"/>
      <c r="L693" s="5" t="n"/>
    </row>
    <row r="694" ht="15.75" customHeight="1" s="18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K694" s="5" t="n"/>
      <c r="L694" s="5" t="n"/>
    </row>
    <row r="695" ht="15.75" customHeight="1" s="184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K695" s="5" t="n"/>
      <c r="L695" s="5" t="n"/>
    </row>
    <row r="696" ht="15.75" customHeight="1" s="184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K696" s="5" t="n"/>
      <c r="L696" s="5" t="n"/>
    </row>
    <row r="697" ht="15.75" customHeight="1" s="184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K697" s="5" t="n"/>
      <c r="L697" s="5" t="n"/>
    </row>
    <row r="698" ht="15.75" customHeight="1" s="184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K698" s="5" t="n"/>
      <c r="L698" s="5" t="n"/>
    </row>
    <row r="699" ht="15.75" customHeight="1" s="184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K699" s="5" t="n"/>
      <c r="L699" s="5" t="n"/>
    </row>
    <row r="700" ht="15.75" customHeight="1" s="184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K700" s="5" t="n"/>
      <c r="L700" s="5" t="n"/>
    </row>
    <row r="701" ht="15.75" customHeight="1" s="184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K701" s="5" t="n"/>
      <c r="L701" s="5" t="n"/>
    </row>
    <row r="702" ht="15.75" customHeight="1" s="184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K702" s="5" t="n"/>
      <c r="L702" s="5" t="n"/>
    </row>
    <row r="703" ht="15.75" customHeight="1" s="184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K703" s="5" t="n"/>
      <c r="L703" s="5" t="n"/>
    </row>
    <row r="704" ht="15.75" customHeight="1" s="18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K704" s="5" t="n"/>
      <c r="L704" s="5" t="n"/>
    </row>
    <row r="705" ht="15.75" customHeight="1" s="184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K705" s="5" t="n"/>
      <c r="L705" s="5" t="n"/>
    </row>
    <row r="706" ht="15.75" customHeight="1" s="184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K706" s="5" t="n"/>
      <c r="L706" s="5" t="n"/>
    </row>
    <row r="707" ht="15.75" customHeight="1" s="184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K707" s="5" t="n"/>
      <c r="L707" s="5" t="n"/>
    </row>
    <row r="708" ht="15.75" customHeight="1" s="184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K708" s="5" t="n"/>
      <c r="L708" s="5" t="n"/>
    </row>
    <row r="709" ht="15.75" customHeight="1" s="184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K709" s="5" t="n"/>
      <c r="L709" s="5" t="n"/>
    </row>
    <row r="710" ht="15.75" customHeight="1" s="184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K710" s="5" t="n"/>
      <c r="L710" s="5" t="n"/>
    </row>
    <row r="711" ht="15.75" customHeight="1" s="184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K711" s="5" t="n"/>
      <c r="L711" s="5" t="n"/>
    </row>
    <row r="712" ht="15.75" customHeight="1" s="184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K712" s="5" t="n"/>
      <c r="L712" s="5" t="n"/>
    </row>
    <row r="713" ht="15.75" customHeight="1" s="184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K713" s="5" t="n"/>
      <c r="L713" s="5" t="n"/>
    </row>
    <row r="714" ht="15.75" customHeight="1" s="18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K714" s="5" t="n"/>
      <c r="L714" s="5" t="n"/>
    </row>
    <row r="715" ht="15.75" customHeight="1" s="184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K715" s="5" t="n"/>
      <c r="L715" s="5" t="n"/>
    </row>
    <row r="716" ht="15.75" customHeight="1" s="184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K716" s="5" t="n"/>
      <c r="L716" s="5" t="n"/>
    </row>
    <row r="717" ht="15.75" customHeight="1" s="184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K717" s="5" t="n"/>
      <c r="L717" s="5" t="n"/>
    </row>
    <row r="718" ht="15.75" customHeight="1" s="184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K718" s="5" t="n"/>
      <c r="L718" s="5" t="n"/>
    </row>
    <row r="719" ht="15.75" customHeight="1" s="184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K719" s="5" t="n"/>
      <c r="L719" s="5" t="n"/>
    </row>
    <row r="720" ht="15.75" customHeight="1" s="184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K720" s="5" t="n"/>
      <c r="L720" s="5" t="n"/>
    </row>
    <row r="721" ht="15.75" customHeight="1" s="184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K721" s="5" t="n"/>
      <c r="L721" s="5" t="n"/>
    </row>
    <row r="722" ht="15.75" customHeight="1" s="184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K722" s="5" t="n"/>
      <c r="L722" s="5" t="n"/>
    </row>
    <row r="723" ht="15.75" customHeight="1" s="184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K723" s="5" t="n"/>
      <c r="L723" s="5" t="n"/>
    </row>
    <row r="724" ht="15.75" customHeight="1" s="18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K724" s="5" t="n"/>
      <c r="L724" s="5" t="n"/>
    </row>
    <row r="725" ht="15.75" customHeight="1" s="184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K725" s="5" t="n"/>
      <c r="L725" s="5" t="n"/>
    </row>
    <row r="726" ht="15.75" customHeight="1" s="184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K726" s="5" t="n"/>
      <c r="L726" s="5" t="n"/>
    </row>
    <row r="727" ht="15.75" customHeight="1" s="184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K727" s="5" t="n"/>
      <c r="L727" s="5" t="n"/>
    </row>
    <row r="728" ht="15.75" customHeight="1" s="184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K728" s="5" t="n"/>
      <c r="L728" s="5" t="n"/>
    </row>
    <row r="729" ht="15.75" customHeight="1" s="184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K729" s="5" t="n"/>
      <c r="L729" s="5" t="n"/>
    </row>
    <row r="730" ht="15.75" customHeight="1" s="184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K730" s="5" t="n"/>
      <c r="L730" s="5" t="n"/>
    </row>
    <row r="731" ht="15.75" customHeight="1" s="184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K731" s="5" t="n"/>
      <c r="L731" s="5" t="n"/>
    </row>
    <row r="732" ht="15.75" customHeight="1" s="184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K732" s="5" t="n"/>
      <c r="L732" s="5" t="n"/>
    </row>
    <row r="733" ht="15.75" customHeight="1" s="184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K733" s="5" t="n"/>
      <c r="L733" s="5" t="n"/>
    </row>
    <row r="734" ht="15.75" customHeight="1" s="18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K734" s="5" t="n"/>
      <c r="L734" s="5" t="n"/>
    </row>
    <row r="735" ht="15.75" customHeight="1" s="184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K735" s="5" t="n"/>
      <c r="L735" s="5" t="n"/>
    </row>
    <row r="736" ht="15.75" customHeight="1" s="184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K736" s="5" t="n"/>
      <c r="L736" s="5" t="n"/>
    </row>
    <row r="737" ht="15.75" customHeight="1" s="184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K737" s="5" t="n"/>
      <c r="L737" s="5" t="n"/>
    </row>
    <row r="738" ht="15.75" customHeight="1" s="184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K738" s="5" t="n"/>
      <c r="L738" s="5" t="n"/>
    </row>
    <row r="739" ht="15.75" customHeight="1" s="184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K739" s="5" t="n"/>
      <c r="L739" s="5" t="n"/>
    </row>
    <row r="740" ht="15.75" customHeight="1" s="184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K740" s="5" t="n"/>
      <c r="L740" s="5" t="n"/>
    </row>
    <row r="741" ht="15.75" customHeight="1" s="184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K741" s="5" t="n"/>
      <c r="L741" s="5" t="n"/>
    </row>
    <row r="742" ht="15.75" customHeight="1" s="184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K742" s="5" t="n"/>
      <c r="L742" s="5" t="n"/>
    </row>
    <row r="743" ht="15.75" customHeight="1" s="184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K743" s="5" t="n"/>
      <c r="L743" s="5" t="n"/>
    </row>
    <row r="744" ht="15.75" customHeight="1" s="18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K744" s="5" t="n"/>
      <c r="L744" s="5" t="n"/>
    </row>
    <row r="745" ht="15.75" customHeight="1" s="184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K745" s="5" t="n"/>
      <c r="L745" s="5" t="n"/>
    </row>
    <row r="746" ht="15.75" customHeight="1" s="184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K746" s="5" t="n"/>
      <c r="L746" s="5" t="n"/>
    </row>
    <row r="747" ht="15.75" customHeight="1" s="184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K747" s="5" t="n"/>
      <c r="L747" s="5" t="n"/>
    </row>
    <row r="748" ht="15.75" customHeight="1" s="184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K748" s="5" t="n"/>
      <c r="L748" s="5" t="n"/>
    </row>
    <row r="749" ht="15.75" customHeight="1" s="184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K749" s="5" t="n"/>
      <c r="L749" s="5" t="n"/>
    </row>
    <row r="750" ht="15.75" customHeight="1" s="184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K750" s="5" t="n"/>
      <c r="L750" s="5" t="n"/>
    </row>
    <row r="751" ht="15.75" customHeight="1" s="184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K751" s="5" t="n"/>
      <c r="L751" s="5" t="n"/>
    </row>
    <row r="752" ht="15.75" customHeight="1" s="184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K752" s="5" t="n"/>
      <c r="L752" s="5" t="n"/>
    </row>
    <row r="753" ht="15.75" customHeight="1" s="184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K753" s="5" t="n"/>
      <c r="L753" s="5" t="n"/>
    </row>
    <row r="754" ht="15.75" customHeight="1" s="18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K754" s="5" t="n"/>
      <c r="L754" s="5" t="n"/>
    </row>
    <row r="755" ht="15.75" customHeight="1" s="184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K755" s="5" t="n"/>
      <c r="L755" s="5" t="n"/>
    </row>
    <row r="756" ht="15.75" customHeight="1" s="184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K756" s="5" t="n"/>
      <c r="L756" s="5" t="n"/>
    </row>
    <row r="757" ht="15.75" customHeight="1" s="184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K757" s="5" t="n"/>
      <c r="L757" s="5" t="n"/>
    </row>
    <row r="758" ht="15.75" customHeight="1" s="184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K758" s="5" t="n"/>
      <c r="L758" s="5" t="n"/>
    </row>
    <row r="759" ht="15.75" customHeight="1" s="184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K759" s="5" t="n"/>
      <c r="L759" s="5" t="n"/>
    </row>
    <row r="760" ht="15.75" customHeight="1" s="184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K760" s="5" t="n"/>
      <c r="L760" s="5" t="n"/>
    </row>
    <row r="761" ht="15.75" customHeight="1" s="184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K761" s="5" t="n"/>
      <c r="L761" s="5" t="n"/>
    </row>
    <row r="762" ht="15.75" customHeight="1" s="184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K762" s="5" t="n"/>
      <c r="L762" s="5" t="n"/>
    </row>
    <row r="763" ht="15.75" customHeight="1" s="184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K763" s="5" t="n"/>
      <c r="L763" s="5" t="n"/>
    </row>
    <row r="764" ht="15.75" customHeight="1" s="18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K764" s="5" t="n"/>
      <c r="L764" s="5" t="n"/>
    </row>
    <row r="765" ht="15.75" customHeight="1" s="184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K765" s="5" t="n"/>
      <c r="L765" s="5" t="n"/>
    </row>
    <row r="766" ht="15.75" customHeight="1" s="184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K766" s="5" t="n"/>
      <c r="L766" s="5" t="n"/>
    </row>
    <row r="767" ht="15.75" customHeight="1" s="184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K767" s="5" t="n"/>
      <c r="L767" s="5" t="n"/>
    </row>
    <row r="768" ht="15.75" customHeight="1" s="184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K768" s="5" t="n"/>
      <c r="L768" s="5" t="n"/>
    </row>
    <row r="769" ht="15.75" customHeight="1" s="184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K769" s="5" t="n"/>
      <c r="L769" s="5" t="n"/>
    </row>
    <row r="770" ht="15.75" customHeight="1" s="184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K770" s="5" t="n"/>
      <c r="L770" s="5" t="n"/>
    </row>
    <row r="771" ht="15.75" customHeight="1" s="184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K771" s="5" t="n"/>
      <c r="L771" s="5" t="n"/>
    </row>
    <row r="772" ht="15.75" customHeight="1" s="184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K772" s="5" t="n"/>
      <c r="L772" s="5" t="n"/>
    </row>
    <row r="773" ht="15.75" customHeight="1" s="184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K773" s="5" t="n"/>
      <c r="L773" s="5" t="n"/>
    </row>
    <row r="774" ht="15.75" customHeight="1" s="18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K774" s="5" t="n"/>
      <c r="L774" s="5" t="n"/>
    </row>
    <row r="775" ht="15.75" customHeight="1" s="184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K775" s="5" t="n"/>
      <c r="L775" s="5" t="n"/>
    </row>
    <row r="776" ht="15.75" customHeight="1" s="184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K776" s="5" t="n"/>
      <c r="L776" s="5" t="n"/>
    </row>
    <row r="777" ht="15.75" customHeight="1" s="184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K777" s="5" t="n"/>
      <c r="L777" s="5" t="n"/>
    </row>
    <row r="778" ht="15.75" customHeight="1" s="184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K778" s="5" t="n"/>
      <c r="L778" s="5" t="n"/>
    </row>
    <row r="779" ht="15.75" customHeight="1" s="184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K779" s="5" t="n"/>
      <c r="L779" s="5" t="n"/>
    </row>
    <row r="780" ht="15.75" customHeight="1" s="184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K780" s="5" t="n"/>
      <c r="L780" s="5" t="n"/>
    </row>
    <row r="781" ht="15.75" customHeight="1" s="184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K781" s="5" t="n"/>
      <c r="L781" s="5" t="n"/>
    </row>
    <row r="782" ht="15.75" customHeight="1" s="184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K782" s="5" t="n"/>
      <c r="L782" s="5" t="n"/>
    </row>
    <row r="783" ht="15.75" customHeight="1" s="184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K783" s="5" t="n"/>
      <c r="L783" s="5" t="n"/>
    </row>
    <row r="784" ht="15.75" customHeight="1" s="1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K784" s="5" t="n"/>
      <c r="L784" s="5" t="n"/>
    </row>
    <row r="785" ht="15.75" customHeight="1" s="184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K785" s="5" t="n"/>
      <c r="L785" s="5" t="n"/>
    </row>
    <row r="786" ht="15.75" customHeight="1" s="184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K786" s="5" t="n"/>
      <c r="L786" s="5" t="n"/>
    </row>
    <row r="787" ht="15.75" customHeight="1" s="184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K787" s="5" t="n"/>
      <c r="L787" s="5" t="n"/>
    </row>
    <row r="788" ht="15.75" customHeight="1" s="184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K788" s="5" t="n"/>
      <c r="L788" s="5" t="n"/>
    </row>
    <row r="789" ht="15.75" customHeight="1" s="184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K789" s="5" t="n"/>
      <c r="L789" s="5" t="n"/>
    </row>
    <row r="790" ht="15.75" customHeight="1" s="184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K790" s="5" t="n"/>
      <c r="L790" s="5" t="n"/>
    </row>
    <row r="791" ht="15.75" customHeight="1" s="184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K791" s="5" t="n"/>
      <c r="L791" s="5" t="n"/>
    </row>
    <row r="792" ht="15.75" customHeight="1" s="184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K792" s="5" t="n"/>
      <c r="L792" s="5" t="n"/>
    </row>
    <row r="793" ht="15.75" customHeight="1" s="184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K793" s="5" t="n"/>
      <c r="L793" s="5" t="n"/>
    </row>
    <row r="794" ht="15.75" customHeight="1" s="18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K794" s="5" t="n"/>
      <c r="L794" s="5" t="n"/>
    </row>
    <row r="795" ht="15.75" customHeight="1" s="184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K795" s="5" t="n"/>
      <c r="L795" s="5" t="n"/>
    </row>
    <row r="796" ht="15.75" customHeight="1" s="184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K796" s="5" t="n"/>
      <c r="L796" s="5" t="n"/>
    </row>
    <row r="797" ht="15.75" customHeight="1" s="184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K797" s="5" t="n"/>
      <c r="L797" s="5" t="n"/>
    </row>
    <row r="798" ht="15.75" customHeight="1" s="184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K798" s="5" t="n"/>
      <c r="L798" s="5" t="n"/>
    </row>
    <row r="799" ht="15.75" customHeight="1" s="184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K799" s="5" t="n"/>
      <c r="L799" s="5" t="n"/>
    </row>
    <row r="800" ht="15.75" customHeight="1" s="184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K800" s="5" t="n"/>
      <c r="L800" s="5" t="n"/>
    </row>
    <row r="801" ht="15.75" customHeight="1" s="184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K801" s="5" t="n"/>
      <c r="L801" s="5" t="n"/>
    </row>
    <row r="802" ht="15.75" customHeight="1" s="184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K802" s="5" t="n"/>
      <c r="L802" s="5" t="n"/>
    </row>
    <row r="803" ht="15.75" customHeight="1" s="184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K803" s="5" t="n"/>
      <c r="L803" s="5" t="n"/>
    </row>
    <row r="804" ht="15.75" customHeight="1" s="18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K804" s="5" t="n"/>
      <c r="L804" s="5" t="n"/>
    </row>
    <row r="805" ht="15.75" customHeight="1" s="184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K805" s="5" t="n"/>
      <c r="L805" s="5" t="n"/>
    </row>
    <row r="806" ht="15.75" customHeight="1" s="184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K806" s="5" t="n"/>
      <c r="L806" s="5" t="n"/>
    </row>
    <row r="807" ht="15.75" customHeight="1" s="184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K807" s="5" t="n"/>
      <c r="L807" s="5" t="n"/>
    </row>
    <row r="808" ht="15.75" customHeight="1" s="184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K808" s="5" t="n"/>
      <c r="L808" s="5" t="n"/>
    </row>
    <row r="809" ht="15.75" customHeight="1" s="184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K809" s="5" t="n"/>
      <c r="L809" s="5" t="n"/>
    </row>
    <row r="810" ht="15.75" customHeight="1" s="184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K810" s="5" t="n"/>
      <c r="L810" s="5" t="n"/>
    </row>
    <row r="811" ht="15.75" customHeight="1" s="184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K811" s="5" t="n"/>
      <c r="L811" s="5" t="n"/>
    </row>
    <row r="812" ht="15.75" customHeight="1" s="184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K812" s="5" t="n"/>
      <c r="L812" s="5" t="n"/>
    </row>
    <row r="813" ht="15.75" customHeight="1" s="184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K813" s="5" t="n"/>
      <c r="L813" s="5" t="n"/>
    </row>
    <row r="814" ht="15.75" customHeight="1" s="18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K814" s="5" t="n"/>
      <c r="L814" s="5" t="n"/>
    </row>
    <row r="815" ht="15.75" customHeight="1" s="184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K815" s="5" t="n"/>
      <c r="L815" s="5" t="n"/>
    </row>
    <row r="816" ht="15.75" customHeight="1" s="184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K816" s="5" t="n"/>
      <c r="L816" s="5" t="n"/>
    </row>
    <row r="817" ht="15.75" customHeight="1" s="184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K817" s="5" t="n"/>
      <c r="L817" s="5" t="n"/>
    </row>
    <row r="818" ht="15.75" customHeight="1" s="184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K818" s="5" t="n"/>
      <c r="L818" s="5" t="n"/>
    </row>
    <row r="819" ht="15.75" customHeight="1" s="184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K819" s="5" t="n"/>
      <c r="L819" s="5" t="n"/>
    </row>
    <row r="820" ht="15.75" customHeight="1" s="184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K820" s="5" t="n"/>
      <c r="L820" s="5" t="n"/>
    </row>
    <row r="821" ht="15.75" customHeight="1" s="184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K821" s="5" t="n"/>
      <c r="L821" s="5" t="n"/>
    </row>
    <row r="822" ht="15.75" customHeight="1" s="184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K822" s="5" t="n"/>
      <c r="L822" s="5" t="n"/>
    </row>
    <row r="823" ht="15.75" customHeight="1" s="184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K823" s="5" t="n"/>
      <c r="L823" s="5" t="n"/>
    </row>
    <row r="824" ht="15.75" customHeight="1" s="18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K824" s="5" t="n"/>
      <c r="L824" s="5" t="n"/>
    </row>
    <row r="825" ht="15.75" customHeight="1" s="184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K825" s="5" t="n"/>
      <c r="L825" s="5" t="n"/>
    </row>
    <row r="826" ht="15.75" customHeight="1" s="184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K826" s="5" t="n"/>
      <c r="L826" s="5" t="n"/>
    </row>
    <row r="827" ht="15.75" customHeight="1" s="184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K827" s="5" t="n"/>
      <c r="L827" s="5" t="n"/>
    </row>
    <row r="828" ht="15.75" customHeight="1" s="184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K828" s="5" t="n"/>
      <c r="L828" s="5" t="n"/>
    </row>
    <row r="829" ht="15.75" customHeight="1" s="184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K829" s="5" t="n"/>
      <c r="L829" s="5" t="n"/>
    </row>
    <row r="830" ht="15.75" customHeight="1" s="184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K830" s="5" t="n"/>
      <c r="L830" s="5" t="n"/>
    </row>
    <row r="831" ht="15.75" customHeight="1" s="184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K831" s="5" t="n"/>
      <c r="L831" s="5" t="n"/>
    </row>
    <row r="832" ht="15.75" customHeight="1" s="184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K832" s="5" t="n"/>
      <c r="L832" s="5" t="n"/>
    </row>
    <row r="833" ht="15.75" customHeight="1" s="184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K833" s="5" t="n"/>
      <c r="L833" s="5" t="n"/>
    </row>
    <row r="834" ht="15.75" customHeight="1" s="18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K834" s="5" t="n"/>
      <c r="L834" s="5" t="n"/>
    </row>
    <row r="835" ht="15.75" customHeight="1" s="184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K835" s="5" t="n"/>
      <c r="L835" s="5" t="n"/>
    </row>
    <row r="836" ht="15.75" customHeight="1" s="184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K836" s="5" t="n"/>
      <c r="L836" s="5" t="n"/>
    </row>
    <row r="837" ht="15.75" customHeight="1" s="184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K837" s="5" t="n"/>
      <c r="L837" s="5" t="n"/>
    </row>
    <row r="838" ht="15.75" customHeight="1" s="184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K838" s="5" t="n"/>
      <c r="L838" s="5" t="n"/>
    </row>
    <row r="839" ht="15.75" customHeight="1" s="184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K839" s="5" t="n"/>
      <c r="L839" s="5" t="n"/>
    </row>
    <row r="840" ht="15.75" customHeight="1" s="184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K840" s="5" t="n"/>
      <c r="L840" s="5" t="n"/>
    </row>
    <row r="841" ht="15.75" customHeight="1" s="184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K841" s="5" t="n"/>
      <c r="L841" s="5" t="n"/>
    </row>
    <row r="842" ht="15.75" customHeight="1" s="184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K842" s="5" t="n"/>
      <c r="L842" s="5" t="n"/>
    </row>
    <row r="843" ht="15.75" customHeight="1" s="184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K843" s="5" t="n"/>
      <c r="L843" s="5" t="n"/>
    </row>
    <row r="844" ht="15.75" customHeight="1" s="18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K844" s="5" t="n"/>
      <c r="L844" s="5" t="n"/>
    </row>
    <row r="845" ht="15.75" customHeight="1" s="184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K845" s="5" t="n"/>
      <c r="L845" s="5" t="n"/>
    </row>
    <row r="846" ht="15.75" customHeight="1" s="184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K846" s="5" t="n"/>
      <c r="L846" s="5" t="n"/>
    </row>
    <row r="847" ht="15.75" customHeight="1" s="184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K847" s="5" t="n"/>
      <c r="L847" s="5" t="n"/>
    </row>
    <row r="848" ht="15.75" customHeight="1" s="184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K848" s="5" t="n"/>
      <c r="L848" s="5" t="n"/>
    </row>
    <row r="849" ht="15.75" customHeight="1" s="184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K849" s="5" t="n"/>
      <c r="L849" s="5" t="n"/>
    </row>
    <row r="850" ht="15.75" customHeight="1" s="184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K850" s="5" t="n"/>
      <c r="L850" s="5" t="n"/>
    </row>
    <row r="851" ht="15.75" customHeight="1" s="184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K851" s="5" t="n"/>
      <c r="L851" s="5" t="n"/>
    </row>
    <row r="852" ht="15.75" customHeight="1" s="184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K852" s="5" t="n"/>
      <c r="L852" s="5" t="n"/>
    </row>
    <row r="853" ht="15.75" customHeight="1" s="184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K853" s="5" t="n"/>
      <c r="L853" s="5" t="n"/>
    </row>
    <row r="854" ht="15.75" customHeight="1" s="18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K854" s="5" t="n"/>
      <c r="L854" s="5" t="n"/>
    </row>
    <row r="855" ht="15.75" customHeight="1" s="184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K855" s="5" t="n"/>
      <c r="L855" s="5" t="n"/>
    </row>
    <row r="856" ht="15.75" customHeight="1" s="184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K856" s="5" t="n"/>
      <c r="L856" s="5" t="n"/>
    </row>
    <row r="857" ht="15.75" customHeight="1" s="184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K857" s="5" t="n"/>
      <c r="L857" s="5" t="n"/>
    </row>
    <row r="858" ht="15.75" customHeight="1" s="184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K858" s="5" t="n"/>
      <c r="L858" s="5" t="n"/>
    </row>
    <row r="859" ht="15.75" customHeight="1" s="184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K859" s="5" t="n"/>
      <c r="L859" s="5" t="n"/>
    </row>
    <row r="860" ht="15.75" customHeight="1" s="184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K860" s="5" t="n"/>
      <c r="L860" s="5" t="n"/>
    </row>
    <row r="861" ht="15.75" customHeight="1" s="184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K861" s="5" t="n"/>
      <c r="L861" s="5" t="n"/>
    </row>
    <row r="862" ht="15.75" customHeight="1" s="184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K862" s="5" t="n"/>
      <c r="L862" s="5" t="n"/>
    </row>
    <row r="863" ht="15.75" customHeight="1" s="184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K863" s="5" t="n"/>
      <c r="L863" s="5" t="n"/>
    </row>
    <row r="864" ht="15.75" customHeight="1" s="18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K864" s="5" t="n"/>
      <c r="L864" s="5" t="n"/>
    </row>
    <row r="865" ht="15.75" customHeight="1" s="184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K865" s="5" t="n"/>
      <c r="L865" s="5" t="n"/>
    </row>
    <row r="866" ht="15.75" customHeight="1" s="184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K866" s="5" t="n"/>
      <c r="L866" s="5" t="n"/>
    </row>
    <row r="867" ht="15.75" customHeight="1" s="184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K867" s="5" t="n"/>
      <c r="L867" s="5" t="n"/>
    </row>
    <row r="868" ht="15.75" customHeight="1" s="184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K868" s="5" t="n"/>
      <c r="L868" s="5" t="n"/>
    </row>
    <row r="869" ht="15.75" customHeight="1" s="184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K869" s="5" t="n"/>
      <c r="L869" s="5" t="n"/>
    </row>
    <row r="870" ht="15.75" customHeight="1" s="184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K870" s="5" t="n"/>
      <c r="L870" s="5" t="n"/>
    </row>
    <row r="871" ht="15.75" customHeight="1" s="184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K871" s="5" t="n"/>
      <c r="L871" s="5" t="n"/>
    </row>
    <row r="872" ht="15.75" customHeight="1" s="184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K872" s="5" t="n"/>
      <c r="L872" s="5" t="n"/>
    </row>
    <row r="873" ht="15.75" customHeight="1" s="184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K873" s="5" t="n"/>
      <c r="L873" s="5" t="n"/>
    </row>
    <row r="874" ht="15.75" customHeight="1" s="18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K874" s="5" t="n"/>
      <c r="L874" s="5" t="n"/>
    </row>
    <row r="875" ht="15.75" customHeight="1" s="184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K875" s="5" t="n"/>
      <c r="L875" s="5" t="n"/>
    </row>
    <row r="876" ht="15.75" customHeight="1" s="184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K876" s="5" t="n"/>
      <c r="L876" s="5" t="n"/>
    </row>
    <row r="877" ht="15.75" customHeight="1" s="184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K877" s="5" t="n"/>
      <c r="L877" s="5" t="n"/>
    </row>
    <row r="878" ht="15.75" customHeight="1" s="184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K878" s="5" t="n"/>
      <c r="L878" s="5" t="n"/>
    </row>
    <row r="879" ht="15.75" customHeight="1" s="184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K879" s="5" t="n"/>
      <c r="L879" s="5" t="n"/>
    </row>
    <row r="880" ht="15.75" customHeight="1" s="184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K880" s="5" t="n"/>
      <c r="L880" s="5" t="n"/>
    </row>
    <row r="881" ht="15.75" customHeight="1" s="184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K881" s="5" t="n"/>
      <c r="L881" s="5" t="n"/>
    </row>
    <row r="882" ht="15.75" customHeight="1" s="184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K882" s="5" t="n"/>
      <c r="L882" s="5" t="n"/>
    </row>
    <row r="883" ht="15.75" customHeight="1" s="184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K883" s="5" t="n"/>
      <c r="L883" s="5" t="n"/>
    </row>
    <row r="884" ht="15.75" customHeight="1" s="1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K884" s="5" t="n"/>
      <c r="L884" s="5" t="n"/>
    </row>
    <row r="885" ht="15.75" customHeight="1" s="184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K885" s="5" t="n"/>
      <c r="L885" s="5" t="n"/>
    </row>
    <row r="886" ht="15.75" customHeight="1" s="184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K886" s="5" t="n"/>
      <c r="L886" s="5" t="n"/>
    </row>
    <row r="887" ht="15.75" customHeight="1" s="184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K887" s="5" t="n"/>
      <c r="L887" s="5" t="n"/>
    </row>
    <row r="888" ht="15.75" customHeight="1" s="184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K888" s="5" t="n"/>
      <c r="L888" s="5" t="n"/>
    </row>
    <row r="889" ht="15.75" customHeight="1" s="184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K889" s="5" t="n"/>
      <c r="L889" s="5" t="n"/>
    </row>
    <row r="890" ht="15.75" customHeight="1" s="184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K890" s="5" t="n"/>
      <c r="L890" s="5" t="n"/>
    </row>
    <row r="891" ht="15.75" customHeight="1" s="184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K891" s="5" t="n"/>
      <c r="L891" s="5" t="n"/>
    </row>
    <row r="892" ht="15.75" customHeight="1" s="184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K892" s="5" t="n"/>
      <c r="L892" s="5" t="n"/>
    </row>
    <row r="893" ht="15.75" customHeight="1" s="184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K893" s="5" t="n"/>
      <c r="L893" s="5" t="n"/>
    </row>
    <row r="894" ht="15.75" customHeight="1" s="18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K894" s="5" t="n"/>
      <c r="L894" s="5" t="n"/>
    </row>
    <row r="895" ht="15.75" customHeight="1" s="184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K895" s="5" t="n"/>
      <c r="L895" s="5" t="n"/>
    </row>
    <row r="896" ht="15.75" customHeight="1" s="184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K896" s="5" t="n"/>
      <c r="L896" s="5" t="n"/>
    </row>
    <row r="897" ht="15.75" customHeight="1" s="184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K897" s="5" t="n"/>
      <c r="L897" s="5" t="n"/>
    </row>
    <row r="898" ht="15.75" customHeight="1" s="184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K898" s="5" t="n"/>
      <c r="L898" s="5" t="n"/>
    </row>
    <row r="899" ht="15.75" customHeight="1" s="184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K899" s="5" t="n"/>
      <c r="L899" s="5" t="n"/>
    </row>
    <row r="900" ht="15.75" customHeight="1" s="184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K900" s="5" t="n"/>
      <c r="L900" s="5" t="n"/>
    </row>
    <row r="901" ht="15.75" customHeight="1" s="184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K901" s="5" t="n"/>
      <c r="L901" s="5" t="n"/>
    </row>
    <row r="902" ht="15.75" customHeight="1" s="184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K902" s="5" t="n"/>
      <c r="L902" s="5" t="n"/>
    </row>
    <row r="903" ht="15.75" customHeight="1" s="184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K903" s="5" t="n"/>
      <c r="L903" s="5" t="n"/>
    </row>
    <row r="904" ht="15.75" customHeight="1" s="18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K904" s="5" t="n"/>
      <c r="L904" s="5" t="n"/>
    </row>
    <row r="905" ht="15.75" customHeight="1" s="184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K905" s="5" t="n"/>
      <c r="L905" s="5" t="n"/>
    </row>
    <row r="906" ht="15.75" customHeight="1" s="184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K906" s="5" t="n"/>
      <c r="L906" s="5" t="n"/>
    </row>
    <row r="907" ht="15.75" customHeight="1" s="184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K907" s="5" t="n"/>
      <c r="L907" s="5" t="n"/>
    </row>
    <row r="908" ht="15.75" customHeight="1" s="184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K908" s="5" t="n"/>
      <c r="L908" s="5" t="n"/>
    </row>
    <row r="909" ht="15.75" customHeight="1" s="184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K909" s="5" t="n"/>
      <c r="L909" s="5" t="n"/>
    </row>
    <row r="910" ht="15.75" customHeight="1" s="184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K910" s="5" t="n"/>
      <c r="L910" s="5" t="n"/>
    </row>
    <row r="911" ht="15.75" customHeight="1" s="184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K911" s="5" t="n"/>
      <c r="L911" s="5" t="n"/>
    </row>
    <row r="912" ht="15.75" customHeight="1" s="184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K912" s="5" t="n"/>
      <c r="L912" s="5" t="n"/>
    </row>
    <row r="913" ht="15.75" customHeight="1" s="184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K913" s="5" t="n"/>
      <c r="L913" s="5" t="n"/>
    </row>
    <row r="914" ht="15.75" customHeight="1" s="18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K914" s="5" t="n"/>
      <c r="L914" s="5" t="n"/>
    </row>
    <row r="915" ht="15.75" customHeight="1" s="184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K915" s="5" t="n"/>
      <c r="L915" s="5" t="n"/>
    </row>
    <row r="916" ht="15.75" customHeight="1" s="184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K916" s="5" t="n"/>
      <c r="L916" s="5" t="n"/>
    </row>
    <row r="917" ht="15.75" customHeight="1" s="184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K917" s="5" t="n"/>
      <c r="L917" s="5" t="n"/>
    </row>
    <row r="918" ht="15.75" customHeight="1" s="184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K918" s="5" t="n"/>
      <c r="L918" s="5" t="n"/>
    </row>
    <row r="919" ht="15.75" customHeight="1" s="184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K919" s="5" t="n"/>
      <c r="L919" s="5" t="n"/>
    </row>
    <row r="920" ht="15.75" customHeight="1" s="184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K920" s="5" t="n"/>
      <c r="L920" s="5" t="n"/>
    </row>
    <row r="921" ht="15.75" customHeight="1" s="184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K921" s="5" t="n"/>
      <c r="L921" s="5" t="n"/>
    </row>
    <row r="922" ht="15.75" customHeight="1" s="184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K922" s="5" t="n"/>
      <c r="L922" s="5" t="n"/>
    </row>
    <row r="923" ht="15.75" customHeight="1" s="184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K923" s="5" t="n"/>
      <c r="L923" s="5" t="n"/>
    </row>
    <row r="924" ht="15.75" customHeight="1" s="18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K924" s="5" t="n"/>
      <c r="L924" s="5" t="n"/>
    </row>
    <row r="925" ht="15.75" customHeight="1" s="184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K925" s="5" t="n"/>
      <c r="L925" s="5" t="n"/>
    </row>
    <row r="926" ht="15.75" customHeight="1" s="184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K926" s="5" t="n"/>
      <c r="L926" s="5" t="n"/>
    </row>
    <row r="927" ht="15.75" customHeight="1" s="184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K927" s="5" t="n"/>
      <c r="L927" s="5" t="n"/>
    </row>
    <row r="928" ht="15.75" customHeight="1" s="184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K928" s="5" t="n"/>
      <c r="L928" s="5" t="n"/>
    </row>
    <row r="929" ht="15.75" customHeight="1" s="184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K929" s="5" t="n"/>
      <c r="L929" s="5" t="n"/>
    </row>
    <row r="930" ht="15.75" customHeight="1" s="184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K930" s="5" t="n"/>
      <c r="L930" s="5" t="n"/>
    </row>
    <row r="931" ht="15.75" customHeight="1" s="184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K931" s="5" t="n"/>
      <c r="L931" s="5" t="n"/>
    </row>
    <row r="932" ht="15.75" customHeight="1" s="184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K932" s="5" t="n"/>
      <c r="L932" s="5" t="n"/>
    </row>
    <row r="933" ht="15.75" customHeight="1" s="184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K933" s="5" t="n"/>
      <c r="L933" s="5" t="n"/>
    </row>
    <row r="934" ht="15.75" customHeight="1" s="18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K934" s="5" t="n"/>
      <c r="L934" s="5" t="n"/>
    </row>
    <row r="935" ht="15.75" customHeight="1" s="184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K935" s="5" t="n"/>
      <c r="L935" s="5" t="n"/>
    </row>
    <row r="936" ht="15.75" customHeight="1" s="184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K936" s="5" t="n"/>
      <c r="L936" s="5" t="n"/>
    </row>
    <row r="937" ht="15.75" customHeight="1" s="184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K937" s="5" t="n"/>
      <c r="L937" s="5" t="n"/>
    </row>
    <row r="938" ht="15.75" customHeight="1" s="184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K938" s="5" t="n"/>
      <c r="L938" s="5" t="n"/>
    </row>
    <row r="939" ht="15.75" customHeight="1" s="184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K939" s="5" t="n"/>
      <c r="L939" s="5" t="n"/>
    </row>
    <row r="940" ht="15.75" customHeight="1" s="184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K940" s="5" t="n"/>
      <c r="L940" s="5" t="n"/>
    </row>
    <row r="941" ht="15.75" customHeight="1" s="184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K941" s="5" t="n"/>
      <c r="L941" s="5" t="n"/>
    </row>
    <row r="942" ht="15.75" customHeight="1" s="184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K942" s="5" t="n"/>
      <c r="L942" s="5" t="n"/>
    </row>
    <row r="943" ht="15.75" customHeight="1" s="184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K943" s="5" t="n"/>
      <c r="L943" s="5" t="n"/>
    </row>
    <row r="944" ht="15.75" customHeight="1" s="18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K944" s="5" t="n"/>
      <c r="L944" s="5" t="n"/>
    </row>
    <row r="945" ht="15.75" customHeight="1" s="184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K945" s="5" t="n"/>
      <c r="L945" s="5" t="n"/>
    </row>
    <row r="946" ht="15.75" customHeight="1" s="184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K946" s="5" t="n"/>
      <c r="L946" s="5" t="n"/>
    </row>
    <row r="947" ht="15.75" customHeight="1" s="184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K947" s="5" t="n"/>
      <c r="L947" s="5" t="n"/>
    </row>
    <row r="948" ht="15.75" customHeight="1" s="184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K948" s="5" t="n"/>
      <c r="L948" s="5" t="n"/>
    </row>
    <row r="949" ht="15.75" customHeight="1" s="184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K949" s="5" t="n"/>
      <c r="L949" s="5" t="n"/>
    </row>
    <row r="950" ht="15.75" customHeight="1" s="184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K950" s="5" t="n"/>
      <c r="L950" s="5" t="n"/>
    </row>
    <row r="951" ht="15.75" customHeight="1" s="184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K951" s="5" t="n"/>
      <c r="L951" s="5" t="n"/>
    </row>
    <row r="952" ht="15.75" customHeight="1" s="184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K952" s="5" t="n"/>
      <c r="L952" s="5" t="n"/>
    </row>
    <row r="953" ht="15.75" customHeight="1" s="184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K953" s="5" t="n"/>
      <c r="L953" s="5" t="n"/>
    </row>
    <row r="954" ht="15.75" customHeight="1" s="18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K954" s="5" t="n"/>
      <c r="L954" s="5" t="n"/>
    </row>
    <row r="955" ht="15.75" customHeight="1" s="184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K955" s="5" t="n"/>
      <c r="L955" s="5" t="n"/>
    </row>
    <row r="956" ht="15.75" customHeight="1" s="184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K956" s="5" t="n"/>
      <c r="L956" s="5" t="n"/>
    </row>
    <row r="957" ht="15.75" customHeight="1" s="184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K957" s="5" t="n"/>
      <c r="L957" s="5" t="n"/>
    </row>
    <row r="958" ht="15.75" customHeight="1" s="184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K958" s="5" t="n"/>
      <c r="L958" s="5" t="n"/>
    </row>
    <row r="959" ht="15.75" customHeight="1" s="184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K959" s="5" t="n"/>
      <c r="L959" s="5" t="n"/>
    </row>
    <row r="960" ht="15.75" customHeight="1" s="184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K960" s="5" t="n"/>
      <c r="L960" s="5" t="n"/>
    </row>
    <row r="961" ht="15.75" customHeight="1" s="184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K961" s="5" t="n"/>
      <c r="L961" s="5" t="n"/>
    </row>
    <row r="962" ht="15.75" customHeight="1" s="184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K962" s="5" t="n"/>
      <c r="L962" s="5" t="n"/>
    </row>
    <row r="963" ht="15.75" customHeight="1" s="184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K963" s="5" t="n"/>
      <c r="L963" s="5" t="n"/>
    </row>
    <row r="964" ht="15.75" customHeight="1" s="18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K964" s="5" t="n"/>
      <c r="L964" s="5" t="n"/>
    </row>
    <row r="965" ht="15.75" customHeight="1" s="184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K965" s="5" t="n"/>
      <c r="L965" s="5" t="n"/>
    </row>
    <row r="966" ht="15.75" customHeight="1" s="184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K966" s="5" t="n"/>
      <c r="L966" s="5" t="n"/>
    </row>
    <row r="967" ht="15.75" customHeight="1" s="184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K967" s="5" t="n"/>
      <c r="L967" s="5" t="n"/>
    </row>
    <row r="968" ht="15.75" customHeight="1" s="184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K968" s="5" t="n"/>
      <c r="L968" s="5" t="n"/>
    </row>
    <row r="969" ht="15.75" customHeight="1" s="184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K969" s="5" t="n"/>
      <c r="L969" s="5" t="n"/>
    </row>
    <row r="970" ht="15.75" customHeight="1" s="184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K970" s="5" t="n"/>
      <c r="L970" s="5" t="n"/>
    </row>
    <row r="971" ht="15.75" customHeight="1" s="184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K971" s="5" t="n"/>
      <c r="L971" s="5" t="n"/>
    </row>
    <row r="972" ht="15.75" customHeight="1" s="184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K972" s="5" t="n"/>
      <c r="L972" s="5" t="n"/>
    </row>
    <row r="973" ht="15.75" customHeight="1" s="184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K973" s="5" t="n"/>
      <c r="L973" s="5" t="n"/>
    </row>
    <row r="974" ht="15.75" customHeight="1" s="18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K974" s="5" t="n"/>
      <c r="L974" s="5" t="n"/>
    </row>
    <row r="975" ht="15.75" customHeight="1" s="184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K975" s="5" t="n"/>
      <c r="L975" s="5" t="n"/>
    </row>
    <row r="976" ht="15.75" customHeight="1" s="184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K976" s="5" t="n"/>
      <c r="L976" s="5" t="n"/>
    </row>
    <row r="977" ht="15.75" customHeight="1" s="184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K977" s="5" t="n"/>
      <c r="L977" s="5" t="n"/>
    </row>
    <row r="978" ht="15.75" customHeight="1" s="184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K978" s="5" t="n"/>
      <c r="L978" s="5" t="n"/>
    </row>
    <row r="979" ht="15.75" customHeight="1" s="184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K979" s="5" t="n"/>
      <c r="L979" s="5" t="n"/>
    </row>
    <row r="980" ht="15.75" customHeight="1" s="184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K980" s="5" t="n"/>
      <c r="L980" s="5" t="n"/>
    </row>
    <row r="981" ht="15.75" customHeight="1" s="184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K981" s="5" t="n"/>
      <c r="L981" s="5" t="n"/>
    </row>
    <row r="982" ht="15.75" customHeight="1" s="184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K982" s="5" t="n"/>
      <c r="L982" s="5" t="n"/>
    </row>
    <row r="983" ht="15.75" customHeight="1" s="184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K983" s="5" t="n"/>
      <c r="L983" s="5" t="n"/>
    </row>
    <row r="984" ht="15.75" customHeight="1" s="1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K984" s="5" t="n"/>
      <c r="L984" s="5" t="n"/>
    </row>
    <row r="985" ht="15.75" customHeight="1" s="184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K985" s="5" t="n"/>
      <c r="L985" s="5" t="n"/>
    </row>
    <row r="986" ht="15.75" customHeight="1" s="184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K986" s="5" t="n"/>
      <c r="L986" s="5" t="n"/>
    </row>
    <row r="987" ht="15.75" customHeight="1" s="184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K987" s="5" t="n"/>
      <c r="L987" s="5" t="n"/>
    </row>
    <row r="988" ht="15.75" customHeight="1" s="184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K988" s="5" t="n"/>
      <c r="L988" s="5" t="n"/>
    </row>
    <row r="989" ht="15.75" customHeight="1" s="184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K989" s="5" t="n"/>
      <c r="L989" s="5" t="n"/>
    </row>
    <row r="990" ht="15.75" customHeight="1" s="184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K990" s="5" t="n"/>
      <c r="L990" s="5" t="n"/>
    </row>
    <row r="991" ht="15.75" customHeight="1" s="184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K991" s="5" t="n"/>
      <c r="L991" s="5" t="n"/>
    </row>
    <row r="992" ht="15.75" customHeight="1" s="184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K992" s="5" t="n"/>
      <c r="L992" s="5" t="n"/>
    </row>
    <row r="993" ht="15.75" customHeight="1" s="184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K993" s="5" t="n"/>
      <c r="L993" s="5" t="n"/>
    </row>
    <row r="994" ht="15.75" customHeight="1" s="18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K994" s="5" t="n"/>
      <c r="L994" s="5" t="n"/>
    </row>
    <row r="995" ht="15.75" customHeight="1" s="184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K995" s="5" t="n"/>
      <c r="L995" s="5" t="n"/>
    </row>
    <row r="996" ht="15.75" customHeight="1" s="184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K996" s="5" t="n"/>
      <c r="L996" s="5" t="n"/>
    </row>
    <row r="997" ht="15.75" customHeight="1" s="184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K997" s="5" t="n"/>
      <c r="L997" s="5" t="n"/>
    </row>
    <row r="998" ht="15.75" customHeight="1" s="184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K998" s="5" t="n"/>
      <c r="L998" s="5" t="n"/>
    </row>
    <row r="999" ht="15.75" customHeight="1" s="184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K999" s="5" t="n"/>
      <c r="L999" s="5" t="n"/>
    </row>
    <row r="1000" ht="15.75" customHeight="1" s="184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K1000" s="5" t="n"/>
      <c r="L1000" s="5" t="n"/>
    </row>
  </sheetData>
  <mergeCells count="1">
    <mergeCell ref="A1:D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2026-09-12T10:52:46Z</dcterms:created>
  <dcterms:modified xmlns:dcterms="http://purl.org/dc/terms/" xmlns:xsi="http://www.w3.org/2001/XMLSchema-instance" xsi:type="dcterms:W3CDTF">2026-10-27T18:52:32Z</dcterms:modified>
</cp:coreProperties>
</file>